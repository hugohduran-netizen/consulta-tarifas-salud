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ctmhdy01\Desktop\"/>
    </mc:Choice>
  </mc:AlternateContent>
  <xr:revisionPtr revIDLastSave="0" documentId="8_{65C9C08D-181A-4B47-88B8-00581EA2545D}" xr6:coauthVersionLast="47" xr6:coauthVersionMax="47" xr10:uidLastSave="{00000000-0000-0000-0000-000000000000}"/>
  <bookViews>
    <workbookView xWindow="-108" yWindow="-108" windowWidth="23256" windowHeight="12456" tabRatio="664" xr2:uid="{00000000-000D-0000-FFFF-FFFF00000000}"/>
  </bookViews>
  <sheets>
    <sheet name="SOAT 2023" sheetId="42" r:id="rId1"/>
    <sheet name="GQ" sheetId="54" r:id="rId2"/>
  </sheets>
  <definedNames>
    <definedName name="_xlnm._FilterDatabase" localSheetId="0" hidden="1">'SOAT 2023'!$A$4:$J$1779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32" i="42" l="1"/>
  <c r="F1132" i="42"/>
  <c r="G1132" i="42"/>
  <c r="H1132" i="42"/>
  <c r="E1133" i="42"/>
  <c r="F1133" i="42"/>
  <c r="G1133" i="42"/>
  <c r="H1133" i="42"/>
  <c r="H599" i="42"/>
  <c r="H598" i="42"/>
  <c r="H597" i="42"/>
  <c r="H595" i="42"/>
  <c r="H594" i="42"/>
  <c r="H593" i="42"/>
  <c r="H592" i="42"/>
  <c r="H591" i="42"/>
  <c r="H590" i="42"/>
  <c r="H586" i="42"/>
  <c r="H585" i="42"/>
  <c r="H584" i="42"/>
  <c r="H583" i="42"/>
  <c r="H582" i="42"/>
  <c r="H581" i="42"/>
  <c r="H580" i="42"/>
  <c r="H579" i="42"/>
  <c r="H578" i="42"/>
  <c r="H577" i="42"/>
  <c r="H576" i="42"/>
  <c r="H575" i="42"/>
  <c r="H574" i="42"/>
  <c r="H573" i="42"/>
  <c r="H572" i="42"/>
  <c r="H571" i="42"/>
  <c r="H570" i="42"/>
  <c r="H569" i="42"/>
  <c r="H568" i="42"/>
  <c r="H567" i="42"/>
  <c r="H566" i="42"/>
  <c r="H565" i="42"/>
  <c r="H564" i="42"/>
  <c r="H563" i="42"/>
  <c r="H562" i="42"/>
  <c r="H561" i="42"/>
  <c r="H560" i="42"/>
  <c r="H559" i="42"/>
  <c r="H558" i="42"/>
  <c r="H557" i="42"/>
  <c r="H556" i="42"/>
  <c r="H555" i="42"/>
  <c r="H554" i="42"/>
  <c r="H553" i="42"/>
  <c r="H552" i="42"/>
  <c r="H551" i="42"/>
  <c r="H550" i="42"/>
  <c r="H549" i="42"/>
  <c r="H548" i="42"/>
  <c r="H547" i="42"/>
  <c r="H546" i="42"/>
  <c r="H545" i="42"/>
  <c r="H544" i="42"/>
  <c r="H543" i="42"/>
  <c r="H542" i="42"/>
  <c r="H541" i="42"/>
  <c r="H540" i="42"/>
  <c r="H539" i="42"/>
  <c r="H538" i="42"/>
  <c r="H537" i="42"/>
  <c r="H536" i="42"/>
  <c r="H535" i="42"/>
  <c r="H534" i="42"/>
  <c r="H533" i="42"/>
  <c r="H532" i="42"/>
  <c r="H531" i="42"/>
  <c r="H530" i="42"/>
  <c r="H529" i="42"/>
  <c r="H528" i="42"/>
  <c r="H527" i="42"/>
  <c r="H526" i="42"/>
  <c r="H525" i="42"/>
  <c r="H524" i="42"/>
  <c r="H523" i="42"/>
  <c r="H522" i="42"/>
  <c r="H521" i="42"/>
  <c r="H520" i="42"/>
  <c r="H519" i="42"/>
  <c r="H518" i="42"/>
  <c r="H517" i="42"/>
  <c r="H516" i="42"/>
  <c r="H515" i="42"/>
  <c r="H514" i="42"/>
  <c r="H513" i="42"/>
  <c r="H512" i="42"/>
  <c r="H511" i="42"/>
  <c r="H510" i="42"/>
  <c r="H509" i="42"/>
  <c r="H508" i="42"/>
  <c r="H507" i="42"/>
  <c r="H506" i="42"/>
  <c r="H505" i="42"/>
  <c r="H504" i="42"/>
  <c r="H503" i="42"/>
  <c r="H502" i="42"/>
  <c r="H501" i="42"/>
  <c r="H500" i="42"/>
  <c r="H499" i="42"/>
  <c r="H498" i="42"/>
  <c r="H497" i="42"/>
  <c r="H496" i="42"/>
  <c r="H495" i="42"/>
  <c r="H494" i="42"/>
  <c r="H493" i="42"/>
  <c r="H492" i="42"/>
  <c r="H491" i="42"/>
  <c r="H490" i="42"/>
  <c r="H489" i="42"/>
  <c r="H488" i="42"/>
  <c r="H487" i="42"/>
  <c r="H486" i="42"/>
  <c r="H485" i="42"/>
  <c r="H484" i="42"/>
  <c r="H483" i="42"/>
  <c r="H482" i="42"/>
  <c r="H481" i="42"/>
  <c r="H480" i="42"/>
  <c r="H479" i="42"/>
  <c r="H478" i="42"/>
  <c r="H477" i="42"/>
  <c r="H476" i="42"/>
  <c r="H475" i="42"/>
  <c r="H474" i="42"/>
  <c r="H473" i="42"/>
  <c r="H472" i="42"/>
  <c r="H471" i="42"/>
  <c r="H470" i="42"/>
  <c r="H469" i="42"/>
  <c r="H468" i="42"/>
  <c r="H467" i="42"/>
  <c r="H466" i="42"/>
  <c r="H465" i="42"/>
  <c r="H464" i="42"/>
  <c r="H463" i="42"/>
  <c r="H462" i="42"/>
  <c r="H461" i="42"/>
  <c r="H460" i="42"/>
  <c r="H459" i="42"/>
  <c r="H458" i="42"/>
  <c r="H457" i="42"/>
  <c r="H456" i="42"/>
  <c r="H455" i="42"/>
  <c r="H454" i="42"/>
  <c r="H453" i="42"/>
  <c r="H452" i="42"/>
  <c r="H451" i="42"/>
  <c r="H450" i="42"/>
  <c r="H449" i="42"/>
  <c r="H448" i="42"/>
  <c r="H447" i="42"/>
  <c r="H446" i="42"/>
  <c r="H445" i="42"/>
  <c r="H444" i="42"/>
  <c r="H443" i="42"/>
  <c r="H442" i="42"/>
  <c r="H441" i="42"/>
  <c r="H440" i="42"/>
  <c r="H439" i="42"/>
  <c r="H438" i="42"/>
  <c r="H437" i="42"/>
  <c r="H436" i="42"/>
  <c r="H435" i="42"/>
  <c r="H434" i="42"/>
  <c r="H433" i="42"/>
  <c r="H432" i="42"/>
  <c r="H431" i="42"/>
  <c r="H430" i="42"/>
  <c r="H429" i="42"/>
  <c r="H428" i="42"/>
  <c r="H427" i="42"/>
  <c r="H426" i="42"/>
  <c r="H425" i="42"/>
  <c r="H424" i="42"/>
  <c r="H423" i="42"/>
  <c r="H422" i="42"/>
  <c r="H421" i="42"/>
  <c r="H420" i="42"/>
  <c r="H419" i="42"/>
  <c r="H418" i="42"/>
  <c r="H417" i="42"/>
  <c r="H416" i="42"/>
  <c r="H415" i="42"/>
  <c r="H414" i="42"/>
  <c r="H413" i="42"/>
  <c r="H412" i="42"/>
  <c r="H411" i="42"/>
  <c r="H410" i="42"/>
  <c r="H409" i="42"/>
  <c r="H408" i="42"/>
  <c r="H407" i="42"/>
  <c r="H406" i="42"/>
  <c r="H405" i="42"/>
  <c r="H404" i="42"/>
  <c r="H403" i="42"/>
  <c r="H402" i="42"/>
  <c r="H401" i="42"/>
  <c r="H400" i="42"/>
  <c r="H399" i="42"/>
  <c r="H398" i="42"/>
  <c r="H397" i="42"/>
  <c r="H396" i="42"/>
  <c r="H395" i="42"/>
  <c r="H394" i="42"/>
  <c r="H393" i="42"/>
  <c r="H392" i="42"/>
  <c r="H391" i="42"/>
  <c r="H390" i="42"/>
  <c r="H389" i="42"/>
  <c r="H388" i="42"/>
  <c r="H387" i="42"/>
  <c r="H386" i="42"/>
  <c r="H385" i="42"/>
  <c r="H384" i="42"/>
  <c r="H383" i="42"/>
  <c r="H382" i="42"/>
  <c r="H381" i="42"/>
  <c r="H380" i="42"/>
  <c r="H379" i="42"/>
  <c r="H378" i="42"/>
  <c r="H377" i="42"/>
  <c r="H376" i="42"/>
  <c r="H375" i="42"/>
  <c r="H374" i="42"/>
  <c r="H373" i="42"/>
  <c r="H372" i="42"/>
  <c r="H371" i="42"/>
  <c r="H370" i="42"/>
  <c r="H369" i="42"/>
  <c r="H368" i="42"/>
  <c r="H367" i="42"/>
  <c r="H366" i="42"/>
  <c r="H365" i="42"/>
  <c r="H364" i="42"/>
  <c r="H363" i="42"/>
  <c r="H362" i="42"/>
  <c r="H361" i="42"/>
  <c r="H360" i="42"/>
  <c r="H359" i="42"/>
  <c r="H358" i="42"/>
  <c r="H357" i="42"/>
  <c r="H356" i="42"/>
  <c r="H355" i="42"/>
  <c r="H354" i="42"/>
  <c r="H353" i="42"/>
  <c r="H352" i="42"/>
  <c r="H351" i="42"/>
  <c r="H350" i="42"/>
  <c r="H349" i="42"/>
  <c r="H348" i="42"/>
  <c r="H347" i="42"/>
  <c r="H346" i="42"/>
  <c r="H345" i="42"/>
  <c r="H344" i="42"/>
  <c r="H343" i="42"/>
  <c r="H342" i="42"/>
  <c r="H341" i="42"/>
  <c r="H340" i="42"/>
  <c r="H339" i="42"/>
  <c r="H338" i="42"/>
  <c r="H337" i="42"/>
  <c r="H336" i="42"/>
  <c r="H335" i="42"/>
  <c r="H334" i="42"/>
  <c r="H333" i="42"/>
  <c r="H332" i="42"/>
  <c r="H331" i="42"/>
  <c r="H330" i="42"/>
  <c r="H329" i="42"/>
  <c r="H328" i="42"/>
  <c r="H327" i="42"/>
  <c r="H326" i="42"/>
  <c r="H325" i="42"/>
  <c r="H324" i="42"/>
  <c r="H323" i="42"/>
  <c r="H322" i="42"/>
  <c r="H321" i="42"/>
  <c r="H320" i="42"/>
  <c r="H319" i="42"/>
  <c r="H318" i="42"/>
  <c r="H317" i="42"/>
  <c r="H316" i="42"/>
  <c r="H315" i="42"/>
  <c r="H314" i="42"/>
  <c r="H313" i="42"/>
  <c r="H312" i="42"/>
  <c r="H311" i="42"/>
  <c r="H310" i="42"/>
  <c r="H309" i="42"/>
  <c r="H308" i="42"/>
  <c r="H307" i="42"/>
  <c r="H306" i="42"/>
  <c r="H305" i="42"/>
  <c r="H304" i="42"/>
  <c r="H303" i="42"/>
  <c r="H302" i="42"/>
  <c r="H301" i="42"/>
  <c r="H300" i="42"/>
  <c r="H299" i="42"/>
  <c r="H298" i="42"/>
  <c r="H297" i="42"/>
  <c r="H296" i="42"/>
  <c r="H295" i="42"/>
  <c r="H294" i="42"/>
  <c r="H293" i="42"/>
  <c r="H292" i="42"/>
  <c r="H291" i="42"/>
  <c r="H290" i="42"/>
  <c r="H289" i="42"/>
  <c r="H288" i="42"/>
  <c r="H287" i="42"/>
  <c r="H286" i="42"/>
  <c r="H285" i="42"/>
  <c r="H284" i="42"/>
  <c r="H283" i="42"/>
  <c r="H282" i="42"/>
  <c r="H281" i="42"/>
  <c r="H280" i="42"/>
  <c r="H279" i="42"/>
  <c r="H278" i="42"/>
  <c r="H277" i="42"/>
  <c r="H276" i="42"/>
  <c r="H275" i="42"/>
  <c r="H274" i="42"/>
  <c r="H273" i="42"/>
  <c r="H272" i="42"/>
  <c r="H271" i="42"/>
  <c r="H270" i="42"/>
  <c r="H269" i="42"/>
  <c r="H268" i="42"/>
  <c r="H267" i="42"/>
  <c r="H266" i="42"/>
  <c r="H265" i="42"/>
  <c r="H264" i="42"/>
  <c r="H263" i="42"/>
  <c r="H262" i="42"/>
  <c r="H261" i="42"/>
  <c r="H260" i="42"/>
  <c r="H259" i="42"/>
  <c r="H258" i="42"/>
  <c r="H257" i="42"/>
  <c r="H256" i="42"/>
  <c r="H255" i="42"/>
  <c r="H254" i="42"/>
  <c r="H253" i="42"/>
  <c r="H252" i="42"/>
  <c r="H251" i="42"/>
  <c r="H250" i="42"/>
  <c r="H249" i="42"/>
  <c r="H248" i="42"/>
  <c r="H247" i="42"/>
  <c r="H246" i="42"/>
  <c r="H245" i="42"/>
  <c r="H244" i="42"/>
  <c r="H243" i="42"/>
  <c r="H242" i="42"/>
  <c r="H241" i="42"/>
  <c r="H240" i="42"/>
  <c r="H239" i="42"/>
  <c r="H238" i="42"/>
  <c r="H237" i="42"/>
  <c r="H236" i="42"/>
  <c r="H235" i="42"/>
  <c r="H234" i="42"/>
  <c r="H233" i="42"/>
  <c r="H232" i="42"/>
  <c r="H231" i="42"/>
  <c r="H230" i="42"/>
  <c r="H229" i="42"/>
  <c r="H228" i="42"/>
  <c r="H227" i="42"/>
  <c r="H226" i="42"/>
  <c r="H225" i="42"/>
  <c r="H224" i="42"/>
  <c r="H223" i="42"/>
  <c r="H222" i="42"/>
  <c r="H221" i="42"/>
  <c r="H220" i="42"/>
  <c r="H219" i="42"/>
  <c r="H218" i="42"/>
  <c r="H217" i="42"/>
  <c r="H216" i="42"/>
  <c r="H215" i="42"/>
  <c r="H214" i="42"/>
  <c r="H213" i="42"/>
  <c r="H212" i="42"/>
  <c r="H211" i="42"/>
  <c r="H210" i="42"/>
  <c r="H209" i="42"/>
  <c r="H208" i="42"/>
  <c r="H207" i="42"/>
  <c r="H206" i="42"/>
  <c r="H205" i="42"/>
  <c r="H204" i="42"/>
  <c r="H203" i="42"/>
  <c r="H202" i="42"/>
  <c r="H201" i="42"/>
  <c r="H200" i="42"/>
  <c r="H199" i="42"/>
  <c r="H198" i="42"/>
  <c r="H197" i="42"/>
  <c r="H196" i="42"/>
  <c r="H195" i="42"/>
  <c r="H194" i="42"/>
  <c r="H193" i="42"/>
  <c r="H192" i="42"/>
  <c r="H191" i="42"/>
  <c r="H190" i="42"/>
  <c r="H189" i="42"/>
  <c r="H188" i="42"/>
  <c r="H187" i="42"/>
  <c r="H186" i="42"/>
  <c r="H185" i="42"/>
  <c r="H184" i="42"/>
  <c r="H183" i="42"/>
  <c r="H182" i="42"/>
  <c r="H181" i="42"/>
  <c r="H180" i="42"/>
  <c r="H179" i="42"/>
  <c r="H178" i="42"/>
  <c r="H177" i="42"/>
  <c r="H176" i="42"/>
  <c r="H175" i="42"/>
  <c r="H174" i="42"/>
  <c r="H173" i="42"/>
  <c r="H172" i="42"/>
  <c r="H171" i="42"/>
  <c r="H170" i="42"/>
  <c r="H169" i="42"/>
  <c r="H168" i="42"/>
  <c r="H167" i="42"/>
  <c r="H166" i="42"/>
  <c r="H165" i="42"/>
  <c r="H164" i="42"/>
  <c r="H163" i="42"/>
  <c r="H162" i="42"/>
  <c r="H161" i="42"/>
  <c r="H160" i="42"/>
  <c r="H159" i="42"/>
  <c r="H158" i="42"/>
  <c r="H157" i="42"/>
  <c r="H156" i="42"/>
  <c r="H155" i="42"/>
  <c r="H154" i="42"/>
  <c r="H153" i="42"/>
  <c r="H152" i="42"/>
  <c r="H151" i="42"/>
  <c r="H150" i="42"/>
  <c r="H149" i="42"/>
  <c r="H148" i="42"/>
  <c r="H147" i="42"/>
  <c r="H146" i="42"/>
  <c r="H145" i="42"/>
  <c r="H144" i="42"/>
  <c r="H143" i="42"/>
  <c r="H142" i="42"/>
  <c r="H141" i="42"/>
  <c r="H140" i="42"/>
  <c r="H139" i="42"/>
  <c r="H138" i="42"/>
  <c r="H137" i="42"/>
  <c r="H136" i="42"/>
  <c r="H135" i="42"/>
  <c r="H134" i="42"/>
  <c r="H133" i="42"/>
  <c r="H132" i="42"/>
  <c r="H131" i="42"/>
  <c r="H130" i="42"/>
  <c r="H129" i="42"/>
  <c r="H128" i="42"/>
  <c r="H127" i="42"/>
  <c r="H126" i="42"/>
  <c r="H125" i="42"/>
  <c r="H124" i="42"/>
  <c r="H123" i="42"/>
  <c r="H122" i="42"/>
  <c r="H121" i="42"/>
  <c r="H120" i="42"/>
  <c r="H119" i="42"/>
  <c r="H118" i="42"/>
  <c r="H117" i="42"/>
  <c r="H116" i="42"/>
  <c r="H115" i="42"/>
  <c r="H114" i="42"/>
  <c r="H113" i="42"/>
  <c r="H112" i="42"/>
  <c r="H111" i="42"/>
  <c r="H110" i="42"/>
  <c r="H109" i="42"/>
  <c r="H108" i="42"/>
  <c r="H107" i="42"/>
  <c r="H106" i="42"/>
  <c r="H105" i="42"/>
  <c r="H104" i="42"/>
  <c r="H103" i="42"/>
  <c r="H102" i="42"/>
  <c r="H101" i="42"/>
  <c r="H100" i="42"/>
  <c r="H99" i="42"/>
  <c r="H98" i="42"/>
  <c r="H97" i="42"/>
  <c r="H96" i="42"/>
  <c r="H95" i="42"/>
  <c r="H94" i="42"/>
  <c r="H93" i="42"/>
  <c r="H92" i="42"/>
  <c r="H91" i="42"/>
  <c r="H90" i="42"/>
  <c r="H89" i="42"/>
  <c r="H88" i="42"/>
  <c r="H87" i="42"/>
  <c r="H86" i="42"/>
  <c r="H85" i="42"/>
  <c r="H84" i="42"/>
  <c r="H83" i="42"/>
  <c r="H82" i="42"/>
  <c r="H81" i="42"/>
  <c r="H80" i="42"/>
  <c r="H79" i="42"/>
  <c r="H78" i="42"/>
  <c r="H77" i="42"/>
  <c r="H76" i="42"/>
  <c r="H75" i="42"/>
  <c r="H74" i="42"/>
  <c r="H73" i="42"/>
  <c r="H72" i="42"/>
  <c r="H71" i="42"/>
  <c r="H70" i="42"/>
  <c r="H69" i="42"/>
  <c r="H68" i="42"/>
  <c r="H67" i="42"/>
  <c r="H66" i="42"/>
  <c r="H65" i="42"/>
  <c r="H64" i="42"/>
  <c r="H63" i="42"/>
  <c r="H62" i="42"/>
  <c r="H61" i="42"/>
  <c r="H60" i="42"/>
  <c r="H59" i="42"/>
  <c r="H58" i="42"/>
  <c r="H57" i="42"/>
  <c r="H56" i="42"/>
  <c r="H55" i="42"/>
  <c r="H54" i="42"/>
  <c r="H53" i="42"/>
  <c r="H52" i="42"/>
  <c r="H51" i="42"/>
  <c r="H50" i="42"/>
  <c r="H49" i="42"/>
  <c r="H48" i="42"/>
  <c r="H47" i="42"/>
  <c r="H46" i="42"/>
  <c r="H45" i="42"/>
  <c r="H44" i="42"/>
  <c r="H43" i="42"/>
  <c r="H42" i="42"/>
  <c r="H41" i="42"/>
  <c r="H40" i="42"/>
  <c r="H39" i="42"/>
  <c r="H38" i="42"/>
  <c r="H37" i="42"/>
  <c r="H36" i="42"/>
  <c r="H35" i="42"/>
  <c r="H34" i="42"/>
  <c r="H33" i="42"/>
  <c r="H32" i="42"/>
  <c r="H31" i="42"/>
  <c r="H30" i="42"/>
  <c r="H29" i="42"/>
  <c r="H28" i="42"/>
  <c r="H27" i="42"/>
  <c r="H26" i="42"/>
  <c r="H25" i="42"/>
  <c r="H24" i="42"/>
  <c r="H23" i="42"/>
  <c r="H22" i="42"/>
  <c r="H21" i="42"/>
  <c r="H20" i="42"/>
  <c r="H19" i="42"/>
  <c r="H18" i="42"/>
  <c r="H17" i="42"/>
  <c r="H16" i="42"/>
  <c r="H15" i="42"/>
  <c r="H14" i="42"/>
  <c r="H13" i="42"/>
  <c r="H12" i="42"/>
  <c r="H11" i="42"/>
  <c r="H10" i="42"/>
  <c r="H9" i="42"/>
  <c r="H8" i="42"/>
  <c r="H7" i="42"/>
  <c r="H6" i="42"/>
  <c r="H1721" i="42"/>
  <c r="H1720" i="42"/>
  <c r="H1719" i="42"/>
  <c r="H1718" i="42"/>
  <c r="H1717" i="42"/>
  <c r="H1716" i="42"/>
  <c r="H1715" i="42"/>
  <c r="H1714" i="42"/>
  <c r="H1713" i="42"/>
  <c r="H1712" i="42"/>
  <c r="H1711" i="42"/>
  <c r="H1710" i="42"/>
  <c r="H1709" i="42"/>
  <c r="H1708" i="42"/>
  <c r="H1707" i="42"/>
  <c r="H1706" i="42"/>
  <c r="H1705" i="42"/>
  <c r="H1704" i="42"/>
  <c r="H1703" i="42"/>
  <c r="H1702" i="42"/>
  <c r="H1701" i="42"/>
  <c r="H1700" i="42"/>
  <c r="H1699" i="42"/>
  <c r="H1698" i="42"/>
  <c r="H1697" i="42"/>
  <c r="H1696" i="42"/>
  <c r="H1695" i="42"/>
  <c r="H1694" i="42"/>
  <c r="H1693" i="42"/>
  <c r="H1692" i="42"/>
  <c r="H1691" i="42"/>
  <c r="H1690" i="42"/>
  <c r="H1689" i="42"/>
  <c r="H1688" i="42"/>
  <c r="H1687" i="42"/>
  <c r="H1686" i="42"/>
  <c r="H1685" i="42"/>
  <c r="H1684" i="42"/>
  <c r="H1683" i="42"/>
  <c r="H1682" i="42"/>
  <c r="H1681" i="42"/>
  <c r="H1680" i="42"/>
  <c r="H1679" i="42"/>
  <c r="H1678" i="42"/>
  <c r="H1677" i="42"/>
  <c r="H1676" i="42"/>
  <c r="H1675" i="42"/>
  <c r="H1674" i="42"/>
  <c r="H1673" i="42"/>
  <c r="H1672" i="42"/>
  <c r="H1671" i="42"/>
  <c r="H1670" i="42"/>
  <c r="H1669" i="42"/>
  <c r="H1668" i="42"/>
  <c r="H1667" i="42"/>
  <c r="H1666" i="42"/>
  <c r="H1665" i="42"/>
  <c r="H1664" i="42"/>
  <c r="H1663" i="42"/>
  <c r="H1662" i="42"/>
  <c r="H1661" i="42"/>
  <c r="H1660" i="42"/>
  <c r="H1659" i="42"/>
  <c r="H1658" i="42"/>
  <c r="H1657" i="42"/>
  <c r="H1656" i="42"/>
  <c r="H1655" i="42"/>
  <c r="H1654" i="42"/>
  <c r="H1653" i="42"/>
  <c r="H1651" i="42"/>
  <c r="H1650" i="42"/>
  <c r="H1649" i="42"/>
  <c r="H1648" i="42"/>
  <c r="H1647" i="42"/>
  <c r="H1645" i="42"/>
  <c r="H1644" i="42"/>
  <c r="H1643" i="42"/>
  <c r="H1642" i="42"/>
  <c r="H1641" i="42"/>
  <c r="H1640" i="42"/>
  <c r="H1639" i="42"/>
  <c r="H1638" i="42"/>
  <c r="H1637" i="42"/>
  <c r="H1636" i="42"/>
  <c r="H1635" i="42"/>
  <c r="H1634" i="42"/>
  <c r="H1633" i="42"/>
  <c r="H1628" i="42"/>
  <c r="H1626" i="42"/>
  <c r="H1623" i="42"/>
  <c r="H1620" i="42"/>
  <c r="H1612" i="42"/>
  <c r="H1611" i="42"/>
  <c r="H1610" i="42"/>
  <c r="H1609" i="42"/>
  <c r="H1608" i="42"/>
  <c r="H1606" i="42"/>
  <c r="H1604" i="42"/>
  <c r="H1595" i="42"/>
  <c r="H1592" i="42"/>
  <c r="H1591" i="42"/>
  <c r="H1590" i="42"/>
  <c r="H1589" i="42"/>
  <c r="H1586" i="42"/>
  <c r="H1585" i="42"/>
  <c r="H1583" i="42"/>
  <c r="H1576" i="42"/>
  <c r="H1571" i="42"/>
  <c r="H1570" i="42"/>
  <c r="H1569" i="42"/>
  <c r="H1568" i="42"/>
  <c r="H1567" i="42"/>
  <c r="H1566" i="42"/>
  <c r="H1565" i="42"/>
  <c r="H1564" i="42"/>
  <c r="H1563" i="42"/>
  <c r="H1562" i="42"/>
  <c r="H1561" i="42"/>
  <c r="H1560" i="42"/>
  <c r="H1559" i="42"/>
  <c r="H1558" i="42"/>
  <c r="H1557" i="42"/>
  <c r="H1556" i="42"/>
  <c r="H1544" i="42"/>
  <c r="H1543" i="42"/>
  <c r="H1542" i="42"/>
  <c r="H1541" i="42"/>
  <c r="H1540" i="42"/>
  <c r="H1539" i="42"/>
  <c r="H1538" i="42"/>
  <c r="H1537" i="42"/>
  <c r="H1536" i="42"/>
  <c r="H1535" i="42"/>
  <c r="H1534" i="42"/>
  <c r="H1533" i="42"/>
  <c r="H1532" i="42"/>
  <c r="H1531" i="42"/>
  <c r="H1530" i="42"/>
  <c r="H1529" i="42"/>
  <c r="H1528" i="42"/>
  <c r="H1525" i="42"/>
  <c r="H1522" i="42"/>
  <c r="H1521" i="42"/>
  <c r="H1520" i="42"/>
  <c r="H1519" i="42"/>
  <c r="H1518" i="42"/>
  <c r="H1517" i="42"/>
  <c r="H1516" i="42"/>
  <c r="H1515" i="42"/>
  <c r="H1514" i="42"/>
  <c r="H1513" i="42"/>
  <c r="H1512" i="42"/>
  <c r="H1511" i="42"/>
  <c r="H1509" i="42"/>
  <c r="H1508" i="42"/>
  <c r="H1507" i="42"/>
  <c r="H1506" i="42"/>
  <c r="H1505" i="42"/>
  <c r="H1504" i="42"/>
  <c r="H1502" i="42"/>
  <c r="H1501" i="42"/>
  <c r="H1500" i="42"/>
  <c r="H1499" i="42"/>
  <c r="H1498" i="42"/>
  <c r="H1497" i="42"/>
  <c r="H1496" i="42"/>
  <c r="H1495" i="42"/>
  <c r="H1494" i="42"/>
  <c r="H1493" i="42"/>
  <c r="H1492" i="42"/>
  <c r="H1491" i="42"/>
  <c r="H1490" i="42"/>
  <c r="H1489" i="42"/>
  <c r="H1488" i="42"/>
  <c r="H1487" i="42"/>
  <c r="H1486" i="42"/>
  <c r="H1484" i="42"/>
  <c r="H1483" i="42"/>
  <c r="H1482" i="42"/>
  <c r="H1481" i="42"/>
  <c r="H1480" i="42"/>
  <c r="H1479" i="42"/>
  <c r="H1478" i="42"/>
  <c r="H1477" i="42"/>
  <c r="H1476" i="42"/>
  <c r="H1475" i="42"/>
  <c r="H1474" i="42"/>
  <c r="H1473" i="42"/>
  <c r="H1472" i="42"/>
  <c r="H1471" i="42"/>
  <c r="H1470" i="42"/>
  <c r="H1469" i="42"/>
  <c r="H1461" i="42"/>
  <c r="H1459" i="42"/>
  <c r="H1457" i="42"/>
  <c r="H1454" i="42"/>
  <c r="H1451" i="42"/>
  <c r="H1449" i="42"/>
  <c r="H1447" i="42"/>
  <c r="H1444" i="42"/>
  <c r="H1443" i="42"/>
  <c r="H1440" i="42"/>
  <c r="H1437" i="42"/>
  <c r="H1435" i="42"/>
  <c r="H1431" i="42"/>
  <c r="H1430" i="42"/>
  <c r="H1429" i="42"/>
  <c r="H1428" i="42"/>
  <c r="H1426" i="42"/>
  <c r="H1425" i="42"/>
  <c r="H1424" i="42"/>
  <c r="H1423" i="42"/>
  <c r="H1421" i="42"/>
  <c r="H1420" i="42"/>
  <c r="H1419" i="42"/>
  <c r="H1418" i="42"/>
  <c r="H1416" i="42"/>
  <c r="H1415" i="42"/>
  <c r="H1414" i="42"/>
  <c r="H1413" i="42"/>
  <c r="H1410" i="42"/>
  <c r="H1409" i="42"/>
  <c r="H1408" i="42"/>
  <c r="H1407" i="42"/>
  <c r="H1405" i="42"/>
  <c r="H1404" i="42"/>
  <c r="H1403" i="42"/>
  <c r="H1402" i="42"/>
  <c r="H1400" i="42"/>
  <c r="H1399" i="42"/>
  <c r="H1398" i="42"/>
  <c r="H1397" i="42"/>
  <c r="H1377" i="42"/>
  <c r="H1358" i="42"/>
  <c r="H1357" i="42"/>
  <c r="H1356" i="42"/>
  <c r="H1354" i="42"/>
  <c r="H1353" i="42"/>
  <c r="H1352" i="42"/>
  <c r="H1351" i="42"/>
  <c r="H1349" i="42"/>
  <c r="H1348" i="42"/>
  <c r="H1346" i="42"/>
  <c r="H1345" i="42"/>
  <c r="H1344" i="42"/>
  <c r="H1343" i="42"/>
  <c r="H1342" i="42"/>
  <c r="H1341" i="42"/>
  <c r="H1340" i="42"/>
  <c r="H1339" i="42"/>
  <c r="H1337" i="42"/>
  <c r="H1336" i="42"/>
  <c r="H1335" i="42"/>
  <c r="H1333" i="42"/>
  <c r="H1332" i="42"/>
  <c r="H1331" i="42"/>
  <c r="H1330" i="42"/>
  <c r="H1328" i="42"/>
  <c r="H1327" i="42"/>
  <c r="H1326" i="42"/>
  <c r="H1325" i="42"/>
  <c r="H1324" i="42"/>
  <c r="H1322" i="42"/>
  <c r="H1321" i="42"/>
  <c r="H1320" i="42"/>
  <c r="H1318" i="42"/>
  <c r="H1317" i="42"/>
  <c r="H1316" i="42"/>
  <c r="H1315" i="42"/>
  <c r="H1314" i="42"/>
  <c r="H1312" i="42"/>
  <c r="H1311" i="42"/>
  <c r="H1310" i="42"/>
  <c r="H1309" i="42"/>
  <c r="H1308" i="42"/>
  <c r="H1307" i="42"/>
  <c r="H1306" i="42"/>
  <c r="H1305" i="42"/>
  <c r="H1304" i="42"/>
  <c r="H1303" i="42"/>
  <c r="H1298" i="42"/>
  <c r="H1297" i="42"/>
  <c r="H1296" i="42"/>
  <c r="H1295" i="42"/>
  <c r="H1294" i="42"/>
  <c r="H1293" i="42"/>
  <c r="H1292" i="42"/>
  <c r="H1291" i="42"/>
  <c r="H1289" i="42"/>
  <c r="H1288" i="42"/>
  <c r="H1287" i="42"/>
  <c r="H1286" i="42"/>
  <c r="H1285" i="42"/>
  <c r="H1284" i="42"/>
  <c r="H1282" i="42"/>
  <c r="H1280" i="42"/>
  <c r="H1279" i="42"/>
  <c r="H1278" i="42"/>
  <c r="H1277" i="42"/>
  <c r="H1276" i="42"/>
  <c r="H1275" i="42"/>
  <c r="H1274" i="42"/>
  <c r="H1273" i="42"/>
  <c r="H1272" i="42"/>
  <c r="H1269" i="42"/>
  <c r="H1268" i="42"/>
  <c r="H1267" i="42"/>
  <c r="H1266" i="42"/>
  <c r="H1265" i="42"/>
  <c r="H1264" i="42"/>
  <c r="H1263" i="42"/>
  <c r="H1262" i="42"/>
  <c r="H1261" i="42"/>
  <c r="H1260" i="42"/>
  <c r="H1259" i="42"/>
  <c r="H1258" i="42"/>
  <c r="H1257" i="42"/>
  <c r="H1256" i="42"/>
  <c r="H1254" i="42"/>
  <c r="H1253" i="42"/>
  <c r="H1252" i="42"/>
  <c r="H1251" i="42"/>
  <c r="H1250" i="42"/>
  <c r="H1249" i="42"/>
  <c r="H1248" i="42"/>
  <c r="H1247" i="42"/>
  <c r="H1246" i="42"/>
  <c r="H1245" i="42"/>
  <c r="H1244" i="42"/>
  <c r="H1243" i="42"/>
  <c r="H1242" i="42"/>
  <c r="H1241" i="42"/>
  <c r="H1240" i="42"/>
  <c r="H1238" i="42"/>
  <c r="H1237" i="42"/>
  <c r="H1236" i="42"/>
  <c r="H1234" i="42"/>
  <c r="H1233" i="42"/>
  <c r="H1232" i="42"/>
  <c r="H1231" i="42"/>
  <c r="H1230" i="42"/>
  <c r="H1229" i="42"/>
  <c r="H1228" i="42"/>
  <c r="H1226" i="42"/>
  <c r="H1225" i="42"/>
  <c r="H1224" i="42"/>
  <c r="H1223" i="42"/>
  <c r="H1222" i="42"/>
  <c r="H1221" i="42"/>
  <c r="H1220" i="42"/>
  <c r="H1219" i="42"/>
  <c r="H1218" i="42"/>
  <c r="H1217" i="42"/>
  <c r="H1215" i="42"/>
  <c r="H1214" i="42"/>
  <c r="H1213" i="42"/>
  <c r="H1212" i="42"/>
  <c r="H1211" i="42"/>
  <c r="H1210" i="42"/>
  <c r="H1209" i="42"/>
  <c r="H1208" i="42"/>
  <c r="H1207" i="42"/>
  <c r="H1206" i="42"/>
  <c r="H1203" i="42"/>
  <c r="H1202" i="42"/>
  <c r="H1201" i="42"/>
  <c r="H1200" i="42"/>
  <c r="H1199" i="42"/>
  <c r="H1198" i="42"/>
  <c r="H1197" i="42"/>
  <c r="H1196" i="42"/>
  <c r="H1195" i="42"/>
  <c r="H1194" i="42"/>
  <c r="H1193" i="42"/>
  <c r="H1192" i="42"/>
  <c r="H1191" i="42"/>
  <c r="H1190" i="42"/>
  <c r="H1189" i="42"/>
  <c r="H1187" i="42"/>
  <c r="H1186" i="42"/>
  <c r="H1185" i="42"/>
  <c r="H1184" i="42"/>
  <c r="H1178" i="42"/>
  <c r="H1177" i="42"/>
  <c r="H1176" i="42"/>
  <c r="H1174" i="42"/>
  <c r="H1173" i="42"/>
  <c r="H1172" i="42"/>
  <c r="H1170" i="42"/>
  <c r="H1169" i="42"/>
  <c r="H1168" i="42"/>
  <c r="H1167" i="42"/>
  <c r="H1166" i="42"/>
  <c r="H1165" i="42"/>
  <c r="H1163" i="42"/>
  <c r="H1162" i="42"/>
  <c r="H1161" i="42"/>
  <c r="H1160" i="42"/>
  <c r="H1158" i="42"/>
  <c r="H1157" i="42"/>
  <c r="H1155" i="42"/>
  <c r="H1154" i="42"/>
  <c r="H1153" i="42"/>
  <c r="H1152" i="42"/>
  <c r="H1151" i="42"/>
  <c r="H1148" i="42"/>
  <c r="H1147" i="42"/>
  <c r="H1146" i="42"/>
  <c r="H1145" i="42"/>
  <c r="H1144" i="42"/>
  <c r="H1143" i="42"/>
  <c r="H1142" i="42"/>
  <c r="H1141" i="42"/>
  <c r="H1140" i="42"/>
  <c r="H1139" i="42"/>
  <c r="H1138" i="42"/>
  <c r="H1137" i="42"/>
  <c r="H1136" i="42"/>
  <c r="H1135" i="42"/>
  <c r="H1134" i="42"/>
  <c r="H1130" i="42"/>
  <c r="H1129" i="42"/>
  <c r="H1128" i="42"/>
  <c r="H1127" i="42"/>
  <c r="H1126" i="42"/>
  <c r="H1125" i="42"/>
  <c r="H1124" i="42"/>
  <c r="H1121" i="42"/>
  <c r="H1120" i="42"/>
  <c r="H1119" i="42"/>
  <c r="H1118" i="42"/>
  <c r="H1117" i="42"/>
  <c r="H1116" i="42"/>
  <c r="H1115" i="42"/>
  <c r="H1114" i="42"/>
  <c r="H1113" i="42"/>
  <c r="H1112" i="42"/>
  <c r="H1111" i="42"/>
  <c r="H1110" i="42"/>
  <c r="H1109" i="42"/>
  <c r="H1108" i="42"/>
  <c r="H1107" i="42"/>
  <c r="H1106" i="42"/>
  <c r="H1105" i="42"/>
  <c r="H1104" i="42"/>
  <c r="H1103" i="42"/>
  <c r="H1102" i="42"/>
  <c r="H1101" i="42"/>
  <c r="H1099" i="42"/>
  <c r="H1098" i="42"/>
  <c r="H1097" i="42"/>
  <c r="H1096" i="42"/>
  <c r="H1095" i="42"/>
  <c r="H1094" i="42"/>
  <c r="H1093" i="42"/>
  <c r="H1092" i="42"/>
  <c r="H1091" i="42"/>
  <c r="H1090" i="42"/>
  <c r="H1089" i="42"/>
  <c r="H1088" i="42"/>
  <c r="H1087" i="42"/>
  <c r="H1086" i="42"/>
  <c r="H1085" i="42"/>
  <c r="H1084" i="42"/>
  <c r="H1083" i="42"/>
  <c r="H1082" i="42"/>
  <c r="H1081" i="42"/>
  <c r="H1080" i="42"/>
  <c r="H1079" i="42"/>
  <c r="H1078" i="42"/>
  <c r="H1077" i="42"/>
  <c r="H1076" i="42"/>
  <c r="H1071" i="42"/>
  <c r="H1070" i="42"/>
  <c r="H1069" i="42"/>
  <c r="H1068" i="42"/>
  <c r="H1067" i="42"/>
  <c r="H1066" i="42"/>
  <c r="H1065" i="42"/>
  <c r="H1063" i="42"/>
  <c r="H1062" i="42"/>
  <c r="H1061" i="42"/>
  <c r="H1060" i="42"/>
  <c r="H1059" i="42"/>
  <c r="H1058" i="42"/>
  <c r="H1057" i="42"/>
  <c r="H1056" i="42"/>
  <c r="H1055" i="42"/>
  <c r="H1054" i="42"/>
  <c r="H1051" i="42"/>
  <c r="H1050" i="42"/>
  <c r="H1049" i="42"/>
  <c r="H1048" i="42"/>
  <c r="H1047" i="42"/>
  <c r="H1046" i="42"/>
  <c r="H1045" i="42"/>
  <c r="H1044" i="42"/>
  <c r="H1043" i="42"/>
  <c r="H1042" i="42"/>
  <c r="H1041" i="42"/>
  <c r="H1040" i="42"/>
  <c r="H1039" i="42"/>
  <c r="H1038" i="42"/>
  <c r="H1037" i="42"/>
  <c r="H1036" i="42"/>
  <c r="H1035" i="42"/>
  <c r="H1034" i="42"/>
  <c r="H1033" i="42"/>
  <c r="H1032" i="42"/>
  <c r="H1031" i="42"/>
  <c r="H1030" i="42"/>
  <c r="H1029" i="42"/>
  <c r="H1028" i="42"/>
  <c r="H1027" i="42"/>
  <c r="H1026" i="42"/>
  <c r="H1025" i="42"/>
  <c r="H1024" i="42"/>
  <c r="H1023" i="42"/>
  <c r="H1022" i="42"/>
  <c r="H1021" i="42"/>
  <c r="H1020" i="42"/>
  <c r="H1019" i="42"/>
  <c r="H1018" i="42"/>
  <c r="H1016" i="42"/>
  <c r="H1015" i="42"/>
  <c r="H1014" i="42"/>
  <c r="H1013" i="42"/>
  <c r="H1012" i="42"/>
  <c r="H1011" i="42"/>
  <c r="H1010" i="42"/>
  <c r="H1009" i="42"/>
  <c r="H1008" i="42"/>
  <c r="H1007" i="42"/>
  <c r="H1006" i="42"/>
  <c r="H1005" i="42"/>
  <c r="H1004" i="42"/>
  <c r="H1003" i="42"/>
  <c r="H1002" i="42"/>
  <c r="H1001" i="42"/>
  <c r="H1000" i="42"/>
  <c r="H999" i="42"/>
  <c r="H998" i="42"/>
  <c r="H997" i="42"/>
  <c r="H996" i="42"/>
  <c r="H995" i="42"/>
  <c r="H994" i="42"/>
  <c r="H993" i="42"/>
  <c r="H992" i="42"/>
  <c r="H991" i="42"/>
  <c r="H990" i="42"/>
  <c r="H989" i="42"/>
  <c r="H988" i="42"/>
  <c r="H987" i="42"/>
  <c r="H986" i="42"/>
  <c r="H984" i="42"/>
  <c r="H983" i="42"/>
  <c r="H982" i="42"/>
  <c r="H981" i="42"/>
  <c r="H980" i="42"/>
  <c r="H979" i="42"/>
  <c r="H978" i="42"/>
  <c r="H977" i="42"/>
  <c r="H976" i="42"/>
  <c r="H975" i="42"/>
  <c r="H974" i="42"/>
  <c r="H973" i="42"/>
  <c r="H972" i="42"/>
  <c r="H971" i="42"/>
  <c r="H970" i="42"/>
  <c r="H969" i="42"/>
  <c r="H968" i="42"/>
  <c r="H965" i="42"/>
  <c r="H964" i="42"/>
  <c r="H963" i="42"/>
  <c r="H962" i="42"/>
  <c r="H961" i="42"/>
  <c r="H960" i="42"/>
  <c r="H959" i="42"/>
  <c r="H958" i="42"/>
  <c r="H957" i="42"/>
  <c r="H956" i="42"/>
  <c r="H955" i="42"/>
  <c r="H954" i="42"/>
  <c r="H953" i="42"/>
  <c r="H952" i="42"/>
  <c r="H951" i="42"/>
  <c r="H950" i="42"/>
  <c r="H949" i="42"/>
  <c r="H948" i="42"/>
  <c r="H947" i="42"/>
  <c r="H946" i="42"/>
  <c r="H945" i="42"/>
  <c r="H944" i="42"/>
  <c r="H942" i="42"/>
  <c r="H941" i="42"/>
  <c r="H940" i="42"/>
  <c r="H939" i="42"/>
  <c r="H937" i="42"/>
  <c r="H936" i="42"/>
  <c r="H935" i="42"/>
  <c r="H934" i="42"/>
  <c r="H933" i="42"/>
  <c r="H932" i="42"/>
  <c r="H931" i="42"/>
  <c r="H930" i="42"/>
  <c r="H929" i="42"/>
  <c r="H928" i="42"/>
  <c r="H927" i="42"/>
  <c r="H926" i="42"/>
  <c r="H925" i="42"/>
  <c r="H924" i="42"/>
  <c r="H923" i="42"/>
  <c r="H922" i="42"/>
  <c r="H921" i="42"/>
  <c r="H920" i="42"/>
  <c r="H919" i="42"/>
  <c r="H918" i="42"/>
  <c r="H917" i="42"/>
  <c r="H916" i="42"/>
  <c r="H915" i="42"/>
  <c r="H913" i="42"/>
  <c r="H912" i="42"/>
  <c r="H911" i="42"/>
  <c r="H910" i="42"/>
  <c r="H909" i="42"/>
  <c r="H908" i="42"/>
  <c r="H907" i="42"/>
  <c r="H906" i="42"/>
  <c r="H905" i="42"/>
  <c r="H904" i="42"/>
  <c r="H903" i="42"/>
  <c r="H902" i="42"/>
  <c r="H901" i="42"/>
  <c r="H900" i="42"/>
  <c r="H899" i="42"/>
  <c r="H898" i="42"/>
  <c r="H897" i="42"/>
  <c r="H896" i="42"/>
  <c r="H895" i="42"/>
  <c r="H894" i="42"/>
  <c r="H893" i="42"/>
  <c r="H892" i="42"/>
  <c r="H891" i="42"/>
  <c r="H890" i="42"/>
  <c r="H889" i="42"/>
  <c r="H888" i="42"/>
  <c r="H885" i="42"/>
  <c r="H884" i="42"/>
  <c r="H883" i="42"/>
  <c r="H882" i="42"/>
  <c r="H881" i="42"/>
  <c r="H880" i="42"/>
  <c r="H879" i="42"/>
  <c r="H878" i="42"/>
  <c r="H877" i="42"/>
  <c r="H876" i="42"/>
  <c r="H875" i="42"/>
  <c r="H874" i="42"/>
  <c r="H873" i="42"/>
  <c r="H872" i="42"/>
  <c r="H870" i="42"/>
  <c r="H869" i="42"/>
  <c r="H868" i="42"/>
  <c r="H867" i="42"/>
  <c r="H866" i="42"/>
  <c r="H863" i="42"/>
  <c r="H862" i="42"/>
  <c r="H860" i="42"/>
  <c r="H859" i="42"/>
  <c r="H857" i="42"/>
  <c r="H856" i="42"/>
  <c r="H855" i="42"/>
  <c r="H854" i="42"/>
  <c r="H853" i="42"/>
  <c r="H852" i="42"/>
  <c r="H851" i="42"/>
  <c r="H850" i="42"/>
  <c r="H849" i="42"/>
  <c r="H848" i="42"/>
  <c r="H846" i="42"/>
  <c r="H845" i="42"/>
  <c r="H844" i="42"/>
  <c r="H843" i="42"/>
  <c r="H841" i="42"/>
  <c r="H840" i="42"/>
  <c r="H839" i="42"/>
  <c r="H838" i="42"/>
  <c r="H837" i="42"/>
  <c r="H836" i="42"/>
  <c r="H835" i="42"/>
  <c r="H834" i="42"/>
  <c r="H833" i="42"/>
  <c r="H832" i="42"/>
  <c r="H831" i="42"/>
  <c r="H829" i="42"/>
  <c r="H828" i="42"/>
  <c r="H827" i="42"/>
  <c r="H826" i="42"/>
  <c r="H825" i="42"/>
  <c r="H823" i="42"/>
  <c r="H822" i="42"/>
  <c r="H821" i="42"/>
  <c r="H820" i="42"/>
  <c r="H819" i="42"/>
  <c r="H818" i="42"/>
  <c r="H817" i="42"/>
  <c r="H816" i="42"/>
  <c r="H815" i="42"/>
  <c r="H814" i="42"/>
  <c r="H813" i="42"/>
  <c r="H811" i="42"/>
  <c r="H810" i="42"/>
  <c r="H809" i="42"/>
  <c r="H808" i="42"/>
  <c r="H807" i="42"/>
  <c r="H806" i="42"/>
  <c r="H805" i="42"/>
  <c r="H804" i="42"/>
  <c r="H803" i="42"/>
  <c r="H801" i="42"/>
  <c r="H800" i="42"/>
  <c r="H799" i="42"/>
  <c r="H798" i="42"/>
  <c r="H797" i="42"/>
  <c r="H796" i="42"/>
  <c r="H795" i="42"/>
  <c r="H794" i="42"/>
  <c r="H793" i="42"/>
  <c r="H792" i="42"/>
  <c r="H790" i="42"/>
  <c r="H789" i="42"/>
  <c r="H788" i="42"/>
  <c r="H787" i="42"/>
  <c r="H786" i="42"/>
  <c r="H785" i="42"/>
  <c r="H784" i="42"/>
  <c r="H783" i="42"/>
  <c r="H782" i="42"/>
  <c r="H781" i="42"/>
  <c r="H780" i="42"/>
  <c r="H779" i="42"/>
  <c r="H778" i="42"/>
  <c r="H777" i="42"/>
  <c r="H776" i="42"/>
  <c r="H775" i="42"/>
  <c r="H774" i="42"/>
  <c r="H773" i="42"/>
  <c r="H772" i="42"/>
  <c r="H771" i="42"/>
  <c r="H770" i="42"/>
  <c r="H769" i="42"/>
  <c r="H768" i="42"/>
  <c r="H766" i="42"/>
  <c r="H765" i="42"/>
  <c r="H763" i="42"/>
  <c r="H762" i="42"/>
  <c r="H761" i="42"/>
  <c r="H760" i="42"/>
  <c r="H759" i="42"/>
  <c r="H758" i="42"/>
  <c r="H757" i="42"/>
  <c r="H756" i="42"/>
  <c r="H755" i="42"/>
  <c r="H754" i="42"/>
  <c r="H753" i="42"/>
  <c r="H752" i="42"/>
  <c r="H751" i="42"/>
  <c r="H750" i="42"/>
  <c r="H749" i="42"/>
  <c r="H748" i="42"/>
  <c r="H747" i="42"/>
  <c r="H746" i="42"/>
  <c r="H744" i="42"/>
  <c r="H743" i="42"/>
  <c r="H742" i="42"/>
  <c r="H741" i="42"/>
  <c r="H740" i="42"/>
  <c r="H738" i="42"/>
  <c r="H737" i="42"/>
  <c r="H736" i="42"/>
  <c r="H735" i="42"/>
  <c r="H734" i="42"/>
  <c r="H732" i="42"/>
  <c r="H731" i="42"/>
  <c r="H730" i="42"/>
  <c r="H729" i="42"/>
  <c r="H728" i="42"/>
  <c r="H727" i="42"/>
  <c r="H726" i="42"/>
  <c r="H725" i="42"/>
  <c r="H724" i="42"/>
  <c r="H723" i="42"/>
  <c r="H722" i="42"/>
  <c r="H720" i="42"/>
  <c r="H719" i="42"/>
  <c r="H718" i="42"/>
  <c r="H716" i="42"/>
  <c r="H714" i="42"/>
  <c r="H713" i="42"/>
  <c r="H712" i="42"/>
  <c r="H711" i="42"/>
  <c r="H708" i="42"/>
  <c r="H707" i="42"/>
  <c r="H706" i="42"/>
  <c r="H705" i="42"/>
  <c r="H704" i="42"/>
  <c r="H703" i="42"/>
  <c r="H702" i="42"/>
  <c r="H701" i="42"/>
  <c r="H699" i="42"/>
  <c r="H698" i="42"/>
  <c r="H697" i="42"/>
  <c r="H696" i="42"/>
  <c r="H695" i="42"/>
  <c r="H694" i="42"/>
  <c r="H693" i="42"/>
  <c r="H691" i="42"/>
  <c r="H690" i="42"/>
  <c r="H689" i="42"/>
  <c r="H688" i="42"/>
  <c r="H687" i="42"/>
  <c r="H684" i="42"/>
  <c r="H683" i="42"/>
  <c r="H682" i="42"/>
  <c r="H681" i="42"/>
  <c r="H680" i="42"/>
  <c r="H679" i="42"/>
  <c r="H678" i="42"/>
  <c r="H677" i="42"/>
  <c r="H676" i="42"/>
  <c r="H675" i="42"/>
  <c r="H674" i="42"/>
  <c r="H673" i="42"/>
  <c r="H671" i="42"/>
  <c r="H670" i="42"/>
  <c r="H669" i="42"/>
  <c r="H668" i="42"/>
  <c r="H667" i="42"/>
  <c r="H666" i="42"/>
  <c r="H665" i="42"/>
  <c r="H664" i="42"/>
  <c r="H662" i="42"/>
  <c r="H661" i="42"/>
  <c r="H660" i="42"/>
  <c r="H659" i="42"/>
  <c r="H658" i="42"/>
  <c r="H657" i="42"/>
  <c r="H656" i="42"/>
  <c r="H655" i="42"/>
  <c r="H654" i="42"/>
  <c r="H653" i="42"/>
  <c r="H652" i="42"/>
  <c r="H651" i="42"/>
  <c r="H650" i="42"/>
  <c r="H649" i="42"/>
  <c r="H648" i="42"/>
  <c r="H647" i="42"/>
  <c r="H646" i="42"/>
  <c r="H644" i="42"/>
  <c r="H643" i="42"/>
  <c r="H642" i="42"/>
  <c r="H641" i="42"/>
  <c r="H640" i="42"/>
  <c r="H639" i="42"/>
  <c r="H638" i="42"/>
  <c r="H637" i="42"/>
  <c r="H636" i="42"/>
  <c r="H635" i="42"/>
  <c r="H634" i="42"/>
  <c r="H633" i="42"/>
  <c r="H632" i="42"/>
  <c r="H629" i="42"/>
  <c r="H628" i="42"/>
  <c r="H627" i="42"/>
  <c r="H626" i="42"/>
  <c r="H625" i="42"/>
  <c r="H623" i="42"/>
  <c r="H622" i="42"/>
  <c r="H621" i="42"/>
  <c r="H620" i="42"/>
  <c r="H619" i="42"/>
  <c r="H618" i="42"/>
  <c r="H617" i="42"/>
  <c r="H615" i="42"/>
  <c r="H614" i="42"/>
  <c r="H613" i="42"/>
  <c r="H612" i="42"/>
  <c r="H611" i="42"/>
  <c r="H609" i="42"/>
  <c r="H608" i="42"/>
  <c r="H607" i="42"/>
  <c r="H606" i="42"/>
  <c r="H601" i="42"/>
  <c r="H600" i="42"/>
  <c r="G1721" i="42"/>
  <c r="G1720" i="42"/>
  <c r="G1719" i="42"/>
  <c r="G1718" i="42"/>
  <c r="G1717" i="42"/>
  <c r="G1716" i="42"/>
  <c r="G1715" i="42"/>
  <c r="G1714" i="42"/>
  <c r="G1713" i="42"/>
  <c r="G1712" i="42"/>
  <c r="G1711" i="42"/>
  <c r="G1710" i="42"/>
  <c r="G1709" i="42"/>
  <c r="G1708" i="42"/>
  <c r="G1707" i="42"/>
  <c r="G1706" i="42"/>
  <c r="G1705" i="42"/>
  <c r="G1704" i="42"/>
  <c r="G1703" i="42"/>
  <c r="G1702" i="42"/>
  <c r="G1701" i="42"/>
  <c r="G1700" i="42"/>
  <c r="G1699" i="42"/>
  <c r="G1698" i="42"/>
  <c r="G1697" i="42"/>
  <c r="G1696" i="42"/>
  <c r="G1695" i="42"/>
  <c r="G1694" i="42"/>
  <c r="G1693" i="42"/>
  <c r="G1692" i="42"/>
  <c r="G1691" i="42"/>
  <c r="G1690" i="42"/>
  <c r="G1689" i="42"/>
  <c r="G1688" i="42"/>
  <c r="G1687" i="42"/>
  <c r="G1686" i="42"/>
  <c r="G1685" i="42"/>
  <c r="G1684" i="42"/>
  <c r="G1683" i="42"/>
  <c r="G1682" i="42"/>
  <c r="G1681" i="42"/>
  <c r="G1680" i="42"/>
  <c r="G1679" i="42"/>
  <c r="G1678" i="42"/>
  <c r="G1677" i="42"/>
  <c r="G1676" i="42"/>
  <c r="G1675" i="42"/>
  <c r="G1674" i="42"/>
  <c r="G1673" i="42"/>
  <c r="G1672" i="42"/>
  <c r="G1671" i="42"/>
  <c r="G1670" i="42"/>
  <c r="G1669" i="42"/>
  <c r="G1668" i="42"/>
  <c r="G1667" i="42"/>
  <c r="G1666" i="42"/>
  <c r="G1665" i="42"/>
  <c r="G1664" i="42"/>
  <c r="G1663" i="42"/>
  <c r="G1662" i="42"/>
  <c r="G1661" i="42"/>
  <c r="G1660" i="42"/>
  <c r="G1659" i="42"/>
  <c r="G1658" i="42"/>
  <c r="G1657" i="42"/>
  <c r="G1656" i="42"/>
  <c r="G1655" i="42"/>
  <c r="G1654" i="42"/>
  <c r="G1653" i="42"/>
  <c r="G1651" i="42"/>
  <c r="G1650" i="42"/>
  <c r="G1649" i="42"/>
  <c r="G1648" i="42"/>
  <c r="G1647" i="42"/>
  <c r="G1645" i="42"/>
  <c r="G1644" i="42"/>
  <c r="G1643" i="42"/>
  <c r="G1642" i="42"/>
  <c r="G1641" i="42"/>
  <c r="G1640" i="42"/>
  <c r="G1639" i="42"/>
  <c r="G1638" i="42"/>
  <c r="G1637" i="42"/>
  <c r="G1636" i="42"/>
  <c r="G1635" i="42"/>
  <c r="G1634" i="42"/>
  <c r="G1633" i="42"/>
  <c r="G1628" i="42"/>
  <c r="G1626" i="42"/>
  <c r="G1623" i="42"/>
  <c r="G1620" i="42"/>
  <c r="G1612" i="42"/>
  <c r="G1611" i="42"/>
  <c r="G1610" i="42"/>
  <c r="G1609" i="42"/>
  <c r="G1608" i="42"/>
  <c r="G1606" i="42"/>
  <c r="G1604" i="42"/>
  <c r="G1595" i="42"/>
  <c r="G1592" i="42"/>
  <c r="G1591" i="42"/>
  <c r="G1590" i="42"/>
  <c r="G1589" i="42"/>
  <c r="G1586" i="42"/>
  <c r="G1585" i="42"/>
  <c r="G1583" i="42"/>
  <c r="G1576" i="42"/>
  <c r="G1571" i="42"/>
  <c r="G1570" i="42"/>
  <c r="G1569" i="42"/>
  <c r="G1568" i="42"/>
  <c r="G1567" i="42"/>
  <c r="G1566" i="42"/>
  <c r="G1565" i="42"/>
  <c r="G1564" i="42"/>
  <c r="G1563" i="42"/>
  <c r="G1562" i="42"/>
  <c r="G1561" i="42"/>
  <c r="G1560" i="42"/>
  <c r="G1559" i="42"/>
  <c r="G1558" i="42"/>
  <c r="G1557" i="42"/>
  <c r="G1556" i="42"/>
  <c r="G1544" i="42"/>
  <c r="G1543" i="42"/>
  <c r="G1542" i="42"/>
  <c r="G1541" i="42"/>
  <c r="G1540" i="42"/>
  <c r="G1539" i="42"/>
  <c r="G1538" i="42"/>
  <c r="G1537" i="42"/>
  <c r="G1536" i="42"/>
  <c r="G1535" i="42"/>
  <c r="G1534" i="42"/>
  <c r="G1533" i="42"/>
  <c r="G1532" i="42"/>
  <c r="G1531" i="42"/>
  <c r="G1530" i="42"/>
  <c r="G1529" i="42"/>
  <c r="G1528" i="42"/>
  <c r="G1525" i="42"/>
  <c r="G1522" i="42"/>
  <c r="G1521" i="42"/>
  <c r="G1520" i="42"/>
  <c r="G1519" i="42"/>
  <c r="G1518" i="42"/>
  <c r="G1517" i="42"/>
  <c r="G1516" i="42"/>
  <c r="G1515" i="42"/>
  <c r="G1514" i="42"/>
  <c r="G1513" i="42"/>
  <c r="G1512" i="42"/>
  <c r="G1511" i="42"/>
  <c r="G1509" i="42"/>
  <c r="G1508" i="42"/>
  <c r="G1507" i="42"/>
  <c r="G1506" i="42"/>
  <c r="G1505" i="42"/>
  <c r="G1504" i="42"/>
  <c r="G1502" i="42"/>
  <c r="G1501" i="42"/>
  <c r="G1500" i="42"/>
  <c r="G1499" i="42"/>
  <c r="G1498" i="42"/>
  <c r="G1497" i="42"/>
  <c r="G1496" i="42"/>
  <c r="G1495" i="42"/>
  <c r="G1494" i="42"/>
  <c r="G1493" i="42"/>
  <c r="G1492" i="42"/>
  <c r="G1491" i="42"/>
  <c r="G1490" i="42"/>
  <c r="G1489" i="42"/>
  <c r="G1488" i="42"/>
  <c r="G1487" i="42"/>
  <c r="G1486" i="42"/>
  <c r="G1484" i="42"/>
  <c r="G1483" i="42"/>
  <c r="G1482" i="42"/>
  <c r="G1481" i="42"/>
  <c r="G1480" i="42"/>
  <c r="G1479" i="42"/>
  <c r="G1478" i="42"/>
  <c r="G1477" i="42"/>
  <c r="G1476" i="42"/>
  <c r="G1475" i="42"/>
  <c r="G1474" i="42"/>
  <c r="G1473" i="42"/>
  <c r="G1472" i="42"/>
  <c r="G1471" i="42"/>
  <c r="G1470" i="42"/>
  <c r="G1469" i="42"/>
  <c r="G1461" i="42"/>
  <c r="G1459" i="42"/>
  <c r="G1457" i="42"/>
  <c r="G1454" i="42"/>
  <c r="G1451" i="42"/>
  <c r="G1449" i="42"/>
  <c r="G1447" i="42"/>
  <c r="G1444" i="42"/>
  <c r="G1443" i="42"/>
  <c r="G1440" i="42"/>
  <c r="G1437" i="42"/>
  <c r="G1435" i="42"/>
  <c r="G1431" i="42"/>
  <c r="G1430" i="42"/>
  <c r="G1429" i="42"/>
  <c r="G1428" i="42"/>
  <c r="G1426" i="42"/>
  <c r="G1425" i="42"/>
  <c r="G1424" i="42"/>
  <c r="G1423" i="42"/>
  <c r="G1421" i="42"/>
  <c r="G1420" i="42"/>
  <c r="G1419" i="42"/>
  <c r="G1418" i="42"/>
  <c r="G1416" i="42"/>
  <c r="G1415" i="42"/>
  <c r="G1414" i="42"/>
  <c r="G1413" i="42"/>
  <c r="G1410" i="42"/>
  <c r="G1409" i="42"/>
  <c r="G1408" i="42"/>
  <c r="G1407" i="42"/>
  <c r="G1405" i="42"/>
  <c r="G1404" i="42"/>
  <c r="G1403" i="42"/>
  <c r="G1402" i="42"/>
  <c r="G1400" i="42"/>
  <c r="G1399" i="42"/>
  <c r="G1398" i="42"/>
  <c r="G1397" i="42"/>
  <c r="G1377" i="42"/>
  <c r="G1358" i="42"/>
  <c r="G1357" i="42"/>
  <c r="G1356" i="42"/>
  <c r="G1354" i="42"/>
  <c r="G1353" i="42"/>
  <c r="G1352" i="42"/>
  <c r="G1351" i="42"/>
  <c r="G1349" i="42"/>
  <c r="G1348" i="42"/>
  <c r="G1346" i="42"/>
  <c r="G1345" i="42"/>
  <c r="G1344" i="42"/>
  <c r="G1343" i="42"/>
  <c r="G1342" i="42"/>
  <c r="G1341" i="42"/>
  <c r="G1340" i="42"/>
  <c r="G1339" i="42"/>
  <c r="G1337" i="42"/>
  <c r="G1336" i="42"/>
  <c r="G1335" i="42"/>
  <c r="G1333" i="42"/>
  <c r="G1332" i="42"/>
  <c r="G1331" i="42"/>
  <c r="G1330" i="42"/>
  <c r="G1328" i="42"/>
  <c r="G1327" i="42"/>
  <c r="G1326" i="42"/>
  <c r="G1325" i="42"/>
  <c r="G1324" i="42"/>
  <c r="G1322" i="42"/>
  <c r="G1321" i="42"/>
  <c r="G1320" i="42"/>
  <c r="G1318" i="42"/>
  <c r="G1317" i="42"/>
  <c r="G1316" i="42"/>
  <c r="G1315" i="42"/>
  <c r="G1314" i="42"/>
  <c r="G1312" i="42"/>
  <c r="G1311" i="42"/>
  <c r="G1310" i="42"/>
  <c r="G1309" i="42"/>
  <c r="G1308" i="42"/>
  <c r="G1307" i="42"/>
  <c r="G1306" i="42"/>
  <c r="G1305" i="42"/>
  <c r="G1304" i="42"/>
  <c r="G1303" i="42"/>
  <c r="G1298" i="42"/>
  <c r="G1297" i="42"/>
  <c r="G1296" i="42"/>
  <c r="G1295" i="42"/>
  <c r="G1294" i="42"/>
  <c r="G1293" i="42"/>
  <c r="G1292" i="42"/>
  <c r="G1291" i="42"/>
  <c r="G1289" i="42"/>
  <c r="G1288" i="42"/>
  <c r="G1287" i="42"/>
  <c r="G1286" i="42"/>
  <c r="G1285" i="42"/>
  <c r="G1284" i="42"/>
  <c r="G1282" i="42"/>
  <c r="G1280" i="42"/>
  <c r="G1279" i="42"/>
  <c r="G1278" i="42"/>
  <c r="G1277" i="42"/>
  <c r="G1276" i="42"/>
  <c r="G1275" i="42"/>
  <c r="G1274" i="42"/>
  <c r="G1273" i="42"/>
  <c r="G1272" i="42"/>
  <c r="G1269" i="42"/>
  <c r="G1268" i="42"/>
  <c r="G1267" i="42"/>
  <c r="G1266" i="42"/>
  <c r="G1265" i="42"/>
  <c r="G1264" i="42"/>
  <c r="G1263" i="42"/>
  <c r="G1262" i="42"/>
  <c r="G1261" i="42"/>
  <c r="G1260" i="42"/>
  <c r="G1259" i="42"/>
  <c r="G1258" i="42"/>
  <c r="G1257" i="42"/>
  <c r="G1256" i="42"/>
  <c r="G1254" i="42"/>
  <c r="G1253" i="42"/>
  <c r="G1252" i="42"/>
  <c r="G1251" i="42"/>
  <c r="G1250" i="42"/>
  <c r="G1249" i="42"/>
  <c r="G1248" i="42"/>
  <c r="G1247" i="42"/>
  <c r="G1246" i="42"/>
  <c r="G1245" i="42"/>
  <c r="G1244" i="42"/>
  <c r="G1243" i="42"/>
  <c r="G1242" i="42"/>
  <c r="G1241" i="42"/>
  <c r="G1240" i="42"/>
  <c r="G1238" i="42"/>
  <c r="G1237" i="42"/>
  <c r="G1236" i="42"/>
  <c r="G1234" i="42"/>
  <c r="G1233" i="42"/>
  <c r="G1232" i="42"/>
  <c r="G1231" i="42"/>
  <c r="G1230" i="42"/>
  <c r="G1229" i="42"/>
  <c r="G1228" i="42"/>
  <c r="G1226" i="42"/>
  <c r="G1225" i="42"/>
  <c r="G1224" i="42"/>
  <c r="G1223" i="42"/>
  <c r="G1222" i="42"/>
  <c r="G1221" i="42"/>
  <c r="G1220" i="42"/>
  <c r="G1219" i="42"/>
  <c r="G1218" i="42"/>
  <c r="G1217" i="42"/>
  <c r="G1215" i="42"/>
  <c r="G1214" i="42"/>
  <c r="G1213" i="42"/>
  <c r="G1212" i="42"/>
  <c r="G1211" i="42"/>
  <c r="G1210" i="42"/>
  <c r="G1209" i="42"/>
  <c r="G1208" i="42"/>
  <c r="G1207" i="42"/>
  <c r="G1206" i="42"/>
  <c r="G1203" i="42"/>
  <c r="G1202" i="42"/>
  <c r="G1201" i="42"/>
  <c r="G1200" i="42"/>
  <c r="G1199" i="42"/>
  <c r="G1198" i="42"/>
  <c r="G1197" i="42"/>
  <c r="G1196" i="42"/>
  <c r="G1195" i="42"/>
  <c r="G1194" i="42"/>
  <c r="G1193" i="42"/>
  <c r="G1192" i="42"/>
  <c r="G1191" i="42"/>
  <c r="G1190" i="42"/>
  <c r="G1189" i="42"/>
  <c r="G1187" i="42"/>
  <c r="G1186" i="42"/>
  <c r="G1185" i="42"/>
  <c r="G1184" i="42"/>
  <c r="G1178" i="42"/>
  <c r="G1177" i="42"/>
  <c r="G1176" i="42"/>
  <c r="G1174" i="42"/>
  <c r="G1173" i="42"/>
  <c r="G1172" i="42"/>
  <c r="G1170" i="42"/>
  <c r="G1169" i="42"/>
  <c r="G1168" i="42"/>
  <c r="G1167" i="42"/>
  <c r="G1166" i="42"/>
  <c r="G1165" i="42"/>
  <c r="G1163" i="42"/>
  <c r="G1162" i="42"/>
  <c r="G1161" i="42"/>
  <c r="G1160" i="42"/>
  <c r="G1158" i="42"/>
  <c r="G1157" i="42"/>
  <c r="G1155" i="42"/>
  <c r="G1154" i="42"/>
  <c r="G1153" i="42"/>
  <c r="G1152" i="42"/>
  <c r="G1151" i="42"/>
  <c r="G1148" i="42"/>
  <c r="G1147" i="42"/>
  <c r="G1146" i="42"/>
  <c r="G1145" i="42"/>
  <c r="G1144" i="42"/>
  <c r="G1143" i="42"/>
  <c r="G1142" i="42"/>
  <c r="G1141" i="42"/>
  <c r="G1140" i="42"/>
  <c r="G1139" i="42"/>
  <c r="G1138" i="42"/>
  <c r="G1137" i="42"/>
  <c r="G1136" i="42"/>
  <c r="G1135" i="42"/>
  <c r="G1134" i="42"/>
  <c r="G1130" i="42"/>
  <c r="G1129" i="42"/>
  <c r="G1128" i="42"/>
  <c r="G1127" i="42"/>
  <c r="G1126" i="42"/>
  <c r="G1125" i="42"/>
  <c r="G1124" i="42"/>
  <c r="G1121" i="42"/>
  <c r="G1120" i="42"/>
  <c r="G1119" i="42"/>
  <c r="G1118" i="42"/>
  <c r="G1117" i="42"/>
  <c r="G1116" i="42"/>
  <c r="G1115" i="42"/>
  <c r="G1114" i="42"/>
  <c r="G1113" i="42"/>
  <c r="G1112" i="42"/>
  <c r="G1111" i="42"/>
  <c r="G1110" i="42"/>
  <c r="G1109" i="42"/>
  <c r="G1108" i="42"/>
  <c r="G1107" i="42"/>
  <c r="G1106" i="42"/>
  <c r="G1105" i="42"/>
  <c r="G1104" i="42"/>
  <c r="G1103" i="42"/>
  <c r="G1102" i="42"/>
  <c r="G1101" i="42"/>
  <c r="G1099" i="42"/>
  <c r="G1098" i="42"/>
  <c r="G1097" i="42"/>
  <c r="G1096" i="42"/>
  <c r="G1095" i="42"/>
  <c r="G1094" i="42"/>
  <c r="G1093" i="42"/>
  <c r="G1092" i="42"/>
  <c r="G1091" i="42"/>
  <c r="G1090" i="42"/>
  <c r="G1089" i="42"/>
  <c r="G1088" i="42"/>
  <c r="G1087" i="42"/>
  <c r="G1086" i="42"/>
  <c r="G1085" i="42"/>
  <c r="G1084" i="42"/>
  <c r="G1083" i="42"/>
  <c r="G1082" i="42"/>
  <c r="G1081" i="42"/>
  <c r="G1080" i="42"/>
  <c r="G1079" i="42"/>
  <c r="G1078" i="42"/>
  <c r="G1077" i="42"/>
  <c r="G1076" i="42"/>
  <c r="G1071" i="42"/>
  <c r="G1070" i="42"/>
  <c r="G1069" i="42"/>
  <c r="G1068" i="42"/>
  <c r="G1067" i="42"/>
  <c r="G1066" i="42"/>
  <c r="G1065" i="42"/>
  <c r="G1063" i="42"/>
  <c r="G1062" i="42"/>
  <c r="G1061" i="42"/>
  <c r="G1060" i="42"/>
  <c r="G1059" i="42"/>
  <c r="G1058" i="42"/>
  <c r="G1057" i="42"/>
  <c r="G1056" i="42"/>
  <c r="G1055" i="42"/>
  <c r="G1054" i="42"/>
  <c r="G1051" i="42"/>
  <c r="G1050" i="42"/>
  <c r="G1049" i="42"/>
  <c r="G1048" i="42"/>
  <c r="G1047" i="42"/>
  <c r="G1046" i="42"/>
  <c r="G1045" i="42"/>
  <c r="G1044" i="42"/>
  <c r="G1043" i="42"/>
  <c r="G1042" i="42"/>
  <c r="G1041" i="42"/>
  <c r="G1040" i="42"/>
  <c r="G1039" i="42"/>
  <c r="G1038" i="42"/>
  <c r="G1037" i="42"/>
  <c r="G1036" i="42"/>
  <c r="G1035" i="42"/>
  <c r="G1034" i="42"/>
  <c r="G1033" i="42"/>
  <c r="G1032" i="42"/>
  <c r="G1031" i="42"/>
  <c r="G1030" i="42"/>
  <c r="G1029" i="42"/>
  <c r="G1028" i="42"/>
  <c r="G1027" i="42"/>
  <c r="G1026" i="42"/>
  <c r="G1025" i="42"/>
  <c r="G1024" i="42"/>
  <c r="G1023" i="42"/>
  <c r="G1022" i="42"/>
  <c r="G1021" i="42"/>
  <c r="G1020" i="42"/>
  <c r="G1019" i="42"/>
  <c r="G1018" i="42"/>
  <c r="G1016" i="42"/>
  <c r="G1015" i="42"/>
  <c r="G1014" i="42"/>
  <c r="G1013" i="42"/>
  <c r="G1012" i="42"/>
  <c r="G1011" i="42"/>
  <c r="G1010" i="42"/>
  <c r="G1009" i="42"/>
  <c r="G1008" i="42"/>
  <c r="G1007" i="42"/>
  <c r="G1006" i="42"/>
  <c r="G1005" i="42"/>
  <c r="G1004" i="42"/>
  <c r="G1003" i="42"/>
  <c r="G1002" i="42"/>
  <c r="G1001" i="42"/>
  <c r="G1000" i="42"/>
  <c r="G999" i="42"/>
  <c r="G998" i="42"/>
  <c r="G997" i="42"/>
  <c r="G996" i="42"/>
  <c r="G995" i="42"/>
  <c r="G994" i="42"/>
  <c r="G993" i="42"/>
  <c r="G992" i="42"/>
  <c r="G991" i="42"/>
  <c r="G990" i="42"/>
  <c r="G989" i="42"/>
  <c r="G988" i="42"/>
  <c r="G987" i="42"/>
  <c r="G986" i="42"/>
  <c r="G984" i="42"/>
  <c r="G983" i="42"/>
  <c r="G982" i="42"/>
  <c r="G981" i="42"/>
  <c r="G980" i="42"/>
  <c r="G979" i="42"/>
  <c r="G978" i="42"/>
  <c r="G977" i="42"/>
  <c r="G976" i="42"/>
  <c r="G975" i="42"/>
  <c r="G974" i="42"/>
  <c r="G973" i="42"/>
  <c r="G972" i="42"/>
  <c r="G971" i="42"/>
  <c r="G970" i="42"/>
  <c r="G969" i="42"/>
  <c r="G968" i="42"/>
  <c r="G965" i="42"/>
  <c r="G964" i="42"/>
  <c r="G963" i="42"/>
  <c r="G962" i="42"/>
  <c r="G961" i="42"/>
  <c r="G960" i="42"/>
  <c r="G959" i="42"/>
  <c r="G958" i="42"/>
  <c r="G957" i="42"/>
  <c r="G956" i="42"/>
  <c r="G955" i="42"/>
  <c r="G954" i="42"/>
  <c r="G953" i="42"/>
  <c r="G952" i="42"/>
  <c r="G951" i="42"/>
  <c r="G950" i="42"/>
  <c r="G949" i="42"/>
  <c r="G948" i="42"/>
  <c r="G947" i="42"/>
  <c r="G946" i="42"/>
  <c r="G945" i="42"/>
  <c r="G944" i="42"/>
  <c r="G942" i="42"/>
  <c r="G941" i="42"/>
  <c r="G940" i="42"/>
  <c r="G939" i="42"/>
  <c r="G937" i="42"/>
  <c r="G936" i="42"/>
  <c r="G935" i="42"/>
  <c r="G934" i="42"/>
  <c r="G933" i="42"/>
  <c r="G932" i="42"/>
  <c r="G931" i="42"/>
  <c r="G930" i="42"/>
  <c r="G929" i="42"/>
  <c r="G928" i="42"/>
  <c r="G927" i="42"/>
  <c r="G926" i="42"/>
  <c r="G925" i="42"/>
  <c r="G924" i="42"/>
  <c r="G923" i="42"/>
  <c r="G922" i="42"/>
  <c r="G921" i="42"/>
  <c r="G920" i="42"/>
  <c r="G919" i="42"/>
  <c r="G918" i="42"/>
  <c r="G917" i="42"/>
  <c r="G916" i="42"/>
  <c r="G915" i="42"/>
  <c r="G913" i="42"/>
  <c r="G912" i="42"/>
  <c r="G911" i="42"/>
  <c r="G910" i="42"/>
  <c r="G909" i="42"/>
  <c r="G908" i="42"/>
  <c r="G907" i="42"/>
  <c r="G906" i="42"/>
  <c r="G905" i="42"/>
  <c r="G904" i="42"/>
  <c r="G903" i="42"/>
  <c r="G902" i="42"/>
  <c r="G901" i="42"/>
  <c r="G900" i="42"/>
  <c r="G899" i="42"/>
  <c r="G898" i="42"/>
  <c r="G897" i="42"/>
  <c r="G896" i="42"/>
  <c r="G895" i="42"/>
  <c r="G894" i="42"/>
  <c r="G893" i="42"/>
  <c r="G892" i="42"/>
  <c r="G891" i="42"/>
  <c r="G890" i="42"/>
  <c r="G889" i="42"/>
  <c r="G888" i="42"/>
  <c r="G885" i="42"/>
  <c r="G884" i="42"/>
  <c r="G883" i="42"/>
  <c r="G882" i="42"/>
  <c r="G881" i="42"/>
  <c r="G880" i="42"/>
  <c r="G879" i="42"/>
  <c r="G878" i="42"/>
  <c r="G877" i="42"/>
  <c r="G876" i="42"/>
  <c r="G875" i="42"/>
  <c r="G874" i="42"/>
  <c r="G873" i="42"/>
  <c r="G872" i="42"/>
  <c r="G870" i="42"/>
  <c r="G869" i="42"/>
  <c r="G868" i="42"/>
  <c r="G867" i="42"/>
  <c r="G866" i="42"/>
  <c r="G863" i="42"/>
  <c r="G862" i="42"/>
  <c r="G860" i="42"/>
  <c r="G859" i="42"/>
  <c r="G857" i="42"/>
  <c r="G856" i="42"/>
  <c r="G855" i="42"/>
  <c r="G854" i="42"/>
  <c r="G853" i="42"/>
  <c r="G852" i="42"/>
  <c r="G851" i="42"/>
  <c r="G850" i="42"/>
  <c r="G849" i="42"/>
  <c r="G848" i="42"/>
  <c r="G846" i="42"/>
  <c r="G845" i="42"/>
  <c r="G844" i="42"/>
  <c r="G843" i="42"/>
  <c r="G841" i="42"/>
  <c r="G840" i="42"/>
  <c r="G839" i="42"/>
  <c r="G838" i="42"/>
  <c r="G837" i="42"/>
  <c r="G836" i="42"/>
  <c r="G835" i="42"/>
  <c r="G834" i="42"/>
  <c r="G833" i="42"/>
  <c r="G832" i="42"/>
  <c r="G831" i="42"/>
  <c r="G829" i="42"/>
  <c r="G828" i="42"/>
  <c r="G827" i="42"/>
  <c r="G826" i="42"/>
  <c r="G825" i="42"/>
  <c r="G823" i="42"/>
  <c r="G822" i="42"/>
  <c r="G821" i="42"/>
  <c r="G820" i="42"/>
  <c r="G819" i="42"/>
  <c r="G818" i="42"/>
  <c r="G817" i="42"/>
  <c r="G816" i="42"/>
  <c r="G815" i="42"/>
  <c r="G814" i="42"/>
  <c r="G813" i="42"/>
  <c r="G811" i="42"/>
  <c r="G810" i="42"/>
  <c r="G809" i="42"/>
  <c r="G808" i="42"/>
  <c r="G807" i="42"/>
  <c r="G806" i="42"/>
  <c r="G805" i="42"/>
  <c r="G804" i="42"/>
  <c r="G803" i="42"/>
  <c r="G801" i="42"/>
  <c r="G800" i="42"/>
  <c r="G799" i="42"/>
  <c r="G798" i="42"/>
  <c r="G797" i="42"/>
  <c r="G796" i="42"/>
  <c r="G795" i="42"/>
  <c r="G794" i="42"/>
  <c r="G793" i="42"/>
  <c r="G792" i="42"/>
  <c r="G790" i="42"/>
  <c r="G789" i="42"/>
  <c r="G788" i="42"/>
  <c r="G787" i="42"/>
  <c r="G786" i="42"/>
  <c r="G785" i="42"/>
  <c r="G784" i="42"/>
  <c r="G783" i="42"/>
  <c r="G782" i="42"/>
  <c r="G781" i="42"/>
  <c r="G780" i="42"/>
  <c r="G779" i="42"/>
  <c r="G778" i="42"/>
  <c r="G777" i="42"/>
  <c r="G776" i="42"/>
  <c r="G775" i="42"/>
  <c r="G774" i="42"/>
  <c r="G773" i="42"/>
  <c r="G772" i="42"/>
  <c r="G771" i="42"/>
  <c r="G770" i="42"/>
  <c r="G769" i="42"/>
  <c r="G768" i="42"/>
  <c r="G766" i="42"/>
  <c r="G765" i="42"/>
  <c r="G763" i="42"/>
  <c r="G762" i="42"/>
  <c r="G761" i="42"/>
  <c r="G760" i="42"/>
  <c r="G759" i="42"/>
  <c r="G758" i="42"/>
  <c r="G757" i="42"/>
  <c r="G756" i="42"/>
  <c r="G755" i="42"/>
  <c r="G754" i="42"/>
  <c r="G753" i="42"/>
  <c r="G752" i="42"/>
  <c r="G751" i="42"/>
  <c r="G750" i="42"/>
  <c r="G749" i="42"/>
  <c r="G748" i="42"/>
  <c r="G747" i="42"/>
  <c r="G746" i="42"/>
  <c r="G744" i="42"/>
  <c r="G743" i="42"/>
  <c r="G742" i="42"/>
  <c r="G741" i="42"/>
  <c r="G740" i="42"/>
  <c r="G738" i="42"/>
  <c r="G737" i="42"/>
  <c r="G736" i="42"/>
  <c r="G735" i="42"/>
  <c r="G734" i="42"/>
  <c r="G732" i="42"/>
  <c r="G731" i="42"/>
  <c r="G730" i="42"/>
  <c r="G729" i="42"/>
  <c r="G728" i="42"/>
  <c r="G727" i="42"/>
  <c r="G726" i="42"/>
  <c r="G725" i="42"/>
  <c r="G724" i="42"/>
  <c r="G723" i="42"/>
  <c r="G722" i="42"/>
  <c r="G720" i="42"/>
  <c r="G719" i="42"/>
  <c r="G718" i="42"/>
  <c r="G716" i="42"/>
  <c r="G714" i="42"/>
  <c r="G713" i="42"/>
  <c r="G712" i="42"/>
  <c r="G711" i="42"/>
  <c r="G708" i="42"/>
  <c r="G707" i="42"/>
  <c r="G706" i="42"/>
  <c r="G705" i="42"/>
  <c r="G704" i="42"/>
  <c r="G703" i="42"/>
  <c r="G702" i="42"/>
  <c r="G701" i="42"/>
  <c r="G699" i="42"/>
  <c r="G698" i="42"/>
  <c r="G697" i="42"/>
  <c r="G696" i="42"/>
  <c r="G695" i="42"/>
  <c r="G694" i="42"/>
  <c r="G693" i="42"/>
  <c r="G691" i="42"/>
  <c r="G690" i="42"/>
  <c r="G689" i="42"/>
  <c r="G688" i="42"/>
  <c r="G687" i="42"/>
  <c r="G684" i="42"/>
  <c r="G683" i="42"/>
  <c r="G682" i="42"/>
  <c r="G681" i="42"/>
  <c r="G680" i="42"/>
  <c r="G679" i="42"/>
  <c r="G678" i="42"/>
  <c r="G677" i="42"/>
  <c r="G676" i="42"/>
  <c r="G675" i="42"/>
  <c r="G674" i="42"/>
  <c r="G673" i="42"/>
  <c r="G671" i="42"/>
  <c r="G670" i="42"/>
  <c r="G669" i="42"/>
  <c r="G668" i="42"/>
  <c r="G667" i="42"/>
  <c r="G666" i="42"/>
  <c r="G665" i="42"/>
  <c r="G664" i="42"/>
  <c r="G662" i="42"/>
  <c r="G661" i="42"/>
  <c r="G660" i="42"/>
  <c r="G659" i="42"/>
  <c r="G658" i="42"/>
  <c r="G657" i="42"/>
  <c r="G656" i="42"/>
  <c r="G655" i="42"/>
  <c r="G654" i="42"/>
  <c r="G653" i="42"/>
  <c r="G652" i="42"/>
  <c r="G651" i="42"/>
  <c r="G650" i="42"/>
  <c r="G649" i="42"/>
  <c r="G648" i="42"/>
  <c r="G647" i="42"/>
  <c r="G646" i="42"/>
  <c r="G644" i="42"/>
  <c r="G643" i="42"/>
  <c r="G642" i="42"/>
  <c r="G641" i="42"/>
  <c r="G640" i="42"/>
  <c r="G639" i="42"/>
  <c r="G638" i="42"/>
  <c r="G637" i="42"/>
  <c r="G636" i="42"/>
  <c r="G635" i="42"/>
  <c r="G634" i="42"/>
  <c r="G633" i="42"/>
  <c r="G632" i="42"/>
  <c r="G629" i="42"/>
  <c r="G628" i="42"/>
  <c r="G627" i="42"/>
  <c r="G626" i="42"/>
  <c r="G625" i="42"/>
  <c r="G623" i="42"/>
  <c r="G622" i="42"/>
  <c r="G621" i="42"/>
  <c r="G620" i="42"/>
  <c r="G619" i="42"/>
  <c r="G618" i="42"/>
  <c r="G617" i="42"/>
  <c r="G615" i="42"/>
  <c r="G614" i="42"/>
  <c r="G613" i="42"/>
  <c r="G612" i="42"/>
  <c r="G611" i="42"/>
  <c r="G609" i="42"/>
  <c r="G608" i="42"/>
  <c r="G607" i="42"/>
  <c r="G606" i="42"/>
  <c r="G601" i="42"/>
  <c r="G600" i="42"/>
  <c r="G599" i="42"/>
  <c r="G598" i="42"/>
  <c r="G597" i="42"/>
  <c r="G595" i="42"/>
  <c r="G594" i="42"/>
  <c r="G593" i="42"/>
  <c r="G592" i="42"/>
  <c r="G591" i="42"/>
  <c r="G590" i="42"/>
  <c r="G586" i="42"/>
  <c r="G585" i="42"/>
  <c r="G584" i="42"/>
  <c r="G583" i="42"/>
  <c r="G582" i="42"/>
  <c r="G581" i="42"/>
  <c r="G580" i="42"/>
  <c r="G579" i="42"/>
  <c r="G578" i="42"/>
  <c r="G577" i="42"/>
  <c r="G576" i="42"/>
  <c r="G575" i="42"/>
  <c r="G574" i="42"/>
  <c r="G573" i="42"/>
  <c r="G572" i="42"/>
  <c r="G571" i="42"/>
  <c r="G570" i="42"/>
  <c r="G569" i="42"/>
  <c r="G568" i="42"/>
  <c r="G567" i="42"/>
  <c r="G566" i="42"/>
  <c r="G565" i="42"/>
  <c r="G564" i="42"/>
  <c r="G563" i="42"/>
  <c r="G562" i="42"/>
  <c r="G561" i="42"/>
  <c r="G560" i="42"/>
  <c r="G559" i="42"/>
  <c r="G558" i="42"/>
  <c r="G557" i="42"/>
  <c r="G556" i="42"/>
  <c r="G555" i="42"/>
  <c r="G554" i="42"/>
  <c r="G553" i="42"/>
  <c r="G552" i="42"/>
  <c r="G551" i="42"/>
  <c r="G550" i="42"/>
  <c r="G549" i="42"/>
  <c r="G548" i="42"/>
  <c r="G547" i="42"/>
  <c r="G546" i="42"/>
  <c r="G545" i="42"/>
  <c r="G544" i="42"/>
  <c r="G543" i="42"/>
  <c r="G542" i="42"/>
  <c r="G541" i="42"/>
  <c r="G540" i="42"/>
  <c r="G539" i="42"/>
  <c r="G538" i="42"/>
  <c r="G537" i="42"/>
  <c r="G536" i="42"/>
  <c r="G535" i="42"/>
  <c r="G534" i="42"/>
  <c r="G533" i="42"/>
  <c r="G532" i="42"/>
  <c r="G531" i="42"/>
  <c r="G530" i="42"/>
  <c r="G529" i="42"/>
  <c r="G528" i="42"/>
  <c r="G527" i="42"/>
  <c r="G526" i="42"/>
  <c r="G525" i="42"/>
  <c r="G524" i="42"/>
  <c r="G523" i="42"/>
  <c r="G522" i="42"/>
  <c r="G521" i="42"/>
  <c r="G520" i="42"/>
  <c r="G519" i="42"/>
  <c r="G518" i="42"/>
  <c r="G517" i="42"/>
  <c r="G516" i="42"/>
  <c r="G515" i="42"/>
  <c r="G514" i="42"/>
  <c r="G513" i="42"/>
  <c r="G512" i="42"/>
  <c r="G511" i="42"/>
  <c r="G510" i="42"/>
  <c r="G509" i="42"/>
  <c r="G508" i="42"/>
  <c r="G507" i="42"/>
  <c r="G506" i="42"/>
  <c r="G505" i="42"/>
  <c r="G504" i="42"/>
  <c r="G503" i="42"/>
  <c r="G502" i="42"/>
  <c r="G501" i="42"/>
  <c r="G500" i="42"/>
  <c r="G499" i="42"/>
  <c r="G498" i="42"/>
  <c r="G497" i="42"/>
  <c r="G496" i="42"/>
  <c r="G495" i="42"/>
  <c r="G494" i="42"/>
  <c r="G493" i="42"/>
  <c r="G492" i="42"/>
  <c r="G491" i="42"/>
  <c r="G490" i="42"/>
  <c r="G489" i="42"/>
  <c r="G488" i="42"/>
  <c r="G487" i="42"/>
  <c r="G486" i="42"/>
  <c r="G485" i="42"/>
  <c r="G484" i="42"/>
  <c r="G483" i="42"/>
  <c r="G482" i="42"/>
  <c r="G481" i="42"/>
  <c r="G480" i="42"/>
  <c r="G479" i="42"/>
  <c r="G478" i="42"/>
  <c r="G477" i="42"/>
  <c r="G476" i="42"/>
  <c r="G475" i="42"/>
  <c r="G474" i="42"/>
  <c r="G473" i="42"/>
  <c r="G472" i="42"/>
  <c r="G471" i="42"/>
  <c r="G470" i="42"/>
  <c r="G469" i="42"/>
  <c r="G468" i="42"/>
  <c r="G467" i="42"/>
  <c r="G466" i="42"/>
  <c r="G465" i="42"/>
  <c r="G464" i="42"/>
  <c r="G463" i="42"/>
  <c r="G462" i="42"/>
  <c r="G461" i="42"/>
  <c r="G460" i="42"/>
  <c r="G459" i="42"/>
  <c r="G458" i="42"/>
  <c r="G457" i="42"/>
  <c r="G456" i="42"/>
  <c r="G455" i="42"/>
  <c r="G454" i="42"/>
  <c r="G453" i="42"/>
  <c r="G452" i="42"/>
  <c r="G451" i="42"/>
  <c r="G450" i="42"/>
  <c r="G449" i="42"/>
  <c r="G448" i="42"/>
  <c r="G447" i="42"/>
  <c r="G446" i="42"/>
  <c r="G445" i="42"/>
  <c r="G444" i="42"/>
  <c r="G443" i="42"/>
  <c r="G442" i="42"/>
  <c r="G441" i="42"/>
  <c r="G440" i="42"/>
  <c r="G439" i="42"/>
  <c r="G438" i="42"/>
  <c r="G437" i="42"/>
  <c r="G436" i="42"/>
  <c r="G435" i="42"/>
  <c r="G434" i="42"/>
  <c r="G433" i="42"/>
  <c r="G432" i="42"/>
  <c r="G431" i="42"/>
  <c r="G430" i="42"/>
  <c r="G429" i="42"/>
  <c r="G428" i="42"/>
  <c r="G427" i="42"/>
  <c r="G426" i="42"/>
  <c r="G425" i="42"/>
  <c r="G424" i="42"/>
  <c r="G423" i="42"/>
  <c r="G422" i="42"/>
  <c r="G421" i="42"/>
  <c r="G420" i="42"/>
  <c r="G419" i="42"/>
  <c r="G418" i="42"/>
  <c r="G417" i="42"/>
  <c r="G416" i="42"/>
  <c r="G415" i="42"/>
  <c r="G414" i="42"/>
  <c r="G413" i="42"/>
  <c r="G412" i="42"/>
  <c r="G411" i="42"/>
  <c r="G410" i="42"/>
  <c r="G409" i="42"/>
  <c r="G408" i="42"/>
  <c r="G407" i="42"/>
  <c r="G406" i="42"/>
  <c r="G405" i="42"/>
  <c r="G404" i="42"/>
  <c r="G403" i="42"/>
  <c r="G402" i="42"/>
  <c r="G401" i="42"/>
  <c r="G400" i="42"/>
  <c r="G399" i="42"/>
  <c r="G398" i="42"/>
  <c r="G397" i="42"/>
  <c r="G396" i="42"/>
  <c r="G395" i="42"/>
  <c r="G394" i="42"/>
  <c r="G393" i="42"/>
  <c r="G392" i="42"/>
  <c r="G391" i="42"/>
  <c r="G390" i="42"/>
  <c r="G389" i="42"/>
  <c r="G388" i="42"/>
  <c r="G387" i="42"/>
  <c r="G386" i="42"/>
  <c r="G385" i="42"/>
  <c r="G384" i="42"/>
  <c r="G383" i="42"/>
  <c r="G382" i="42"/>
  <c r="G381" i="42"/>
  <c r="G380" i="42"/>
  <c r="G379" i="42"/>
  <c r="G378" i="42"/>
  <c r="G377" i="42"/>
  <c r="G375" i="42"/>
  <c r="G374" i="42"/>
  <c r="G373" i="42"/>
  <c r="G372" i="42"/>
  <c r="G371" i="42"/>
  <c r="G370" i="42"/>
  <c r="G369" i="42"/>
  <c r="G368" i="42"/>
  <c r="G367" i="42"/>
  <c r="G366" i="42"/>
  <c r="G365" i="42"/>
  <c r="G364" i="42"/>
  <c r="G363" i="42"/>
  <c r="G362" i="42"/>
  <c r="G361" i="42"/>
  <c r="G360" i="42"/>
  <c r="G359" i="42"/>
  <c r="G358" i="42"/>
  <c r="G357" i="42"/>
  <c r="G356" i="42"/>
  <c r="G355" i="42"/>
  <c r="G354" i="42"/>
  <c r="G353" i="42"/>
  <c r="G352" i="42"/>
  <c r="G351" i="42"/>
  <c r="G350" i="42"/>
  <c r="G349" i="42"/>
  <c r="G348" i="42"/>
  <c r="G347" i="42"/>
  <c r="G346" i="42"/>
  <c r="G345" i="42"/>
  <c r="G344" i="42"/>
  <c r="G343" i="42"/>
  <c r="G342" i="42"/>
  <c r="G341" i="42"/>
  <c r="G340" i="42"/>
  <c r="G339" i="42"/>
  <c r="G338" i="42"/>
  <c r="G337" i="42"/>
  <c r="G336" i="42"/>
  <c r="G335" i="42"/>
  <c r="G334" i="42"/>
  <c r="G333" i="42"/>
  <c r="G332" i="42"/>
  <c r="G331" i="42"/>
  <c r="G330" i="42"/>
  <c r="G329" i="42"/>
  <c r="G328" i="42"/>
  <c r="G327" i="42"/>
  <c r="G326" i="42"/>
  <c r="G325" i="42"/>
  <c r="G324" i="42"/>
  <c r="G323" i="42"/>
  <c r="G322" i="42"/>
  <c r="G321" i="42"/>
  <c r="G320" i="42"/>
  <c r="G319" i="42"/>
  <c r="G318" i="42"/>
  <c r="G317" i="42"/>
  <c r="G316" i="42"/>
  <c r="G315" i="42"/>
  <c r="G314" i="42"/>
  <c r="G313" i="42"/>
  <c r="G312" i="42"/>
  <c r="G311" i="42"/>
  <c r="G310" i="42"/>
  <c r="G309" i="42"/>
  <c r="G308" i="42"/>
  <c r="G307" i="42"/>
  <c r="G306" i="42"/>
  <c r="G305" i="42"/>
  <c r="G304" i="42"/>
  <c r="G303" i="42"/>
  <c r="G302" i="42"/>
  <c r="G301" i="42"/>
  <c r="G300" i="42"/>
  <c r="G299" i="42"/>
  <c r="G298" i="42"/>
  <c r="G297" i="42"/>
  <c r="G296" i="42"/>
  <c r="G295" i="42"/>
  <c r="G294" i="42"/>
  <c r="G293" i="42"/>
  <c r="G292" i="42"/>
  <c r="G291" i="42"/>
  <c r="G290" i="42"/>
  <c r="G289" i="42"/>
  <c r="G288" i="42"/>
  <c r="G287" i="42"/>
  <c r="G286" i="42"/>
  <c r="G285" i="42"/>
  <c r="G284" i="42"/>
  <c r="G283" i="42"/>
  <c r="G282" i="42"/>
  <c r="G281" i="42"/>
  <c r="G280" i="42"/>
  <c r="G279" i="42"/>
  <c r="G278" i="42"/>
  <c r="G277" i="42"/>
  <c r="G276" i="42"/>
  <c r="G275" i="42"/>
  <c r="G274" i="42"/>
  <c r="G273" i="42"/>
  <c r="G272" i="42"/>
  <c r="G271" i="42"/>
  <c r="G270" i="42"/>
  <c r="G269" i="42"/>
  <c r="G268" i="42"/>
  <c r="G267" i="42"/>
  <c r="G266" i="42"/>
  <c r="G265" i="42"/>
  <c r="G264" i="42"/>
  <c r="G263" i="42"/>
  <c r="G262" i="42"/>
  <c r="G261" i="42"/>
  <c r="G260" i="42"/>
  <c r="G259" i="42"/>
  <c r="G258" i="42"/>
  <c r="G257" i="42"/>
  <c r="G256" i="42"/>
  <c r="G255" i="42"/>
  <c r="G254" i="42"/>
  <c r="G253" i="42"/>
  <c r="G252" i="42"/>
  <c r="G251" i="42"/>
  <c r="G250" i="42"/>
  <c r="G249" i="42"/>
  <c r="G248" i="42"/>
  <c r="G247" i="42"/>
  <c r="G246" i="42"/>
  <c r="G245" i="42"/>
  <c r="G244" i="42"/>
  <c r="G243" i="42"/>
  <c r="G242" i="42"/>
  <c r="G241" i="42"/>
  <c r="G240" i="42"/>
  <c r="G239" i="42"/>
  <c r="G238" i="42"/>
  <c r="G237" i="42"/>
  <c r="G236" i="42"/>
  <c r="G235" i="42"/>
  <c r="G234" i="42"/>
  <c r="G233" i="42"/>
  <c r="G232" i="42"/>
  <c r="G231" i="42"/>
  <c r="G230" i="42"/>
  <c r="G229" i="42"/>
  <c r="G228" i="42"/>
  <c r="G227" i="42"/>
  <c r="G226" i="42"/>
  <c r="G225" i="42"/>
  <c r="G224" i="42"/>
  <c r="G223" i="42"/>
  <c r="G222" i="42"/>
  <c r="G221" i="42"/>
  <c r="G220" i="42"/>
  <c r="G219" i="42"/>
  <c r="G218" i="42"/>
  <c r="G217" i="42"/>
  <c r="G216" i="42"/>
  <c r="G215" i="42"/>
  <c r="G214" i="42"/>
  <c r="G213" i="42"/>
  <c r="G212" i="42"/>
  <c r="G211" i="42"/>
  <c r="G210" i="42"/>
  <c r="G209" i="42"/>
  <c r="G208" i="42"/>
  <c r="G207" i="42"/>
  <c r="G206" i="42"/>
  <c r="G205" i="42"/>
  <c r="G204" i="42"/>
  <c r="G203" i="42"/>
  <c r="G202" i="42"/>
  <c r="G201" i="42"/>
  <c r="G200" i="42"/>
  <c r="G199" i="42"/>
  <c r="G198" i="42"/>
  <c r="G197" i="42"/>
  <c r="G196" i="42"/>
  <c r="G195" i="42"/>
  <c r="G194" i="42"/>
  <c r="G193" i="42"/>
  <c r="G192" i="42"/>
  <c r="G191" i="42"/>
  <c r="G190" i="42"/>
  <c r="G189" i="42"/>
  <c r="G188" i="42"/>
  <c r="G187" i="42"/>
  <c r="G186" i="42"/>
  <c r="G185" i="42"/>
  <c r="G184" i="42"/>
  <c r="G183" i="42"/>
  <c r="G182" i="42"/>
  <c r="G181" i="42"/>
  <c r="G180" i="42"/>
  <c r="G179" i="42"/>
  <c r="G178" i="42"/>
  <c r="G177" i="42"/>
  <c r="G176" i="42"/>
  <c r="G175" i="42"/>
  <c r="G174" i="42"/>
  <c r="G173" i="42"/>
  <c r="G172" i="42"/>
  <c r="G171" i="42"/>
  <c r="G170" i="42"/>
  <c r="G169" i="42"/>
  <c r="G168" i="42"/>
  <c r="G167" i="42"/>
  <c r="G166" i="42"/>
  <c r="G165" i="42"/>
  <c r="G164" i="42"/>
  <c r="G163" i="42"/>
  <c r="G162" i="42"/>
  <c r="G161" i="42"/>
  <c r="G160" i="42"/>
  <c r="G159" i="42"/>
  <c r="G158" i="42"/>
  <c r="G157" i="42"/>
  <c r="G156" i="42"/>
  <c r="G155" i="42"/>
  <c r="G154" i="42"/>
  <c r="G153" i="42"/>
  <c r="G152" i="42"/>
  <c r="G151" i="42"/>
  <c r="G150" i="42"/>
  <c r="G149" i="42"/>
  <c r="G148" i="42"/>
  <c r="G147" i="42"/>
  <c r="G146" i="42"/>
  <c r="G145" i="42"/>
  <c r="G144" i="42"/>
  <c r="G143" i="42"/>
  <c r="G142" i="42"/>
  <c r="G141" i="42"/>
  <c r="G140" i="42"/>
  <c r="G139" i="42"/>
  <c r="G138" i="42"/>
  <c r="G137" i="42"/>
  <c r="G136" i="42"/>
  <c r="G135" i="42"/>
  <c r="G134" i="42"/>
  <c r="G133" i="42"/>
  <c r="G132" i="42"/>
  <c r="G131" i="42"/>
  <c r="G130" i="42"/>
  <c r="G129" i="42"/>
  <c r="G128" i="42"/>
  <c r="G127" i="42"/>
  <c r="G126" i="42"/>
  <c r="G125" i="42"/>
  <c r="G124" i="42"/>
  <c r="G123" i="42"/>
  <c r="G122" i="42"/>
  <c r="G121" i="42"/>
  <c r="G120" i="42"/>
  <c r="G119" i="42"/>
  <c r="G118" i="42"/>
  <c r="G117" i="42"/>
  <c r="G116" i="42"/>
  <c r="G115" i="42"/>
  <c r="G114" i="42"/>
  <c r="G113" i="42"/>
  <c r="G112" i="42"/>
  <c r="G111" i="42"/>
  <c r="G110" i="42"/>
  <c r="G109" i="42"/>
  <c r="G108" i="42"/>
  <c r="G107" i="42"/>
  <c r="G106" i="42"/>
  <c r="G105" i="42"/>
  <c r="G104" i="42"/>
  <c r="G103" i="42"/>
  <c r="G102" i="42"/>
  <c r="G101" i="42"/>
  <c r="G100" i="42"/>
  <c r="G99" i="42"/>
  <c r="G98" i="42"/>
  <c r="G97" i="42"/>
  <c r="G96" i="42"/>
  <c r="G95" i="42"/>
  <c r="G94" i="42"/>
  <c r="G93" i="42"/>
  <c r="G92" i="42"/>
  <c r="G91" i="42"/>
  <c r="G90" i="42"/>
  <c r="G89" i="42"/>
  <c r="G88" i="42"/>
  <c r="G87" i="42"/>
  <c r="G86" i="42"/>
  <c r="G85" i="42"/>
  <c r="G84" i="42"/>
  <c r="G83" i="42"/>
  <c r="G82" i="42"/>
  <c r="G81" i="42"/>
  <c r="G80" i="42"/>
  <c r="G79" i="42"/>
  <c r="G78" i="42"/>
  <c r="G77" i="42"/>
  <c r="G76" i="42"/>
  <c r="G75" i="42"/>
  <c r="G74" i="42"/>
  <c r="G73" i="42"/>
  <c r="G72" i="42"/>
  <c r="G71" i="42"/>
  <c r="G70" i="42"/>
  <c r="G69" i="42"/>
  <c r="G68" i="42"/>
  <c r="G67" i="42"/>
  <c r="G66" i="42"/>
  <c r="G65" i="42"/>
  <c r="G64" i="42"/>
  <c r="G63" i="42"/>
  <c r="G62" i="42"/>
  <c r="G61" i="42"/>
  <c r="G60" i="42"/>
  <c r="G59" i="42"/>
  <c r="G58" i="42"/>
  <c r="G57" i="42"/>
  <c r="G56" i="42"/>
  <c r="G55" i="42"/>
  <c r="G54" i="42"/>
  <c r="G53" i="42"/>
  <c r="G52" i="42"/>
  <c r="G51" i="42"/>
  <c r="G50" i="42"/>
  <c r="G49" i="42"/>
  <c r="G48" i="42"/>
  <c r="G47" i="42"/>
  <c r="G46" i="42"/>
  <c r="G45" i="42"/>
  <c r="G44" i="42"/>
  <c r="G43" i="42"/>
  <c r="G42" i="42"/>
  <c r="G41" i="42"/>
  <c r="G40" i="42"/>
  <c r="G39" i="42"/>
  <c r="G38" i="42"/>
  <c r="G37" i="42"/>
  <c r="G36" i="42"/>
  <c r="G35" i="42"/>
  <c r="G34" i="42"/>
  <c r="G33" i="42"/>
  <c r="G32" i="42"/>
  <c r="G31" i="42"/>
  <c r="G30" i="42"/>
  <c r="G29" i="42"/>
  <c r="G28" i="42"/>
  <c r="G27" i="42"/>
  <c r="G26" i="42"/>
  <c r="G25" i="42"/>
  <c r="G24" i="42"/>
  <c r="G23" i="42"/>
  <c r="G22" i="42"/>
  <c r="G21" i="42"/>
  <c r="G20" i="42"/>
  <c r="G19" i="42"/>
  <c r="G18" i="42"/>
  <c r="G17" i="42"/>
  <c r="G16" i="42"/>
  <c r="G15" i="42"/>
  <c r="G14" i="42"/>
  <c r="G13" i="42"/>
  <c r="G12" i="42"/>
  <c r="G11" i="42"/>
  <c r="G10" i="42"/>
  <c r="G9" i="42"/>
  <c r="G8" i="42"/>
  <c r="G7" i="42"/>
  <c r="G6" i="42"/>
  <c r="G376" i="42"/>
  <c r="F1721" i="42"/>
  <c r="F1720" i="42"/>
  <c r="F1719" i="42"/>
  <c r="F1718" i="42"/>
  <c r="F1717" i="42"/>
  <c r="F1716" i="42"/>
  <c r="F1715" i="42"/>
  <c r="F1714" i="42"/>
  <c r="F1713" i="42"/>
  <c r="F1712" i="42"/>
  <c r="F1711" i="42"/>
  <c r="F1710" i="42"/>
  <c r="F1709" i="42"/>
  <c r="F1708" i="42"/>
  <c r="F1707" i="42"/>
  <c r="F1706" i="42"/>
  <c r="F1705" i="42"/>
  <c r="F1704" i="42"/>
  <c r="F1703" i="42"/>
  <c r="F1702" i="42"/>
  <c r="F1701" i="42"/>
  <c r="F1700" i="42"/>
  <c r="F1699" i="42"/>
  <c r="F1698" i="42"/>
  <c r="F1697" i="42"/>
  <c r="F1696" i="42"/>
  <c r="F1695" i="42"/>
  <c r="F1694" i="42"/>
  <c r="F1693" i="42"/>
  <c r="F1692" i="42"/>
  <c r="F1691" i="42"/>
  <c r="F1690" i="42"/>
  <c r="F1689" i="42"/>
  <c r="F1688" i="42"/>
  <c r="F1687" i="42"/>
  <c r="F1686" i="42"/>
  <c r="F1685" i="42"/>
  <c r="F1684" i="42"/>
  <c r="F1683" i="42"/>
  <c r="F1682" i="42"/>
  <c r="F1681" i="42"/>
  <c r="F1680" i="42"/>
  <c r="F1679" i="42"/>
  <c r="F1678" i="42"/>
  <c r="F1677" i="42"/>
  <c r="F1676" i="42"/>
  <c r="F1675" i="42"/>
  <c r="F1674" i="42"/>
  <c r="F1673" i="42"/>
  <c r="F1672" i="42"/>
  <c r="F1671" i="42"/>
  <c r="F1670" i="42"/>
  <c r="F1669" i="42"/>
  <c r="F1668" i="42"/>
  <c r="F1667" i="42"/>
  <c r="F1666" i="42"/>
  <c r="F1665" i="42"/>
  <c r="F1664" i="42"/>
  <c r="F1663" i="42"/>
  <c r="F1662" i="42"/>
  <c r="F1661" i="42"/>
  <c r="F1660" i="42"/>
  <c r="F1659" i="42"/>
  <c r="F1658" i="42"/>
  <c r="F1657" i="42"/>
  <c r="F1656" i="42"/>
  <c r="F1655" i="42"/>
  <c r="F1654" i="42"/>
  <c r="F1653" i="42"/>
  <c r="F1651" i="42"/>
  <c r="F1650" i="42"/>
  <c r="F1649" i="42"/>
  <c r="F1648" i="42"/>
  <c r="F1647" i="42"/>
  <c r="E1721" i="42"/>
  <c r="E1720" i="42"/>
  <c r="E1719" i="42"/>
  <c r="E1718" i="42"/>
  <c r="E1717" i="42"/>
  <c r="E1716" i="42"/>
  <c r="E1715" i="42"/>
  <c r="E1714" i="42"/>
  <c r="E1713" i="42"/>
  <c r="E1712" i="42"/>
  <c r="E1711" i="42"/>
  <c r="E1710" i="42"/>
  <c r="E1709" i="42"/>
  <c r="E1708" i="42"/>
  <c r="E1707" i="42"/>
  <c r="E1706" i="42"/>
  <c r="E1705" i="42"/>
  <c r="E1704" i="42"/>
  <c r="E1703" i="42"/>
  <c r="E1702" i="42"/>
  <c r="E1701" i="42"/>
  <c r="E1700" i="42"/>
  <c r="E1699" i="42"/>
  <c r="E1698" i="42"/>
  <c r="E1697" i="42"/>
  <c r="E1696" i="42"/>
  <c r="E1695" i="42"/>
  <c r="E1694" i="42"/>
  <c r="E1693" i="42"/>
  <c r="E1692" i="42"/>
  <c r="E1691" i="42"/>
  <c r="E1690" i="42"/>
  <c r="E1689" i="42"/>
  <c r="E1688" i="42"/>
  <c r="E1687" i="42"/>
  <c r="E1686" i="42"/>
  <c r="E1685" i="42"/>
  <c r="E1684" i="42"/>
  <c r="E1683" i="42"/>
  <c r="E1682" i="42"/>
  <c r="E1681" i="42"/>
  <c r="E1680" i="42"/>
  <c r="E1679" i="42"/>
  <c r="E1678" i="42"/>
  <c r="E1677" i="42"/>
  <c r="E1676" i="42"/>
  <c r="E1675" i="42"/>
  <c r="E1674" i="42"/>
  <c r="E1673" i="42"/>
  <c r="E1672" i="42"/>
  <c r="E1671" i="42"/>
  <c r="E1670" i="42"/>
  <c r="E1669" i="42"/>
  <c r="E1668" i="42"/>
  <c r="E1667" i="42"/>
  <c r="E1666" i="42"/>
  <c r="E1665" i="42"/>
  <c r="E1664" i="42"/>
  <c r="E1663" i="42"/>
  <c r="E1662" i="42"/>
  <c r="E1661" i="42"/>
  <c r="E1660" i="42"/>
  <c r="E1659" i="42"/>
  <c r="E1658" i="42"/>
  <c r="E1657" i="42"/>
  <c r="E1656" i="42"/>
  <c r="E1655" i="42"/>
  <c r="E1654" i="42"/>
  <c r="E1653" i="42"/>
  <c r="E1651" i="42"/>
  <c r="E1650" i="42"/>
  <c r="E1649" i="42"/>
  <c r="E1648" i="42"/>
  <c r="E1647" i="42"/>
  <c r="E1645" i="42"/>
  <c r="E1644" i="42"/>
  <c r="E1643" i="42"/>
  <c r="E1642" i="42"/>
  <c r="E1641" i="42"/>
  <c r="E1640" i="42"/>
  <c r="E1639" i="42"/>
  <c r="E1638" i="42"/>
  <c r="E1637" i="42"/>
  <c r="E1636" i="42"/>
  <c r="E1635" i="42"/>
  <c r="E1634" i="42"/>
  <c r="E1633" i="42"/>
  <c r="F1645" i="42"/>
  <c r="F1644" i="42"/>
  <c r="F1643" i="42"/>
  <c r="F1642" i="42"/>
  <c r="F1641" i="42"/>
  <c r="F1640" i="42"/>
  <c r="F1639" i="42"/>
  <c r="F1638" i="42"/>
  <c r="F1637" i="42"/>
  <c r="F1636" i="42"/>
  <c r="F1635" i="42"/>
  <c r="F1634" i="42"/>
  <c r="F1633" i="42"/>
  <c r="F1628" i="42"/>
  <c r="F1626" i="42"/>
  <c r="E1628" i="42"/>
  <c r="E1626" i="42"/>
  <c r="E1623" i="42"/>
  <c r="F1623" i="42"/>
  <c r="F1620" i="42"/>
  <c r="E1620" i="42"/>
  <c r="E1612" i="42"/>
  <c r="E1611" i="42"/>
  <c r="E1610" i="42"/>
  <c r="E1609" i="42"/>
  <c r="E1608" i="42"/>
  <c r="E1606" i="42"/>
  <c r="E1604" i="42"/>
  <c r="F1612" i="42"/>
  <c r="F1611" i="42"/>
  <c r="F1610" i="42"/>
  <c r="F1609" i="42"/>
  <c r="F1608" i="42"/>
  <c r="F1606" i="42"/>
  <c r="F1604" i="42"/>
  <c r="F1595" i="42"/>
  <c r="E1595" i="42"/>
  <c r="E1592" i="42"/>
  <c r="E1591" i="42"/>
  <c r="E1590" i="42"/>
  <c r="E1589" i="42"/>
  <c r="E1586" i="42"/>
  <c r="E1585" i="42"/>
  <c r="F1592" i="42"/>
  <c r="F1591" i="42"/>
  <c r="F1590" i="42"/>
  <c r="F1589" i="42"/>
  <c r="F1586" i="42"/>
  <c r="F1585" i="42"/>
  <c r="F1583" i="42"/>
  <c r="E1583" i="42"/>
  <c r="E1576" i="42"/>
  <c r="F1576" i="42"/>
  <c r="F1571" i="42"/>
  <c r="F1570" i="42"/>
  <c r="F1569" i="42"/>
  <c r="F1568" i="42"/>
  <c r="F1567" i="42"/>
  <c r="F1566" i="42"/>
  <c r="F1565" i="42"/>
  <c r="F1564" i="42"/>
  <c r="F1563" i="42"/>
  <c r="F1562" i="42"/>
  <c r="F1561" i="42"/>
  <c r="F1560" i="42"/>
  <c r="F1559" i="42"/>
  <c r="F1558" i="42"/>
  <c r="F1557" i="42"/>
  <c r="E1571" i="42"/>
  <c r="E1570" i="42"/>
  <c r="E1569" i="42"/>
  <c r="E1568" i="42"/>
  <c r="E1567" i="42"/>
  <c r="E1566" i="42"/>
  <c r="E1565" i="42"/>
  <c r="E1564" i="42"/>
  <c r="E1563" i="42"/>
  <c r="E1562" i="42"/>
  <c r="E1561" i="42"/>
  <c r="E1560" i="42"/>
  <c r="E1559" i="42"/>
  <c r="E1558" i="42"/>
  <c r="E1557" i="42"/>
  <c r="F1556" i="42"/>
  <c r="E1556" i="42"/>
  <c r="F1544" i="42"/>
  <c r="F1543" i="42"/>
  <c r="F1542" i="42"/>
  <c r="F1541" i="42"/>
  <c r="F1540" i="42"/>
  <c r="F1539" i="42"/>
  <c r="F1538" i="42"/>
  <c r="F1537" i="42"/>
  <c r="F1536" i="42"/>
  <c r="F1535" i="42"/>
  <c r="F1534" i="42"/>
  <c r="F1533" i="42"/>
  <c r="F1532" i="42"/>
  <c r="F1531" i="42"/>
  <c r="F1530" i="42"/>
  <c r="F1529" i="42"/>
  <c r="F1528" i="42"/>
  <c r="E1544" i="42"/>
  <c r="E1543" i="42"/>
  <c r="E1542" i="42"/>
  <c r="E1541" i="42"/>
  <c r="E1540" i="42"/>
  <c r="E1539" i="42"/>
  <c r="E1538" i="42"/>
  <c r="E1537" i="42"/>
  <c r="E1536" i="42"/>
  <c r="E1535" i="42"/>
  <c r="E1534" i="42"/>
  <c r="E1533" i="42"/>
  <c r="E1532" i="42"/>
  <c r="E1531" i="42"/>
  <c r="E1530" i="42"/>
  <c r="E1529" i="42"/>
  <c r="E1528" i="42"/>
  <c r="F1525" i="42"/>
  <c r="F1520" i="42"/>
  <c r="E1525" i="42"/>
  <c r="E1522" i="42"/>
  <c r="E1521" i="42"/>
  <c r="E1520" i="42"/>
  <c r="E1519" i="42"/>
  <c r="E1518" i="42"/>
  <c r="E1517" i="42"/>
  <c r="E1516" i="42"/>
  <c r="E1515" i="42"/>
  <c r="E1514" i="42"/>
  <c r="E1513" i="42"/>
  <c r="E1512" i="42"/>
  <c r="E1511" i="42"/>
  <c r="F1522" i="42"/>
  <c r="F1521" i="42"/>
  <c r="F1519" i="42"/>
  <c r="F1518" i="42"/>
  <c r="F1517" i="42"/>
  <c r="F1516" i="42"/>
  <c r="F1515" i="42"/>
  <c r="F1514" i="42"/>
  <c r="F1513" i="42"/>
  <c r="F1512" i="42"/>
  <c r="F1511" i="42"/>
  <c r="F1509" i="42"/>
  <c r="F1508" i="42"/>
  <c r="F1507" i="42"/>
  <c r="F1506" i="42"/>
  <c r="F1505" i="42"/>
  <c r="F1504" i="42"/>
  <c r="E1509" i="42"/>
  <c r="E1508" i="42"/>
  <c r="E1507" i="42"/>
  <c r="E1506" i="42"/>
  <c r="E1505" i="42"/>
  <c r="E1504" i="42"/>
  <c r="E1502" i="42"/>
  <c r="E1501" i="42"/>
  <c r="E1500" i="42"/>
  <c r="E1499" i="42"/>
  <c r="E1498" i="42"/>
  <c r="E1497" i="42"/>
  <c r="E1496" i="42"/>
  <c r="E1495" i="42"/>
  <c r="E1494" i="42"/>
  <c r="E1493" i="42"/>
  <c r="E1492" i="42"/>
  <c r="E1491" i="42"/>
  <c r="E1490" i="42"/>
  <c r="E1489" i="42"/>
  <c r="E1488" i="42"/>
  <c r="E1487" i="42"/>
  <c r="E1486" i="42"/>
  <c r="F1502" i="42"/>
  <c r="F1501" i="42"/>
  <c r="F1500" i="42"/>
  <c r="F1499" i="42"/>
  <c r="F1498" i="42"/>
  <c r="F1497" i="42"/>
  <c r="F1496" i="42"/>
  <c r="F1495" i="42"/>
  <c r="F1494" i="42"/>
  <c r="F1493" i="42"/>
  <c r="F1492" i="42"/>
  <c r="F1491" i="42"/>
  <c r="F1490" i="42"/>
  <c r="F1489" i="42"/>
  <c r="F1488" i="42"/>
  <c r="F1487" i="42"/>
  <c r="F1486" i="42"/>
  <c r="F1484" i="42"/>
  <c r="F1483" i="42"/>
  <c r="F1482" i="42"/>
  <c r="F1481" i="42"/>
  <c r="F1480" i="42"/>
  <c r="F1479" i="42"/>
  <c r="F1478" i="42"/>
  <c r="F1477" i="42"/>
  <c r="F1476" i="42"/>
  <c r="F1475" i="42"/>
  <c r="F1474" i="42"/>
  <c r="F1473" i="42"/>
  <c r="F1472" i="42"/>
  <c r="F1471" i="42"/>
  <c r="F1470" i="42"/>
  <c r="E1484" i="42"/>
  <c r="E1483" i="42"/>
  <c r="E1482" i="42"/>
  <c r="E1481" i="42"/>
  <c r="E1480" i="42"/>
  <c r="E1479" i="42"/>
  <c r="E1478" i="42"/>
  <c r="E1477" i="42"/>
  <c r="E1476" i="42"/>
  <c r="E1475" i="42"/>
  <c r="E1474" i="42"/>
  <c r="E1473" i="42"/>
  <c r="E1472" i="42"/>
  <c r="E1471" i="42"/>
  <c r="E1470" i="42"/>
  <c r="F1469" i="42"/>
  <c r="E1469" i="42"/>
  <c r="F1405" i="42"/>
  <c r="F1461" i="42"/>
  <c r="F1459" i="42"/>
  <c r="F1457" i="42"/>
  <c r="F1454" i="42"/>
  <c r="F1451" i="42"/>
  <c r="F1449" i="42"/>
  <c r="F1447" i="42"/>
  <c r="F1444" i="42"/>
  <c r="F1443" i="42"/>
  <c r="F1440" i="42"/>
  <c r="F1437" i="42"/>
  <c r="F1435" i="42"/>
  <c r="F1431" i="42"/>
  <c r="F1430" i="42"/>
  <c r="F1429" i="42"/>
  <c r="F1428" i="42"/>
  <c r="F1426" i="42"/>
  <c r="F1425" i="42"/>
  <c r="F1424" i="42"/>
  <c r="F1423" i="42"/>
  <c r="F1421" i="42"/>
  <c r="F1420" i="42"/>
  <c r="F1419" i="42"/>
  <c r="F1418" i="42"/>
  <c r="F1416" i="42"/>
  <c r="F1415" i="42"/>
  <c r="F1414" i="42"/>
  <c r="F1413" i="42"/>
  <c r="F1410" i="42"/>
  <c r="F1409" i="42"/>
  <c r="F1408" i="42"/>
  <c r="F1407" i="42"/>
  <c r="F1404" i="42"/>
  <c r="F1403" i="42"/>
  <c r="F1402" i="42"/>
  <c r="F1400" i="42"/>
  <c r="F1399" i="42"/>
  <c r="F1398" i="42"/>
  <c r="E1461" i="42"/>
  <c r="E1459" i="42"/>
  <c r="E1457" i="42"/>
  <c r="E1454" i="42"/>
  <c r="E1451" i="42"/>
  <c r="E1449" i="42"/>
  <c r="E1447" i="42"/>
  <c r="E1444" i="42"/>
  <c r="E1443" i="42"/>
  <c r="E1440" i="42"/>
  <c r="E1437" i="42"/>
  <c r="E1435" i="42"/>
  <c r="E1431" i="42"/>
  <c r="E1430" i="42"/>
  <c r="E1429" i="42"/>
  <c r="E1428" i="42"/>
  <c r="E1426" i="42"/>
  <c r="E1425" i="42"/>
  <c r="E1424" i="42"/>
  <c r="E1423" i="42"/>
  <c r="E1421" i="42"/>
  <c r="E1420" i="42"/>
  <c r="E1419" i="42"/>
  <c r="E1418" i="42"/>
  <c r="E1416" i="42"/>
  <c r="E1415" i="42"/>
  <c r="E1414" i="42"/>
  <c r="E1413" i="42"/>
  <c r="E1410" i="42"/>
  <c r="E1409" i="42"/>
  <c r="E1408" i="42"/>
  <c r="E1407" i="42"/>
  <c r="E1405" i="42"/>
  <c r="E1404" i="42"/>
  <c r="E1403" i="42"/>
  <c r="E1402" i="42"/>
  <c r="E1400" i="42"/>
  <c r="E1399" i="42"/>
  <c r="E1398" i="42"/>
  <c r="F1397" i="42"/>
  <c r="E1397" i="42"/>
  <c r="F1377" i="42"/>
  <c r="E1377" i="42"/>
  <c r="F1358" i="42"/>
  <c r="F1357" i="42"/>
  <c r="F1356" i="42"/>
  <c r="F1354" i="42"/>
  <c r="F1353" i="42"/>
  <c r="F1352" i="42"/>
  <c r="F1351" i="42"/>
  <c r="F1349" i="42"/>
  <c r="F1348" i="42"/>
  <c r="F1346" i="42"/>
  <c r="F1345" i="42"/>
  <c r="F1344" i="42"/>
  <c r="F1343" i="42"/>
  <c r="F1342" i="42"/>
  <c r="F1341" i="42"/>
  <c r="F1340" i="42"/>
  <c r="F1339" i="42"/>
  <c r="F1337" i="42"/>
  <c r="F1336" i="42"/>
  <c r="F1335" i="42"/>
  <c r="F1333" i="42"/>
  <c r="F1332" i="42"/>
  <c r="F1331" i="42"/>
  <c r="F1330" i="42"/>
  <c r="F1328" i="42"/>
  <c r="F1327" i="42"/>
  <c r="F1326" i="42"/>
  <c r="F1325" i="42"/>
  <c r="F1324" i="42"/>
  <c r="E1358" i="42"/>
  <c r="E1357" i="42"/>
  <c r="E1356" i="42"/>
  <c r="E1354" i="42"/>
  <c r="E1353" i="42"/>
  <c r="E1352" i="42"/>
  <c r="E1351" i="42"/>
  <c r="E1349" i="42"/>
  <c r="E1348" i="42"/>
  <c r="E1346" i="42"/>
  <c r="E1345" i="42"/>
  <c r="E1344" i="42"/>
  <c r="E1343" i="42"/>
  <c r="E1342" i="42"/>
  <c r="E1341" i="42"/>
  <c r="E1340" i="42"/>
  <c r="E1339" i="42"/>
  <c r="E1337" i="42"/>
  <c r="E1336" i="42"/>
  <c r="E1335" i="42"/>
  <c r="E1333" i="42"/>
  <c r="E1332" i="42"/>
  <c r="E1331" i="42"/>
  <c r="E1330" i="42"/>
  <c r="E1328" i="42"/>
  <c r="E1327" i="42"/>
  <c r="E1326" i="42"/>
  <c r="E1325" i="42"/>
  <c r="E1324" i="42"/>
  <c r="F1322" i="42"/>
  <c r="F1321" i="42"/>
  <c r="F1320" i="42"/>
  <c r="E1322" i="42"/>
  <c r="E1321" i="42"/>
  <c r="E1320" i="42"/>
  <c r="F1318" i="42"/>
  <c r="F1317" i="42"/>
  <c r="F1316" i="42"/>
  <c r="F1315" i="42"/>
  <c r="F1314" i="42"/>
  <c r="E1318" i="42"/>
  <c r="E1317" i="42"/>
  <c r="E1316" i="42"/>
  <c r="E1315" i="42"/>
  <c r="E1314" i="42"/>
  <c r="F1312" i="42"/>
  <c r="F1311" i="42"/>
  <c r="F1310" i="42"/>
  <c r="F1309" i="42"/>
  <c r="F1308" i="42"/>
  <c r="F1307" i="42"/>
  <c r="F1306" i="42"/>
  <c r="F1305" i="42"/>
  <c r="F1304" i="42"/>
  <c r="F1303" i="42"/>
  <c r="E1312" i="42"/>
  <c r="E1311" i="42"/>
  <c r="E1310" i="42"/>
  <c r="E1309" i="42"/>
  <c r="E1308" i="42"/>
  <c r="E1307" i="42"/>
  <c r="E1306" i="42"/>
  <c r="E1305" i="42"/>
  <c r="E1304" i="42"/>
  <c r="E1303" i="42"/>
  <c r="F1298" i="42"/>
  <c r="F1297" i="42"/>
  <c r="F1296" i="42"/>
  <c r="F1295" i="42"/>
  <c r="F1294" i="42"/>
  <c r="F1293" i="42"/>
  <c r="F1292" i="42"/>
  <c r="F1291" i="42"/>
  <c r="F1289" i="42"/>
  <c r="F1288" i="42"/>
  <c r="F1287" i="42"/>
  <c r="F1286" i="42"/>
  <c r="F1285" i="42"/>
  <c r="F1284" i="42"/>
  <c r="F1282" i="42"/>
  <c r="F1280" i="42"/>
  <c r="F1279" i="42"/>
  <c r="F1278" i="42"/>
  <c r="F1277" i="42"/>
  <c r="F1276" i="42"/>
  <c r="F1275" i="42"/>
  <c r="F1274" i="42"/>
  <c r="F1273" i="42"/>
  <c r="F1272" i="42"/>
  <c r="E1298" i="42"/>
  <c r="E1297" i="42"/>
  <c r="E1296" i="42"/>
  <c r="E1295" i="42"/>
  <c r="E1294" i="42"/>
  <c r="E1293" i="42"/>
  <c r="E1292" i="42"/>
  <c r="E1291" i="42"/>
  <c r="E1289" i="42"/>
  <c r="E1288" i="42"/>
  <c r="E1287" i="42"/>
  <c r="E1286" i="42"/>
  <c r="E1285" i="42"/>
  <c r="E1284" i="42"/>
  <c r="E1282" i="42"/>
  <c r="E1280" i="42"/>
  <c r="E1279" i="42"/>
  <c r="E1278" i="42"/>
  <c r="E1277" i="42"/>
  <c r="E1276" i="42"/>
  <c r="E1275" i="42"/>
  <c r="E1274" i="42"/>
  <c r="E1273" i="42"/>
  <c r="E1272" i="42"/>
  <c r="F1269" i="42"/>
  <c r="F1268" i="42"/>
  <c r="F1267" i="42"/>
  <c r="F1266" i="42"/>
  <c r="F1265" i="42"/>
  <c r="F1264" i="42"/>
  <c r="F1263" i="42"/>
  <c r="F1262" i="42"/>
  <c r="F1261" i="42"/>
  <c r="F1260" i="42"/>
  <c r="F1259" i="42"/>
  <c r="F1258" i="42"/>
  <c r="F1257" i="42"/>
  <c r="F1256" i="42"/>
  <c r="F1254" i="42"/>
  <c r="F1253" i="42"/>
  <c r="F1252" i="42"/>
  <c r="F1251" i="42"/>
  <c r="F1250" i="42"/>
  <c r="F1249" i="42"/>
  <c r="F1248" i="42"/>
  <c r="F1247" i="42"/>
  <c r="F1246" i="42"/>
  <c r="F1245" i="42"/>
  <c r="F1244" i="42"/>
  <c r="F1243" i="42"/>
  <c r="F1242" i="42"/>
  <c r="F1241" i="42"/>
  <c r="F1240" i="42"/>
  <c r="F1238" i="42"/>
  <c r="F1237" i="42"/>
  <c r="F1236" i="42"/>
  <c r="E1269" i="42"/>
  <c r="E1268" i="42"/>
  <c r="E1267" i="42"/>
  <c r="E1266" i="42"/>
  <c r="E1265" i="42"/>
  <c r="E1264" i="42"/>
  <c r="E1263" i="42"/>
  <c r="E1262" i="42"/>
  <c r="E1261" i="42"/>
  <c r="E1260" i="42"/>
  <c r="E1259" i="42"/>
  <c r="E1258" i="42"/>
  <c r="E1257" i="42"/>
  <c r="E1256" i="42"/>
  <c r="E1254" i="42"/>
  <c r="E1253" i="42"/>
  <c r="E1252" i="42"/>
  <c r="E1251" i="42"/>
  <c r="E1250" i="42"/>
  <c r="E1249" i="42"/>
  <c r="E1248" i="42"/>
  <c r="E1247" i="42"/>
  <c r="E1246" i="42"/>
  <c r="E1245" i="42"/>
  <c r="E1244" i="42"/>
  <c r="E1243" i="42"/>
  <c r="E1242" i="42"/>
  <c r="E1241" i="42"/>
  <c r="E1240" i="42"/>
  <c r="E1238" i="42"/>
  <c r="E1237" i="42"/>
  <c r="E1236" i="42"/>
  <c r="F1234" i="42"/>
  <c r="F1233" i="42"/>
  <c r="F1232" i="42"/>
  <c r="F1231" i="42"/>
  <c r="F1230" i="42"/>
  <c r="F1229" i="42"/>
  <c r="F1228" i="42"/>
  <c r="E1234" i="42"/>
  <c r="E1233" i="42"/>
  <c r="E1232" i="42"/>
  <c r="E1231" i="42"/>
  <c r="E1230" i="42"/>
  <c r="E1229" i="42"/>
  <c r="E1228" i="42"/>
  <c r="F1226" i="42"/>
  <c r="F1225" i="42"/>
  <c r="F1224" i="42"/>
  <c r="F1223" i="42"/>
  <c r="F1222" i="42"/>
  <c r="F1221" i="42"/>
  <c r="F1220" i="42"/>
  <c r="F1219" i="42"/>
  <c r="F1218" i="42"/>
  <c r="F1217" i="42"/>
  <c r="E1226" i="42"/>
  <c r="E1225" i="42"/>
  <c r="E1224" i="42"/>
  <c r="E1223" i="42"/>
  <c r="E1222" i="42"/>
  <c r="E1221" i="42"/>
  <c r="E1220" i="42"/>
  <c r="E1219" i="42"/>
  <c r="E1218" i="42"/>
  <c r="E1217" i="42"/>
  <c r="F1215" i="42"/>
  <c r="F1214" i="42"/>
  <c r="F1213" i="42"/>
  <c r="F1212" i="42"/>
  <c r="F1211" i="42"/>
  <c r="F1210" i="42"/>
  <c r="F1209" i="42"/>
  <c r="F1208" i="42"/>
  <c r="F1207" i="42"/>
  <c r="F1206" i="42"/>
  <c r="E1215" i="42"/>
  <c r="E1214" i="42"/>
  <c r="E1213" i="42"/>
  <c r="E1212" i="42"/>
  <c r="E1211" i="42"/>
  <c r="E1210" i="42"/>
  <c r="E1209" i="42"/>
  <c r="E1208" i="42"/>
  <c r="E1207" i="42"/>
  <c r="E1206" i="42"/>
  <c r="F1203" i="42"/>
  <c r="F1202" i="42"/>
  <c r="F1201" i="42"/>
  <c r="F1200" i="42"/>
  <c r="F1199" i="42"/>
  <c r="F1198" i="42"/>
  <c r="F1197" i="42"/>
  <c r="F1196" i="42"/>
  <c r="F1195" i="42"/>
  <c r="F1194" i="42"/>
  <c r="F1193" i="42"/>
  <c r="F1192" i="42"/>
  <c r="F1191" i="42"/>
  <c r="F1190" i="42"/>
  <c r="F1189" i="42"/>
  <c r="E1203" i="42"/>
  <c r="E1202" i="42"/>
  <c r="E1201" i="42"/>
  <c r="E1200" i="42"/>
  <c r="E1199" i="42"/>
  <c r="E1198" i="42"/>
  <c r="E1197" i="42"/>
  <c r="E1196" i="42"/>
  <c r="E1195" i="42"/>
  <c r="E1194" i="42"/>
  <c r="E1193" i="42"/>
  <c r="E1192" i="42"/>
  <c r="E1191" i="42"/>
  <c r="E1190" i="42"/>
  <c r="E1189" i="42"/>
  <c r="F1187" i="42"/>
  <c r="F1186" i="42"/>
  <c r="F1185" i="42"/>
  <c r="F1184" i="42"/>
  <c r="E1187" i="42"/>
  <c r="E1186" i="42"/>
  <c r="E1185" i="42"/>
  <c r="E1184" i="42"/>
  <c r="F1158" i="42"/>
  <c r="F1157" i="42"/>
  <c r="F1163" i="42"/>
  <c r="F1162" i="42"/>
  <c r="F1161" i="42"/>
  <c r="F1160" i="42"/>
  <c r="F1170" i="42"/>
  <c r="F1169" i="42"/>
  <c r="F1168" i="42"/>
  <c r="F1167" i="42"/>
  <c r="F1166" i="42"/>
  <c r="F1165" i="42"/>
  <c r="F1174" i="42"/>
  <c r="F1173" i="42"/>
  <c r="F1172" i="42"/>
  <c r="F1178" i="42"/>
  <c r="F1177" i="42"/>
  <c r="F1176" i="42"/>
  <c r="E1170" i="42"/>
  <c r="E1169" i="42"/>
  <c r="E1168" i="42"/>
  <c r="E1167" i="42"/>
  <c r="E1166" i="42"/>
  <c r="E1165" i="42"/>
  <c r="E1174" i="42"/>
  <c r="E1173" i="42"/>
  <c r="E1172" i="42"/>
  <c r="E1178" i="42"/>
  <c r="E1177" i="42"/>
  <c r="E1176" i="42"/>
  <c r="E1163" i="42"/>
  <c r="E1162" i="42"/>
  <c r="E1161" i="42"/>
  <c r="E1160" i="42"/>
  <c r="E1158" i="42"/>
  <c r="E1157" i="42"/>
  <c r="F1155" i="42"/>
  <c r="F1154" i="42"/>
  <c r="F1153" i="42"/>
  <c r="F1152" i="42"/>
  <c r="F1151" i="42"/>
  <c r="E1155" i="42"/>
  <c r="E1154" i="42"/>
  <c r="E1153" i="42"/>
  <c r="E1152" i="42"/>
  <c r="E1151" i="42"/>
  <c r="F1148" i="42"/>
  <c r="F1147" i="42"/>
  <c r="F1146" i="42"/>
  <c r="F1145" i="42"/>
  <c r="F1144" i="42"/>
  <c r="F1143" i="42"/>
  <c r="F1142" i="42"/>
  <c r="F1141" i="42"/>
  <c r="F1140" i="42"/>
  <c r="F1139" i="42"/>
  <c r="F1138" i="42"/>
  <c r="F1137" i="42"/>
  <c r="F1136" i="42"/>
  <c r="F1135" i="42"/>
  <c r="F1134" i="42"/>
  <c r="E1148" i="42"/>
  <c r="E1147" i="42"/>
  <c r="E1146" i="42"/>
  <c r="E1145" i="42"/>
  <c r="E1144" i="42"/>
  <c r="E1143" i="42"/>
  <c r="E1142" i="42"/>
  <c r="E1141" i="42"/>
  <c r="E1140" i="42"/>
  <c r="E1139" i="42"/>
  <c r="E1138" i="42"/>
  <c r="E1137" i="42"/>
  <c r="E1136" i="42"/>
  <c r="E1135" i="42"/>
  <c r="E1134" i="42"/>
  <c r="F1130" i="42"/>
  <c r="F1129" i="42"/>
  <c r="F1128" i="42"/>
  <c r="F1127" i="42"/>
  <c r="F1126" i="42"/>
  <c r="F1125" i="42"/>
  <c r="F1124" i="42"/>
  <c r="E1130" i="42"/>
  <c r="E1129" i="42"/>
  <c r="E1128" i="42"/>
  <c r="E1127" i="42"/>
  <c r="E1126" i="42"/>
  <c r="E1125" i="42"/>
  <c r="E1124" i="42"/>
  <c r="F1121" i="42"/>
  <c r="F1120" i="42"/>
  <c r="F1119" i="42"/>
  <c r="F1118" i="42"/>
  <c r="F1117" i="42"/>
  <c r="F1116" i="42"/>
  <c r="F1115" i="42"/>
  <c r="F1114" i="42"/>
  <c r="F1113" i="42"/>
  <c r="F1112" i="42"/>
  <c r="F1111" i="42"/>
  <c r="F1110" i="42"/>
  <c r="F1109" i="42"/>
  <c r="F1108" i="42"/>
  <c r="F1107" i="42"/>
  <c r="F1106" i="42"/>
  <c r="F1105" i="42"/>
  <c r="F1104" i="42"/>
  <c r="F1103" i="42"/>
  <c r="F1102" i="42"/>
  <c r="E1121" i="42"/>
  <c r="E1120" i="42"/>
  <c r="E1119" i="42"/>
  <c r="E1118" i="42"/>
  <c r="E1117" i="42"/>
  <c r="E1116" i="42"/>
  <c r="E1115" i="42"/>
  <c r="E1114" i="42"/>
  <c r="E1113" i="42"/>
  <c r="E1112" i="42"/>
  <c r="E1111" i="42"/>
  <c r="E1110" i="42"/>
  <c r="E1109" i="42"/>
  <c r="E1108" i="42"/>
  <c r="E1107" i="42"/>
  <c r="E1106" i="42"/>
  <c r="E1105" i="42"/>
  <c r="E1104" i="42"/>
  <c r="E1103" i="42"/>
  <c r="E1102" i="42"/>
  <c r="F1101" i="42"/>
  <c r="E1101" i="42"/>
  <c r="F1099" i="42"/>
  <c r="F1098" i="42"/>
  <c r="F1097" i="42"/>
  <c r="F1096" i="42"/>
  <c r="F1095" i="42"/>
  <c r="F1094" i="42"/>
  <c r="F1093" i="42"/>
  <c r="F1092" i="42"/>
  <c r="F1091" i="42"/>
  <c r="F1090" i="42"/>
  <c r="F1089" i="42"/>
  <c r="F1088" i="42"/>
  <c r="F1087" i="42"/>
  <c r="F1086" i="42"/>
  <c r="F1085" i="42"/>
  <c r="F1084" i="42"/>
  <c r="F1083" i="42"/>
  <c r="F1082" i="42"/>
  <c r="F1081" i="42"/>
  <c r="F1080" i="42"/>
  <c r="F1079" i="42"/>
  <c r="F1078" i="42"/>
  <c r="F1077" i="42"/>
  <c r="F1076" i="42"/>
  <c r="E1099" i="42"/>
  <c r="E1098" i="42"/>
  <c r="E1097" i="42"/>
  <c r="E1096" i="42"/>
  <c r="E1095" i="42"/>
  <c r="E1094" i="42"/>
  <c r="E1093" i="42"/>
  <c r="E1092" i="42"/>
  <c r="E1091" i="42"/>
  <c r="E1090" i="42"/>
  <c r="E1089" i="42"/>
  <c r="E1088" i="42"/>
  <c r="E1087" i="42"/>
  <c r="E1086" i="42"/>
  <c r="E1085" i="42"/>
  <c r="E1084" i="42"/>
  <c r="E1083" i="42"/>
  <c r="E1082" i="42"/>
  <c r="E1081" i="42"/>
  <c r="E1080" i="42"/>
  <c r="E1079" i="42"/>
  <c r="E1078" i="42"/>
  <c r="E1077" i="42"/>
  <c r="E1076" i="42"/>
  <c r="F1071" i="42"/>
  <c r="F1070" i="42"/>
  <c r="F1069" i="42"/>
  <c r="F1068" i="42"/>
  <c r="F1067" i="42"/>
  <c r="F1066" i="42"/>
  <c r="F1065" i="42"/>
  <c r="E1071" i="42"/>
  <c r="E1070" i="42"/>
  <c r="E1069" i="42"/>
  <c r="E1068" i="42"/>
  <c r="E1067" i="42"/>
  <c r="E1066" i="42"/>
  <c r="E1065" i="42"/>
  <c r="F1063" i="42"/>
  <c r="F1062" i="42"/>
  <c r="F1061" i="42"/>
  <c r="F1060" i="42"/>
  <c r="F1059" i="42"/>
  <c r="F1058" i="42"/>
  <c r="F1057" i="42"/>
  <c r="F1056" i="42"/>
  <c r="F1055" i="42"/>
  <c r="F1054" i="42"/>
  <c r="E1063" i="42"/>
  <c r="E1062" i="42"/>
  <c r="E1061" i="42"/>
  <c r="E1060" i="42"/>
  <c r="E1059" i="42"/>
  <c r="E1058" i="42"/>
  <c r="E1057" i="42"/>
  <c r="E1056" i="42"/>
  <c r="E1055" i="42"/>
  <c r="E1054" i="42"/>
  <c r="F1051" i="42"/>
  <c r="F1050" i="42"/>
  <c r="F1049" i="42"/>
  <c r="F1048" i="42"/>
  <c r="F1047" i="42"/>
  <c r="F1046" i="42"/>
  <c r="F1045" i="42"/>
  <c r="F1044" i="42"/>
  <c r="F1043" i="42"/>
  <c r="F1042" i="42"/>
  <c r="F1041" i="42"/>
  <c r="F1040" i="42"/>
  <c r="F1039" i="42"/>
  <c r="F1038" i="42"/>
  <c r="F1037" i="42"/>
  <c r="F1036" i="42"/>
  <c r="F1035" i="42"/>
  <c r="F1034" i="42"/>
  <c r="F1033" i="42"/>
  <c r="F1032" i="42"/>
  <c r="F1031" i="42"/>
  <c r="F1030" i="42"/>
  <c r="F1029" i="42"/>
  <c r="F1028" i="42"/>
  <c r="F1027" i="42"/>
  <c r="F1026" i="42"/>
  <c r="F1025" i="42"/>
  <c r="F1024" i="42"/>
  <c r="F1023" i="42"/>
  <c r="F1022" i="42"/>
  <c r="F1021" i="42"/>
  <c r="F1020" i="42"/>
  <c r="F1019" i="42"/>
  <c r="F1018" i="42"/>
  <c r="E1051" i="42"/>
  <c r="E1050" i="42"/>
  <c r="E1049" i="42"/>
  <c r="E1048" i="42"/>
  <c r="E1047" i="42"/>
  <c r="E1046" i="42"/>
  <c r="E1045" i="42"/>
  <c r="E1044" i="42"/>
  <c r="E1043" i="42"/>
  <c r="E1042" i="42"/>
  <c r="E1041" i="42"/>
  <c r="E1040" i="42"/>
  <c r="E1039" i="42"/>
  <c r="E1038" i="42"/>
  <c r="E1037" i="42"/>
  <c r="E1036" i="42"/>
  <c r="E1035" i="42"/>
  <c r="E1034" i="42"/>
  <c r="E1033" i="42"/>
  <c r="E1032" i="42"/>
  <c r="E1031" i="42"/>
  <c r="E1030" i="42"/>
  <c r="E1029" i="42"/>
  <c r="E1028" i="42"/>
  <c r="E1027" i="42"/>
  <c r="E1026" i="42"/>
  <c r="E1025" i="42"/>
  <c r="E1024" i="42"/>
  <c r="E1023" i="42"/>
  <c r="E1022" i="42"/>
  <c r="E1021" i="42"/>
  <c r="E1020" i="42"/>
  <c r="E1019" i="42"/>
  <c r="E1018" i="42"/>
  <c r="F1016" i="42"/>
  <c r="F1015" i="42"/>
  <c r="F1014" i="42"/>
  <c r="F1013" i="42"/>
  <c r="F1012" i="42"/>
  <c r="F1011" i="42"/>
  <c r="F1010" i="42"/>
  <c r="F1009" i="42"/>
  <c r="F1008" i="42"/>
  <c r="F1007" i="42"/>
  <c r="F1006" i="42"/>
  <c r="F1005" i="42"/>
  <c r="F1004" i="42"/>
  <c r="F1003" i="42"/>
  <c r="F1002" i="42"/>
  <c r="F1001" i="42"/>
  <c r="F1000" i="42"/>
  <c r="F999" i="42"/>
  <c r="F998" i="42"/>
  <c r="F997" i="42"/>
  <c r="F996" i="42"/>
  <c r="F995" i="42"/>
  <c r="F994" i="42"/>
  <c r="F993" i="42"/>
  <c r="F992" i="42"/>
  <c r="F991" i="42"/>
  <c r="F990" i="42"/>
  <c r="F989" i="42"/>
  <c r="F988" i="42"/>
  <c r="F987" i="42"/>
  <c r="F986" i="42"/>
  <c r="E1016" i="42"/>
  <c r="E1015" i="42"/>
  <c r="E1014" i="42"/>
  <c r="E1013" i="42"/>
  <c r="E1012" i="42"/>
  <c r="E1011" i="42"/>
  <c r="E1010" i="42"/>
  <c r="E1009" i="42"/>
  <c r="E1008" i="42"/>
  <c r="E1007" i="42"/>
  <c r="E1006" i="42"/>
  <c r="E1005" i="42"/>
  <c r="E1004" i="42"/>
  <c r="E1003" i="42"/>
  <c r="E1002" i="42"/>
  <c r="E1001" i="42"/>
  <c r="E1000" i="42"/>
  <c r="E999" i="42"/>
  <c r="E998" i="42"/>
  <c r="E997" i="42"/>
  <c r="E996" i="42"/>
  <c r="E995" i="42"/>
  <c r="E994" i="42"/>
  <c r="E993" i="42"/>
  <c r="E992" i="42"/>
  <c r="E991" i="42"/>
  <c r="E990" i="42"/>
  <c r="E989" i="42"/>
  <c r="E988" i="42"/>
  <c r="E987" i="42"/>
  <c r="E986" i="42"/>
  <c r="F984" i="42"/>
  <c r="F983" i="42"/>
  <c r="F982" i="42"/>
  <c r="F981" i="42"/>
  <c r="F980" i="42"/>
  <c r="F979" i="42"/>
  <c r="F978" i="42"/>
  <c r="F977" i="42"/>
  <c r="F976" i="42"/>
  <c r="F975" i="42"/>
  <c r="F974" i="42"/>
  <c r="F973" i="42"/>
  <c r="F972" i="42"/>
  <c r="F971" i="42"/>
  <c r="F970" i="42"/>
  <c r="F969" i="42"/>
  <c r="F968" i="42"/>
  <c r="E984" i="42"/>
  <c r="E983" i="42"/>
  <c r="E982" i="42"/>
  <c r="E981" i="42"/>
  <c r="E980" i="42"/>
  <c r="E979" i="42"/>
  <c r="E978" i="42"/>
  <c r="E977" i="42"/>
  <c r="E976" i="42"/>
  <c r="E975" i="42"/>
  <c r="E974" i="42"/>
  <c r="E973" i="42"/>
  <c r="E972" i="42"/>
  <c r="E971" i="42"/>
  <c r="E970" i="42"/>
  <c r="E969" i="42"/>
  <c r="E968" i="42"/>
  <c r="F965" i="42"/>
  <c r="F964" i="42"/>
  <c r="F963" i="42"/>
  <c r="F962" i="42"/>
  <c r="F961" i="42"/>
  <c r="F960" i="42"/>
  <c r="F959" i="42"/>
  <c r="F958" i="42"/>
  <c r="F957" i="42"/>
  <c r="F956" i="42"/>
  <c r="F955" i="42"/>
  <c r="F954" i="42"/>
  <c r="F953" i="42"/>
  <c r="F952" i="42"/>
  <c r="F951" i="42"/>
  <c r="F950" i="42"/>
  <c r="F949" i="42"/>
  <c r="F948" i="42"/>
  <c r="F947" i="42"/>
  <c r="F946" i="42"/>
  <c r="F945" i="42"/>
  <c r="F944" i="42"/>
  <c r="F942" i="42"/>
  <c r="F941" i="42"/>
  <c r="F940" i="42"/>
  <c r="F939" i="42"/>
  <c r="F937" i="42"/>
  <c r="F936" i="42"/>
  <c r="F935" i="42"/>
  <c r="F934" i="42"/>
  <c r="F933" i="42"/>
  <c r="F932" i="42"/>
  <c r="F931" i="42"/>
  <c r="F930" i="42"/>
  <c r="F929" i="42"/>
  <c r="F928" i="42"/>
  <c r="F927" i="42"/>
  <c r="F926" i="42"/>
  <c r="F925" i="42"/>
  <c r="F924" i="42"/>
  <c r="F923" i="42"/>
  <c r="F922" i="42"/>
  <c r="F921" i="42"/>
  <c r="F920" i="42"/>
  <c r="F919" i="42"/>
  <c r="F918" i="42"/>
  <c r="F917" i="42"/>
  <c r="F916" i="42"/>
  <c r="F915" i="42"/>
  <c r="E965" i="42"/>
  <c r="E964" i="42"/>
  <c r="E963" i="42"/>
  <c r="E962" i="42"/>
  <c r="E961" i="42"/>
  <c r="E960" i="42"/>
  <c r="E959" i="42"/>
  <c r="E958" i="42"/>
  <c r="E957" i="42"/>
  <c r="E956" i="42"/>
  <c r="E955" i="42"/>
  <c r="E954" i="42"/>
  <c r="E953" i="42"/>
  <c r="E952" i="42"/>
  <c r="E951" i="42"/>
  <c r="E950" i="42"/>
  <c r="E949" i="42"/>
  <c r="E948" i="42"/>
  <c r="E947" i="42"/>
  <c r="E946" i="42"/>
  <c r="E945" i="42"/>
  <c r="E944" i="42"/>
  <c r="E943" i="42"/>
  <c r="E942" i="42"/>
  <c r="E941" i="42"/>
  <c r="E940" i="42"/>
  <c r="E939" i="42"/>
  <c r="E938" i="42"/>
  <c r="E937" i="42"/>
  <c r="E936" i="42"/>
  <c r="E935" i="42"/>
  <c r="E934" i="42"/>
  <c r="E933" i="42"/>
  <c r="E932" i="42"/>
  <c r="E931" i="42"/>
  <c r="E930" i="42"/>
  <c r="E929" i="42"/>
  <c r="E928" i="42"/>
  <c r="E927" i="42"/>
  <c r="E926" i="42"/>
  <c r="E925" i="42"/>
  <c r="E924" i="42"/>
  <c r="E923" i="42"/>
  <c r="E922" i="42"/>
  <c r="E921" i="42"/>
  <c r="E920" i="42"/>
  <c r="E919" i="42"/>
  <c r="E918" i="42"/>
  <c r="E917" i="42"/>
  <c r="E916" i="42"/>
  <c r="E915" i="42"/>
  <c r="F913" i="42"/>
  <c r="E913" i="42"/>
  <c r="F912" i="42"/>
  <c r="F911" i="42"/>
  <c r="F910" i="42"/>
  <c r="F909" i="42"/>
  <c r="F908" i="42"/>
  <c r="F907" i="42"/>
  <c r="F906" i="42"/>
  <c r="F905" i="42"/>
  <c r="F904" i="42"/>
  <c r="F903" i="42"/>
  <c r="F902" i="42"/>
  <c r="F901" i="42"/>
  <c r="F900" i="42"/>
  <c r="F899" i="42"/>
  <c r="F898" i="42"/>
  <c r="F897" i="42"/>
  <c r="F896" i="42"/>
  <c r="F895" i="42"/>
  <c r="F894" i="42"/>
  <c r="F893" i="42"/>
  <c r="F892" i="42"/>
  <c r="F891" i="42"/>
  <c r="F890" i="42"/>
  <c r="F889" i="42"/>
  <c r="F888" i="42"/>
  <c r="E912" i="42"/>
  <c r="E911" i="42"/>
  <c r="E910" i="42"/>
  <c r="E909" i="42"/>
  <c r="E908" i="42"/>
  <c r="E907" i="42"/>
  <c r="E906" i="42"/>
  <c r="E905" i="42"/>
  <c r="E904" i="42"/>
  <c r="E903" i="42"/>
  <c r="E902" i="42"/>
  <c r="E901" i="42"/>
  <c r="E900" i="42"/>
  <c r="E899" i="42"/>
  <c r="E898" i="42"/>
  <c r="E897" i="42"/>
  <c r="E896" i="42"/>
  <c r="E895" i="42"/>
  <c r="E894" i="42"/>
  <c r="E893" i="42"/>
  <c r="E892" i="42"/>
  <c r="E891" i="42"/>
  <c r="E890" i="42"/>
  <c r="E889" i="42"/>
  <c r="E888" i="42"/>
  <c r="F885" i="42"/>
  <c r="F884" i="42"/>
  <c r="F883" i="42"/>
  <c r="F882" i="42"/>
  <c r="F881" i="42"/>
  <c r="F880" i="42"/>
  <c r="F879" i="42"/>
  <c r="F878" i="42"/>
  <c r="F877" i="42"/>
  <c r="F876" i="42"/>
  <c r="F875" i="42"/>
  <c r="F874" i="42"/>
  <c r="F873" i="42"/>
  <c r="F872" i="42"/>
  <c r="F870" i="42"/>
  <c r="F869" i="42"/>
  <c r="F868" i="42"/>
  <c r="F867" i="42"/>
  <c r="F866" i="42"/>
  <c r="E885" i="42"/>
  <c r="E884" i="42"/>
  <c r="E883" i="42"/>
  <c r="E882" i="42"/>
  <c r="E881" i="42"/>
  <c r="E880" i="42"/>
  <c r="E879" i="42"/>
  <c r="E878" i="42"/>
  <c r="E877" i="42"/>
  <c r="E876" i="42"/>
  <c r="E875" i="42"/>
  <c r="E874" i="42"/>
  <c r="E873" i="42"/>
  <c r="E872" i="42"/>
  <c r="E870" i="42"/>
  <c r="E869" i="42"/>
  <c r="E868" i="42"/>
  <c r="E867" i="42"/>
  <c r="E866" i="42"/>
  <c r="F863" i="42"/>
  <c r="F862" i="42"/>
  <c r="F860" i="42"/>
  <c r="F859" i="42"/>
  <c r="F857" i="42"/>
  <c r="F856" i="42"/>
  <c r="F855" i="42"/>
  <c r="F854" i="42"/>
  <c r="F853" i="42"/>
  <c r="F852" i="42"/>
  <c r="F851" i="42"/>
  <c r="F850" i="42"/>
  <c r="F849" i="42"/>
  <c r="F848" i="42"/>
  <c r="F846" i="42"/>
  <c r="F845" i="42"/>
  <c r="F844" i="42"/>
  <c r="F843" i="42"/>
  <c r="F841" i="42"/>
  <c r="F840" i="42"/>
  <c r="F839" i="42"/>
  <c r="F838" i="42"/>
  <c r="F837" i="42"/>
  <c r="F836" i="42"/>
  <c r="F835" i="42"/>
  <c r="F834" i="42"/>
  <c r="F833" i="42"/>
  <c r="F832" i="42"/>
  <c r="F831" i="42"/>
  <c r="F829" i="42"/>
  <c r="F828" i="42"/>
  <c r="F827" i="42"/>
  <c r="F826" i="42"/>
  <c r="F825" i="42"/>
  <c r="F823" i="42"/>
  <c r="F822" i="42"/>
  <c r="F821" i="42"/>
  <c r="F820" i="42"/>
  <c r="F819" i="42"/>
  <c r="F818" i="42"/>
  <c r="F817" i="42"/>
  <c r="F816" i="42"/>
  <c r="F815" i="42"/>
  <c r="F814" i="42"/>
  <c r="F813" i="42"/>
  <c r="F811" i="42"/>
  <c r="F810" i="42"/>
  <c r="F809" i="42"/>
  <c r="F808" i="42"/>
  <c r="F807" i="42"/>
  <c r="F806" i="42"/>
  <c r="F805" i="42"/>
  <c r="F804" i="42"/>
  <c r="F803" i="42"/>
  <c r="F801" i="42"/>
  <c r="F800" i="42"/>
  <c r="F799" i="42"/>
  <c r="F798" i="42"/>
  <c r="F797" i="42"/>
  <c r="F796" i="42"/>
  <c r="F795" i="42"/>
  <c r="F794" i="42"/>
  <c r="F793" i="42"/>
  <c r="F792" i="42"/>
  <c r="E863" i="42"/>
  <c r="E862" i="42"/>
  <c r="E860" i="42"/>
  <c r="E859" i="42"/>
  <c r="E857" i="42"/>
  <c r="E856" i="42"/>
  <c r="E855" i="42"/>
  <c r="E854" i="42"/>
  <c r="E853" i="42"/>
  <c r="E852" i="42"/>
  <c r="E851" i="42"/>
  <c r="E850" i="42"/>
  <c r="E849" i="42"/>
  <c r="E848" i="42"/>
  <c r="E846" i="42"/>
  <c r="E845" i="42"/>
  <c r="E844" i="42"/>
  <c r="E843" i="42"/>
  <c r="E841" i="42"/>
  <c r="E840" i="42"/>
  <c r="E839" i="42"/>
  <c r="E838" i="42"/>
  <c r="E837" i="42"/>
  <c r="E836" i="42"/>
  <c r="E835" i="42"/>
  <c r="E834" i="42"/>
  <c r="E833" i="42"/>
  <c r="E832" i="42"/>
  <c r="E831" i="42"/>
  <c r="E829" i="42"/>
  <c r="E828" i="42"/>
  <c r="E827" i="42"/>
  <c r="E826" i="42"/>
  <c r="E825" i="42"/>
  <c r="E823" i="42"/>
  <c r="E822" i="42"/>
  <c r="E821" i="42"/>
  <c r="E820" i="42"/>
  <c r="E819" i="42"/>
  <c r="E818" i="42"/>
  <c r="E817" i="42"/>
  <c r="E816" i="42"/>
  <c r="E815" i="42"/>
  <c r="E814" i="42"/>
  <c r="E813" i="42"/>
  <c r="E811" i="42"/>
  <c r="E810" i="42"/>
  <c r="E809" i="42"/>
  <c r="E808" i="42"/>
  <c r="E807" i="42"/>
  <c r="E806" i="42"/>
  <c r="E805" i="42"/>
  <c r="E804" i="42"/>
  <c r="E803" i="42"/>
  <c r="E801" i="42"/>
  <c r="E800" i="42"/>
  <c r="E799" i="42"/>
  <c r="E798" i="42"/>
  <c r="E797" i="42"/>
  <c r="E796" i="42"/>
  <c r="E795" i="42"/>
  <c r="E794" i="42"/>
  <c r="E793" i="42"/>
  <c r="E792" i="42"/>
  <c r="F790" i="42"/>
  <c r="F789" i="42"/>
  <c r="F788" i="42"/>
  <c r="F787" i="42"/>
  <c r="F786" i="42"/>
  <c r="F785" i="42"/>
  <c r="F784" i="42"/>
  <c r="F783" i="42"/>
  <c r="F782" i="42"/>
  <c r="F781" i="42"/>
  <c r="F780" i="42"/>
  <c r="F779" i="42"/>
  <c r="F778" i="42"/>
  <c r="F777" i="42"/>
  <c r="F776" i="42"/>
  <c r="F775" i="42"/>
  <c r="F774" i="42"/>
  <c r="F773" i="42"/>
  <c r="F772" i="42"/>
  <c r="F771" i="42"/>
  <c r="F770" i="42"/>
  <c r="F769" i="42"/>
  <c r="F768" i="42"/>
  <c r="F766" i="42"/>
  <c r="F765" i="42"/>
  <c r="F763" i="42"/>
  <c r="F762" i="42"/>
  <c r="F761" i="42"/>
  <c r="F760" i="42"/>
  <c r="F759" i="42"/>
  <c r="F758" i="42"/>
  <c r="F757" i="42"/>
  <c r="F756" i="42"/>
  <c r="F755" i="42"/>
  <c r="F754" i="42"/>
  <c r="F753" i="42"/>
  <c r="F752" i="42"/>
  <c r="F751" i="42"/>
  <c r="F750" i="42"/>
  <c r="F749" i="42"/>
  <c r="F748" i="42"/>
  <c r="F747" i="42"/>
  <c r="F746" i="42"/>
  <c r="F744" i="42"/>
  <c r="F743" i="42"/>
  <c r="F742" i="42"/>
  <c r="F741" i="42"/>
  <c r="F740" i="42"/>
  <c r="F738" i="42"/>
  <c r="F737" i="42"/>
  <c r="F736" i="42"/>
  <c r="F735" i="42"/>
  <c r="F734" i="42"/>
  <c r="F732" i="42"/>
  <c r="F731" i="42"/>
  <c r="F730" i="42"/>
  <c r="F729" i="42"/>
  <c r="F728" i="42"/>
  <c r="F727" i="42"/>
  <c r="F726" i="42"/>
  <c r="F725" i="42"/>
  <c r="F724" i="42"/>
  <c r="F723" i="42"/>
  <c r="F722" i="42"/>
  <c r="F720" i="42"/>
  <c r="F719" i="42"/>
  <c r="F718" i="42"/>
  <c r="F716" i="42"/>
  <c r="F714" i="42"/>
  <c r="F713" i="42"/>
  <c r="F712" i="42"/>
  <c r="F711" i="42"/>
  <c r="F708" i="42"/>
  <c r="F707" i="42"/>
  <c r="F706" i="42"/>
  <c r="F705" i="42"/>
  <c r="F704" i="42"/>
  <c r="F703" i="42"/>
  <c r="F702" i="42"/>
  <c r="F701" i="42"/>
  <c r="F699" i="42"/>
  <c r="F698" i="42"/>
  <c r="F697" i="42"/>
  <c r="F696" i="42"/>
  <c r="F695" i="42"/>
  <c r="F694" i="42"/>
  <c r="F693" i="42"/>
  <c r="F691" i="42"/>
  <c r="F690" i="42"/>
  <c r="F689" i="42"/>
  <c r="F688" i="42"/>
  <c r="F687" i="42"/>
  <c r="F684" i="42"/>
  <c r="F683" i="42"/>
  <c r="F682" i="42"/>
  <c r="F681" i="42"/>
  <c r="F680" i="42"/>
  <c r="F679" i="42"/>
  <c r="F678" i="42"/>
  <c r="F677" i="42"/>
  <c r="F676" i="42"/>
  <c r="F675" i="42"/>
  <c r="F674" i="42"/>
  <c r="F673" i="42"/>
  <c r="F671" i="42"/>
  <c r="F670" i="42"/>
  <c r="F669" i="42"/>
  <c r="F668" i="42"/>
  <c r="F667" i="42"/>
  <c r="F666" i="42"/>
  <c r="F665" i="42"/>
  <c r="F664" i="42"/>
  <c r="F662" i="42"/>
  <c r="F661" i="42"/>
  <c r="F660" i="42"/>
  <c r="F659" i="42"/>
  <c r="F658" i="42"/>
  <c r="F657" i="42"/>
  <c r="F656" i="42"/>
  <c r="F655" i="42"/>
  <c r="F654" i="42"/>
  <c r="F653" i="42"/>
  <c r="F652" i="42"/>
  <c r="F651" i="42"/>
  <c r="F650" i="42"/>
  <c r="F649" i="42"/>
  <c r="F648" i="42"/>
  <c r="F647" i="42"/>
  <c r="F646" i="42"/>
  <c r="F644" i="42"/>
  <c r="F643" i="42"/>
  <c r="F642" i="42"/>
  <c r="F641" i="42"/>
  <c r="F640" i="42"/>
  <c r="F639" i="42"/>
  <c r="F638" i="42"/>
  <c r="F637" i="42"/>
  <c r="F636" i="42"/>
  <c r="F635" i="42"/>
  <c r="F634" i="42"/>
  <c r="F633" i="42"/>
  <c r="F632" i="42"/>
  <c r="E790" i="42"/>
  <c r="E789" i="42"/>
  <c r="E788" i="42"/>
  <c r="E787" i="42"/>
  <c r="E786" i="42"/>
  <c r="E785" i="42"/>
  <c r="E784" i="42"/>
  <c r="E783" i="42"/>
  <c r="E782" i="42"/>
  <c r="E781" i="42"/>
  <c r="E780" i="42"/>
  <c r="E779" i="42"/>
  <c r="E778" i="42"/>
  <c r="E777" i="42"/>
  <c r="E776" i="42"/>
  <c r="E775" i="42"/>
  <c r="E774" i="42"/>
  <c r="E773" i="42"/>
  <c r="E772" i="42"/>
  <c r="E771" i="42"/>
  <c r="E770" i="42"/>
  <c r="E769" i="42"/>
  <c r="E768" i="42"/>
  <c r="E766" i="42"/>
  <c r="E765" i="42"/>
  <c r="E763" i="42"/>
  <c r="E762" i="42"/>
  <c r="E761" i="42"/>
  <c r="E760" i="42"/>
  <c r="E759" i="42"/>
  <c r="E758" i="42"/>
  <c r="E757" i="42"/>
  <c r="E756" i="42"/>
  <c r="E755" i="42"/>
  <c r="E754" i="42"/>
  <c r="E753" i="42"/>
  <c r="E752" i="42"/>
  <c r="E751" i="42"/>
  <c r="E750" i="42"/>
  <c r="E749" i="42"/>
  <c r="E748" i="42"/>
  <c r="E747" i="42"/>
  <c r="E746" i="42"/>
  <c r="E744" i="42"/>
  <c r="E743" i="42"/>
  <c r="E742" i="42"/>
  <c r="E741" i="42"/>
  <c r="E740" i="42"/>
  <c r="E738" i="42"/>
  <c r="E737" i="42"/>
  <c r="E736" i="42"/>
  <c r="E735" i="42"/>
  <c r="E734" i="42"/>
  <c r="E732" i="42"/>
  <c r="E731" i="42"/>
  <c r="E730" i="42"/>
  <c r="E729" i="42"/>
  <c r="E728" i="42"/>
  <c r="E727" i="42"/>
  <c r="E726" i="42"/>
  <c r="E725" i="42"/>
  <c r="E724" i="42"/>
  <c r="E723" i="42"/>
  <c r="E722" i="42"/>
  <c r="E720" i="42"/>
  <c r="E719" i="42"/>
  <c r="E718" i="42"/>
  <c r="E716" i="42"/>
  <c r="E714" i="42"/>
  <c r="E713" i="42"/>
  <c r="E712" i="42"/>
  <c r="E711" i="42"/>
  <c r="E708" i="42"/>
  <c r="E707" i="42"/>
  <c r="E706" i="42"/>
  <c r="E705" i="42"/>
  <c r="E704" i="42"/>
  <c r="E703" i="42"/>
  <c r="E702" i="42"/>
  <c r="E701" i="42"/>
  <c r="E699" i="42"/>
  <c r="E698" i="42"/>
  <c r="E697" i="42"/>
  <c r="E696" i="42"/>
  <c r="E695" i="42"/>
  <c r="E694" i="42"/>
  <c r="E693" i="42"/>
  <c r="E691" i="42"/>
  <c r="E690" i="42"/>
  <c r="E689" i="42"/>
  <c r="E688" i="42"/>
  <c r="E687" i="42"/>
  <c r="E684" i="42"/>
  <c r="E683" i="42"/>
  <c r="E682" i="42"/>
  <c r="E681" i="42"/>
  <c r="E680" i="42"/>
  <c r="E679" i="42"/>
  <c r="E678" i="42"/>
  <c r="E677" i="42"/>
  <c r="E676" i="42"/>
  <c r="E675" i="42"/>
  <c r="E674" i="42"/>
  <c r="E673" i="42"/>
  <c r="E671" i="42"/>
  <c r="E670" i="42"/>
  <c r="E669" i="42"/>
  <c r="E668" i="42"/>
  <c r="E667" i="42"/>
  <c r="E666" i="42"/>
  <c r="E665" i="42"/>
  <c r="E664" i="42"/>
  <c r="E662" i="42"/>
  <c r="E661" i="42"/>
  <c r="E660" i="42"/>
  <c r="E659" i="42"/>
  <c r="E658" i="42"/>
  <c r="E657" i="42"/>
  <c r="E656" i="42"/>
  <c r="E655" i="42"/>
  <c r="E654" i="42"/>
  <c r="E653" i="42"/>
  <c r="E652" i="42"/>
  <c r="E651" i="42"/>
  <c r="E650" i="42"/>
  <c r="E649" i="42"/>
  <c r="E648" i="42"/>
  <c r="E647" i="42"/>
  <c r="E646" i="42"/>
  <c r="E644" i="42"/>
  <c r="E643" i="42"/>
  <c r="E642" i="42"/>
  <c r="E641" i="42"/>
  <c r="E640" i="42"/>
  <c r="E639" i="42"/>
  <c r="E638" i="42"/>
  <c r="E637" i="42"/>
  <c r="E636" i="42"/>
  <c r="E635" i="42"/>
  <c r="E634" i="42"/>
  <c r="E633" i="42"/>
  <c r="E632" i="42"/>
  <c r="E629" i="42"/>
  <c r="E628" i="42"/>
  <c r="E627" i="42"/>
  <c r="E626" i="42"/>
  <c r="E625" i="42"/>
  <c r="E623" i="42"/>
  <c r="E622" i="42"/>
  <c r="E621" i="42"/>
  <c r="E620" i="42"/>
  <c r="E619" i="42"/>
  <c r="E618" i="42"/>
  <c r="E617" i="42"/>
  <c r="E615" i="42"/>
  <c r="E614" i="42"/>
  <c r="E613" i="42"/>
  <c r="E612" i="42"/>
  <c r="E611" i="42"/>
  <c r="E609" i="42"/>
  <c r="E608" i="42"/>
  <c r="E607" i="42"/>
  <c r="F629" i="42"/>
  <c r="F628" i="42"/>
  <c r="F627" i="42"/>
  <c r="F626" i="42"/>
  <c r="F625" i="42"/>
  <c r="F623" i="42"/>
  <c r="F622" i="42"/>
  <c r="F621" i="42"/>
  <c r="F620" i="42"/>
  <c r="F619" i="42"/>
  <c r="F618" i="42"/>
  <c r="F617" i="42"/>
  <c r="F615" i="42"/>
  <c r="F614" i="42"/>
  <c r="F613" i="42"/>
  <c r="F612" i="42"/>
  <c r="F611" i="42"/>
  <c r="E606" i="42"/>
  <c r="F609" i="42"/>
  <c r="F608" i="42"/>
  <c r="F607" i="42"/>
  <c r="F606" i="42"/>
  <c r="F601" i="42"/>
  <c r="F600" i="42"/>
  <c r="F599" i="42"/>
  <c r="F598" i="42"/>
  <c r="F597" i="42"/>
  <c r="E601" i="42"/>
  <c r="E600" i="42"/>
  <c r="E599" i="42"/>
  <c r="E598" i="42"/>
  <c r="E597" i="42"/>
  <c r="E595" i="42"/>
  <c r="E594" i="42"/>
  <c r="E593" i="42"/>
  <c r="E592" i="42"/>
  <c r="E591" i="42"/>
  <c r="E590" i="42"/>
  <c r="F595" i="42"/>
  <c r="F594" i="42"/>
  <c r="F593" i="42"/>
  <c r="F592" i="42"/>
  <c r="F591" i="42"/>
  <c r="F590" i="42"/>
  <c r="F586" i="42"/>
  <c r="F585" i="42"/>
  <c r="F584" i="42"/>
  <c r="F583" i="42"/>
  <c r="F582" i="42"/>
  <c r="F581" i="42"/>
  <c r="F580" i="42"/>
  <c r="F579" i="42"/>
  <c r="F578" i="42"/>
  <c r="F577" i="42"/>
  <c r="F576" i="42"/>
  <c r="F575" i="42"/>
  <c r="F574" i="42"/>
  <c r="F573" i="42"/>
  <c r="F572" i="42"/>
  <c r="F571" i="42"/>
  <c r="F570" i="42"/>
  <c r="F569" i="42"/>
  <c r="F568" i="42"/>
  <c r="F567" i="42"/>
  <c r="F566" i="42"/>
  <c r="F565" i="42"/>
  <c r="F564" i="42"/>
  <c r="F563" i="42"/>
  <c r="F562" i="42"/>
  <c r="F561" i="42"/>
  <c r="F560" i="42"/>
  <c r="F559" i="42"/>
  <c r="F558" i="42"/>
  <c r="F557" i="42"/>
  <c r="F556" i="42"/>
  <c r="F555" i="42"/>
  <c r="F554" i="42"/>
  <c r="F553" i="42"/>
  <c r="F552" i="42"/>
  <c r="F551" i="42"/>
  <c r="F550" i="42"/>
  <c r="F549" i="42"/>
  <c r="F548" i="42"/>
  <c r="F547" i="42"/>
  <c r="F546" i="42"/>
  <c r="F545" i="42"/>
  <c r="F544" i="42"/>
  <c r="F543" i="42"/>
  <c r="F542" i="42"/>
  <c r="F541" i="42"/>
  <c r="F540" i="42"/>
  <c r="F539" i="42"/>
  <c r="F538" i="42"/>
  <c r="F537" i="42"/>
  <c r="F536" i="42"/>
  <c r="F535" i="42"/>
  <c r="F534" i="42"/>
  <c r="F533" i="42"/>
  <c r="F532" i="42"/>
  <c r="F531" i="42"/>
  <c r="F530" i="42"/>
  <c r="F529" i="42"/>
  <c r="F528" i="42"/>
  <c r="F527" i="42"/>
  <c r="F526" i="42"/>
  <c r="F525" i="42"/>
  <c r="F524" i="42"/>
  <c r="F523" i="42"/>
  <c r="F522" i="42"/>
  <c r="F521" i="42"/>
  <c r="F520" i="42"/>
  <c r="F519" i="42"/>
  <c r="F518" i="42"/>
  <c r="F517" i="42"/>
  <c r="F516" i="42"/>
  <c r="F515" i="42"/>
  <c r="F514" i="42"/>
  <c r="F513" i="42"/>
  <c r="F512" i="42"/>
  <c r="F511" i="42"/>
  <c r="F510" i="42"/>
  <c r="F509" i="42"/>
  <c r="F508" i="42"/>
  <c r="F507" i="42"/>
  <c r="F506" i="42"/>
  <c r="F505" i="42"/>
  <c r="F504" i="42"/>
  <c r="F503" i="42"/>
  <c r="F502" i="42"/>
  <c r="F501" i="42"/>
  <c r="F500" i="42"/>
  <c r="F499" i="42"/>
  <c r="F498" i="42"/>
  <c r="F497" i="42"/>
  <c r="F496" i="42"/>
  <c r="F495" i="42"/>
  <c r="F494" i="42"/>
  <c r="F493" i="42"/>
  <c r="F492" i="42"/>
  <c r="F491" i="42"/>
  <c r="F490" i="42"/>
  <c r="F489" i="42"/>
  <c r="F488" i="42"/>
  <c r="F487" i="42"/>
  <c r="F486" i="42"/>
  <c r="F485" i="42"/>
  <c r="F484" i="42"/>
  <c r="F483" i="42"/>
  <c r="F482" i="42"/>
  <c r="F481" i="42"/>
  <c r="F480" i="42"/>
  <c r="F479" i="42"/>
  <c r="F478" i="42"/>
  <c r="F477" i="42"/>
  <c r="F476" i="42"/>
  <c r="F475" i="42"/>
  <c r="F474" i="42"/>
  <c r="F473" i="42"/>
  <c r="F472" i="42"/>
  <c r="F471" i="42"/>
  <c r="F470" i="42"/>
  <c r="F469" i="42"/>
  <c r="F468" i="42"/>
  <c r="F467" i="42"/>
  <c r="F466" i="42"/>
  <c r="F465" i="42"/>
  <c r="F464" i="42"/>
  <c r="F463" i="42"/>
  <c r="F462" i="42"/>
  <c r="F461" i="42"/>
  <c r="F460" i="42"/>
  <c r="F459" i="42"/>
  <c r="F458" i="42"/>
  <c r="F457" i="42"/>
  <c r="F456" i="42"/>
  <c r="F455" i="42"/>
  <c r="F454" i="42"/>
  <c r="F453" i="42"/>
  <c r="F452" i="42"/>
  <c r="F451" i="42"/>
  <c r="F450" i="42"/>
  <c r="F449" i="42"/>
  <c r="F448" i="42"/>
  <c r="F447" i="42"/>
  <c r="F446" i="42"/>
  <c r="F445" i="42"/>
  <c r="F444" i="42"/>
  <c r="F443" i="42"/>
  <c r="F442" i="42"/>
  <c r="F441" i="42"/>
  <c r="F440" i="42"/>
  <c r="F439" i="42"/>
  <c r="F438" i="42"/>
  <c r="F437" i="42"/>
  <c r="F436" i="42"/>
  <c r="F435" i="42"/>
  <c r="F434" i="42"/>
  <c r="F433" i="42"/>
  <c r="F432" i="42"/>
  <c r="F431" i="42"/>
  <c r="F430" i="42"/>
  <c r="F429" i="42"/>
  <c r="F428" i="42"/>
  <c r="F427" i="42"/>
  <c r="F426" i="42"/>
  <c r="F425" i="42"/>
  <c r="F424" i="42"/>
  <c r="F423" i="42"/>
  <c r="F422" i="42"/>
  <c r="F421" i="42"/>
  <c r="F420" i="42"/>
  <c r="F419" i="42"/>
  <c r="F418" i="42"/>
  <c r="F417" i="42"/>
  <c r="F416" i="42"/>
  <c r="F415" i="42"/>
  <c r="F414" i="42"/>
  <c r="F413" i="42"/>
  <c r="F412" i="42"/>
  <c r="F411" i="42"/>
  <c r="F410" i="42"/>
  <c r="F409" i="42"/>
  <c r="F408" i="42"/>
  <c r="F407" i="42"/>
  <c r="F406" i="42"/>
  <c r="F405" i="42"/>
  <c r="F404" i="42"/>
  <c r="F403" i="42"/>
  <c r="F402" i="42"/>
  <c r="F401" i="42"/>
  <c r="F400" i="42"/>
  <c r="F399" i="42"/>
  <c r="F398" i="42"/>
  <c r="F397" i="42"/>
  <c r="F396" i="42"/>
  <c r="F395" i="42"/>
  <c r="F394" i="42"/>
  <c r="F393" i="42"/>
  <c r="F392" i="42"/>
  <c r="F391" i="42"/>
  <c r="F390" i="42"/>
  <c r="F389" i="42"/>
  <c r="F388" i="42"/>
  <c r="F387" i="42"/>
  <c r="F386" i="42"/>
  <c r="F385" i="42"/>
  <c r="F384" i="42"/>
  <c r="F383" i="42"/>
  <c r="F382" i="42"/>
  <c r="F381" i="42"/>
  <c r="F380" i="42"/>
  <c r="F379" i="42"/>
  <c r="F378" i="42"/>
  <c r="F377" i="42"/>
  <c r="F376" i="42"/>
  <c r="F375" i="42"/>
  <c r="F374" i="42"/>
  <c r="F373" i="42"/>
  <c r="F372" i="42"/>
  <c r="F371" i="42"/>
  <c r="F370" i="42"/>
  <c r="F369" i="42"/>
  <c r="F368" i="42"/>
  <c r="F367" i="42"/>
  <c r="F366" i="42"/>
  <c r="F365" i="42"/>
  <c r="F364" i="42"/>
  <c r="F363" i="42"/>
  <c r="F362" i="42"/>
  <c r="F361" i="42"/>
  <c r="F360" i="42"/>
  <c r="F359" i="42"/>
  <c r="F358" i="42"/>
  <c r="F357" i="42"/>
  <c r="F356" i="42"/>
  <c r="F355" i="42"/>
  <c r="F354" i="42"/>
  <c r="F353" i="42"/>
  <c r="F352" i="42"/>
  <c r="F351" i="42"/>
  <c r="F350" i="42"/>
  <c r="F349" i="42"/>
  <c r="F348" i="42"/>
  <c r="F347" i="42"/>
  <c r="F346" i="42"/>
  <c r="F345" i="42"/>
  <c r="F344" i="42"/>
  <c r="F343" i="42"/>
  <c r="F342" i="42"/>
  <c r="F341" i="42"/>
  <c r="F340" i="42"/>
  <c r="F339" i="42"/>
  <c r="F338" i="42"/>
  <c r="F337" i="42"/>
  <c r="F336" i="42"/>
  <c r="F335" i="42"/>
  <c r="F334" i="42"/>
  <c r="F333" i="42"/>
  <c r="F332" i="42"/>
  <c r="F331" i="42"/>
  <c r="F330" i="42"/>
  <c r="F329" i="42"/>
  <c r="F328" i="42"/>
  <c r="F327" i="42"/>
  <c r="F326" i="42"/>
  <c r="F325" i="42"/>
  <c r="F324" i="42"/>
  <c r="F323" i="42"/>
  <c r="F322" i="42"/>
  <c r="F321" i="42"/>
  <c r="F320" i="42"/>
  <c r="F319" i="42"/>
  <c r="F318" i="42"/>
  <c r="F317" i="42"/>
  <c r="F316" i="42"/>
  <c r="F315" i="42"/>
  <c r="F314" i="42"/>
  <c r="F313" i="42"/>
  <c r="F312" i="42"/>
  <c r="F311" i="42"/>
  <c r="F310" i="42"/>
  <c r="F309" i="42"/>
  <c r="F308" i="42"/>
  <c r="F307" i="42"/>
  <c r="F306" i="42"/>
  <c r="F305" i="42"/>
  <c r="F304" i="42"/>
  <c r="F303" i="42"/>
  <c r="F302" i="42"/>
  <c r="F301" i="42"/>
  <c r="F300" i="42"/>
  <c r="F299" i="42"/>
  <c r="F298" i="42"/>
  <c r="F297" i="42"/>
  <c r="F296" i="42"/>
  <c r="F295" i="42"/>
  <c r="F294" i="42"/>
  <c r="F293" i="42"/>
  <c r="F292" i="42"/>
  <c r="F291" i="42"/>
  <c r="F290" i="42"/>
  <c r="F289" i="42"/>
  <c r="F288" i="42"/>
  <c r="F287" i="42"/>
  <c r="F286" i="42"/>
  <c r="F285" i="42"/>
  <c r="F284" i="42"/>
  <c r="F283" i="42"/>
  <c r="F282" i="42"/>
  <c r="F281" i="42"/>
  <c r="F280" i="42"/>
  <c r="F279" i="42"/>
  <c r="F278" i="42"/>
  <c r="F277" i="42"/>
  <c r="F276" i="42"/>
  <c r="F275" i="42"/>
  <c r="F274" i="42"/>
  <c r="F273" i="42"/>
  <c r="F272" i="42"/>
  <c r="F271" i="42"/>
  <c r="F270" i="42"/>
  <c r="F269" i="42"/>
  <c r="F268" i="42"/>
  <c r="F267" i="42"/>
  <c r="F266" i="42"/>
  <c r="F265" i="42"/>
  <c r="F264" i="42"/>
  <c r="F263" i="42"/>
  <c r="F262" i="42"/>
  <c r="F261" i="42"/>
  <c r="F260" i="42"/>
  <c r="F259" i="42"/>
  <c r="F258" i="42"/>
  <c r="F257" i="42"/>
  <c r="F256" i="42"/>
  <c r="F255" i="42"/>
  <c r="F254" i="42"/>
  <c r="F253" i="42"/>
  <c r="F252" i="42"/>
  <c r="F251" i="42"/>
  <c r="F250" i="42"/>
  <c r="F249" i="42"/>
  <c r="F248" i="42"/>
  <c r="F247" i="42"/>
  <c r="F246" i="42"/>
  <c r="F245" i="42"/>
  <c r="F244" i="42"/>
  <c r="F243" i="42"/>
  <c r="F242" i="42"/>
  <c r="F241" i="42"/>
  <c r="F240" i="42"/>
  <c r="F239" i="42"/>
  <c r="F238" i="42"/>
  <c r="F237" i="42"/>
  <c r="F236" i="42"/>
  <c r="F235" i="42"/>
  <c r="F234" i="42"/>
  <c r="F233" i="42"/>
  <c r="F232" i="42"/>
  <c r="F231" i="42"/>
  <c r="F230" i="42"/>
  <c r="F229" i="42"/>
  <c r="F228" i="42"/>
  <c r="F227" i="42"/>
  <c r="F226" i="42"/>
  <c r="F225" i="42"/>
  <c r="F224" i="42"/>
  <c r="F223" i="42"/>
  <c r="F222" i="42"/>
  <c r="F221" i="42"/>
  <c r="F220" i="42"/>
  <c r="F219" i="42"/>
  <c r="F218" i="42"/>
  <c r="F217" i="42"/>
  <c r="F216" i="42"/>
  <c r="F215" i="42"/>
  <c r="F214" i="42"/>
  <c r="F213" i="42"/>
  <c r="F212" i="42"/>
  <c r="F211" i="42"/>
  <c r="F210" i="42"/>
  <c r="F209" i="42"/>
  <c r="F208" i="42"/>
  <c r="F207" i="42"/>
  <c r="F206" i="42"/>
  <c r="F205" i="42"/>
  <c r="F204" i="42"/>
  <c r="F203" i="42"/>
  <c r="F202" i="42"/>
  <c r="F201" i="42"/>
  <c r="F200" i="42"/>
  <c r="F199" i="42"/>
  <c r="F198" i="42"/>
  <c r="F197" i="42"/>
  <c r="F196" i="42"/>
  <c r="F195" i="42"/>
  <c r="F194" i="42"/>
  <c r="F193" i="42"/>
  <c r="F192" i="42"/>
  <c r="F191" i="42"/>
  <c r="F190" i="42"/>
  <c r="F189" i="42"/>
  <c r="F188" i="42"/>
  <c r="F187" i="42"/>
  <c r="F186" i="42"/>
  <c r="F185" i="42"/>
  <c r="F184" i="42"/>
  <c r="F183" i="42"/>
  <c r="F182" i="42"/>
  <c r="F181" i="42"/>
  <c r="F180" i="42"/>
  <c r="F179" i="42"/>
  <c r="F178" i="42"/>
  <c r="F177" i="42"/>
  <c r="F176" i="42"/>
  <c r="F175" i="42"/>
  <c r="F174" i="42"/>
  <c r="F173" i="42"/>
  <c r="F172" i="42"/>
  <c r="F171" i="42"/>
  <c r="F170" i="42"/>
  <c r="F169" i="42"/>
  <c r="F168" i="42"/>
  <c r="F167" i="42"/>
  <c r="F166" i="42"/>
  <c r="F165" i="42"/>
  <c r="F164" i="42"/>
  <c r="F163" i="42"/>
  <c r="F162" i="42"/>
  <c r="F161" i="42"/>
  <c r="F160" i="42"/>
  <c r="F159" i="42"/>
  <c r="F158" i="42"/>
  <c r="F157" i="42"/>
  <c r="F156" i="42"/>
  <c r="F155" i="42"/>
  <c r="F154" i="42"/>
  <c r="F153" i="42"/>
  <c r="F152" i="42"/>
  <c r="F151" i="42"/>
  <c r="F150" i="42"/>
  <c r="F149" i="42"/>
  <c r="F148" i="42"/>
  <c r="F147" i="42"/>
  <c r="F146" i="42"/>
  <c r="F145" i="42"/>
  <c r="F144" i="42"/>
  <c r="F143" i="42"/>
  <c r="F142" i="42"/>
  <c r="F141" i="42"/>
  <c r="F140" i="42"/>
  <c r="F139" i="42"/>
  <c r="F138" i="42"/>
  <c r="F137" i="42"/>
  <c r="F136" i="42"/>
  <c r="F135" i="42"/>
  <c r="F134" i="42"/>
  <c r="F133" i="42"/>
  <c r="F132" i="42"/>
  <c r="F131" i="42"/>
  <c r="F130" i="42"/>
  <c r="F129" i="42"/>
  <c r="F128" i="42"/>
  <c r="F127" i="42"/>
  <c r="F126" i="42"/>
  <c r="F125" i="42"/>
  <c r="F124" i="42"/>
  <c r="F123" i="42"/>
  <c r="F122" i="42"/>
  <c r="F121" i="42"/>
  <c r="F120" i="42"/>
  <c r="F119" i="42"/>
  <c r="F118" i="42"/>
  <c r="F117" i="42"/>
  <c r="F116" i="42"/>
  <c r="F115" i="42"/>
  <c r="F114" i="42"/>
  <c r="F113" i="42"/>
  <c r="F112" i="42"/>
  <c r="F111" i="42"/>
  <c r="F110" i="42"/>
  <c r="F109" i="42"/>
  <c r="F108" i="42"/>
  <c r="F107" i="42"/>
  <c r="F106" i="42"/>
  <c r="F105" i="42"/>
  <c r="F104" i="42"/>
  <c r="F103" i="42"/>
  <c r="F102" i="42"/>
  <c r="F101" i="42"/>
  <c r="F100" i="42"/>
  <c r="F99" i="42"/>
  <c r="F98" i="42"/>
  <c r="F97" i="42"/>
  <c r="F96" i="42"/>
  <c r="F95" i="42"/>
  <c r="F94" i="42"/>
  <c r="F93" i="42"/>
  <c r="F92" i="42"/>
  <c r="F91" i="42"/>
  <c r="F90" i="42"/>
  <c r="F89" i="42"/>
  <c r="F88" i="42"/>
  <c r="F87" i="42"/>
  <c r="F86" i="42"/>
  <c r="F85" i="42"/>
  <c r="F84" i="42"/>
  <c r="F83" i="42"/>
  <c r="F82" i="42"/>
  <c r="F81" i="42"/>
  <c r="F80" i="42"/>
  <c r="F79" i="42"/>
  <c r="F78" i="42"/>
  <c r="F77" i="42"/>
  <c r="F76" i="42"/>
  <c r="F75" i="42"/>
  <c r="F74" i="42"/>
  <c r="F73" i="42"/>
  <c r="F72" i="42"/>
  <c r="F71" i="42"/>
  <c r="F70" i="42"/>
  <c r="F69" i="42"/>
  <c r="F68" i="42"/>
  <c r="F67" i="42"/>
  <c r="F66" i="42"/>
  <c r="F65" i="42"/>
  <c r="F64" i="42"/>
  <c r="F63" i="42"/>
  <c r="F62" i="42"/>
  <c r="F61" i="42"/>
  <c r="F60" i="42"/>
  <c r="F59" i="42"/>
  <c r="F58" i="42"/>
  <c r="F57" i="42"/>
  <c r="F56" i="42"/>
  <c r="F55" i="42"/>
  <c r="F54" i="42"/>
  <c r="F53" i="42"/>
  <c r="F52" i="42"/>
  <c r="F51" i="42"/>
  <c r="F50" i="42"/>
  <c r="F49" i="42"/>
  <c r="F48" i="42"/>
  <c r="F47" i="42"/>
  <c r="F46" i="42"/>
  <c r="F45" i="42"/>
  <c r="F44" i="42"/>
  <c r="F43" i="42"/>
  <c r="F42" i="42"/>
  <c r="F41" i="42"/>
  <c r="F40" i="42"/>
  <c r="F39" i="42"/>
  <c r="F38" i="42"/>
  <c r="F37" i="42"/>
  <c r="F36" i="42"/>
  <c r="F35" i="42"/>
  <c r="F34" i="42"/>
  <c r="F33" i="42"/>
  <c r="F32" i="42"/>
  <c r="F31" i="42"/>
  <c r="F30" i="42"/>
  <c r="F29" i="42"/>
  <c r="F28" i="42"/>
  <c r="F27" i="42"/>
  <c r="F26" i="42"/>
  <c r="F25" i="42"/>
  <c r="F24" i="42"/>
  <c r="F23" i="42"/>
  <c r="F22" i="42"/>
  <c r="F21" i="42"/>
  <c r="F20" i="42"/>
  <c r="F19" i="42"/>
  <c r="F18" i="42"/>
  <c r="F17" i="42"/>
  <c r="F16" i="42"/>
  <c r="F15" i="42"/>
  <c r="F14" i="42"/>
  <c r="F13" i="42"/>
  <c r="F12" i="42"/>
  <c r="F11" i="42"/>
  <c r="F10" i="42"/>
  <c r="F9" i="42"/>
  <c r="F8" i="42"/>
  <c r="F7" i="42"/>
  <c r="E586" i="42"/>
  <c r="E585" i="42"/>
  <c r="E584" i="42"/>
  <c r="E583" i="42"/>
  <c r="E582" i="42"/>
  <c r="E581" i="42"/>
  <c r="E580" i="42"/>
  <c r="E579" i="42"/>
  <c r="E578" i="42"/>
  <c r="E577" i="42"/>
  <c r="E576" i="42"/>
  <c r="E575" i="42"/>
  <c r="E574" i="42"/>
  <c r="E573" i="42"/>
  <c r="E572" i="42"/>
  <c r="E571" i="42"/>
  <c r="E570" i="42"/>
  <c r="E569" i="42"/>
  <c r="E568" i="42"/>
  <c r="E567" i="42"/>
  <c r="E566" i="42"/>
  <c r="E565" i="42"/>
  <c r="E564" i="42"/>
  <c r="E563" i="42"/>
  <c r="E562" i="42"/>
  <c r="E561" i="42"/>
  <c r="E560" i="42"/>
  <c r="E559" i="42"/>
  <c r="E558" i="42"/>
  <c r="E557" i="42"/>
  <c r="E556" i="42"/>
  <c r="E555" i="42"/>
  <c r="E554" i="42"/>
  <c r="E553" i="42"/>
  <c r="E552" i="42"/>
  <c r="E551" i="42"/>
  <c r="E550" i="42"/>
  <c r="E549" i="42"/>
  <c r="E548" i="42"/>
  <c r="E547" i="42"/>
  <c r="E546" i="42"/>
  <c r="E545" i="42"/>
  <c r="E544" i="42"/>
  <c r="E543" i="42"/>
  <c r="E542" i="42"/>
  <c r="E541" i="42"/>
  <c r="E540" i="42"/>
  <c r="E539" i="42"/>
  <c r="E538" i="42"/>
  <c r="E537" i="42"/>
  <c r="E536" i="42"/>
  <c r="E535" i="42"/>
  <c r="E534" i="42"/>
  <c r="E533" i="42"/>
  <c r="E532" i="42"/>
  <c r="E531" i="42"/>
  <c r="E530" i="42"/>
  <c r="E529" i="42"/>
  <c r="E528" i="42"/>
  <c r="E527" i="42"/>
  <c r="E526" i="42"/>
  <c r="E525" i="42"/>
  <c r="E524" i="42"/>
  <c r="E523" i="42"/>
  <c r="E522" i="42"/>
  <c r="E521" i="42"/>
  <c r="E520" i="42"/>
  <c r="E519" i="42"/>
  <c r="E518" i="42"/>
  <c r="E517" i="42"/>
  <c r="E516" i="42"/>
  <c r="E515" i="42"/>
  <c r="E514" i="42"/>
  <c r="E513" i="42"/>
  <c r="E512" i="42"/>
  <c r="E511" i="42"/>
  <c r="E510" i="42"/>
  <c r="E509" i="42"/>
  <c r="E508" i="42"/>
  <c r="E507" i="42"/>
  <c r="E506" i="42"/>
  <c r="E505" i="42"/>
  <c r="E504" i="42"/>
  <c r="E503" i="42"/>
  <c r="E502" i="42"/>
  <c r="E501" i="42"/>
  <c r="E500" i="42"/>
  <c r="E499" i="42"/>
  <c r="E498" i="42"/>
  <c r="E497" i="42"/>
  <c r="E496" i="42"/>
  <c r="E495" i="42"/>
  <c r="E494" i="42"/>
  <c r="E493" i="42"/>
  <c r="E492" i="42"/>
  <c r="E491" i="42"/>
  <c r="E490" i="42"/>
  <c r="E489" i="42"/>
  <c r="E488" i="42"/>
  <c r="E487" i="42"/>
  <c r="E486" i="42"/>
  <c r="E485" i="42"/>
  <c r="E484" i="42"/>
  <c r="E483" i="42"/>
  <c r="E482" i="42"/>
  <c r="E481" i="42"/>
  <c r="E480" i="42"/>
  <c r="E479" i="42"/>
  <c r="E478" i="42"/>
  <c r="E477" i="42"/>
  <c r="E476" i="42"/>
  <c r="E475" i="42"/>
  <c r="E474" i="42"/>
  <c r="E473" i="42"/>
  <c r="E472" i="42"/>
  <c r="E471" i="42"/>
  <c r="E470" i="42"/>
  <c r="E469" i="42"/>
  <c r="E468" i="42"/>
  <c r="E467" i="42"/>
  <c r="E466" i="42"/>
  <c r="E465" i="42"/>
  <c r="E464" i="42"/>
  <c r="E463" i="42"/>
  <c r="E462" i="42"/>
  <c r="E461" i="42"/>
  <c r="E460" i="42"/>
  <c r="E459" i="42"/>
  <c r="E458" i="42"/>
  <c r="E457" i="42"/>
  <c r="E456" i="42"/>
  <c r="E455" i="42"/>
  <c r="E454" i="42"/>
  <c r="E453" i="42"/>
  <c r="E452" i="42"/>
  <c r="E451" i="42"/>
  <c r="E450" i="42"/>
  <c r="E449" i="42"/>
  <c r="E448" i="42"/>
  <c r="E447" i="42"/>
  <c r="E446" i="42"/>
  <c r="E445" i="42"/>
  <c r="E444" i="42"/>
  <c r="E443" i="42"/>
  <c r="E442" i="42"/>
  <c r="E441" i="42"/>
  <c r="E440" i="42"/>
  <c r="E439" i="42"/>
  <c r="E438" i="42"/>
  <c r="E437" i="42"/>
  <c r="E436" i="42"/>
  <c r="E435" i="42"/>
  <c r="E434" i="42"/>
  <c r="E433" i="42"/>
  <c r="E432" i="42"/>
  <c r="E431" i="42"/>
  <c r="E430" i="42"/>
  <c r="E429" i="42"/>
  <c r="E428" i="42"/>
  <c r="E427" i="42"/>
  <c r="E426" i="42"/>
  <c r="E425" i="42"/>
  <c r="E424" i="42"/>
  <c r="E423" i="42"/>
  <c r="E422" i="42"/>
  <c r="E421" i="42"/>
  <c r="E420" i="42"/>
  <c r="E419" i="42"/>
  <c r="E418" i="42"/>
  <c r="E417" i="42"/>
  <c r="E416" i="42"/>
  <c r="E415" i="42"/>
  <c r="E414" i="42"/>
  <c r="E413" i="42"/>
  <c r="E412" i="42"/>
  <c r="E411" i="42"/>
  <c r="E410" i="42"/>
  <c r="E409" i="42"/>
  <c r="E408" i="42"/>
  <c r="E407" i="42"/>
  <c r="E406" i="42"/>
  <c r="E405" i="42"/>
  <c r="E404" i="42"/>
  <c r="E403" i="42"/>
  <c r="E402" i="42"/>
  <c r="E401" i="42"/>
  <c r="E400" i="42"/>
  <c r="E399" i="42"/>
  <c r="E398" i="42"/>
  <c r="E397" i="42"/>
  <c r="E396" i="42"/>
  <c r="E395" i="42"/>
  <c r="E394" i="42"/>
  <c r="E393" i="42"/>
  <c r="E392" i="42"/>
  <c r="E391" i="42"/>
  <c r="E390" i="42"/>
  <c r="E389" i="42"/>
  <c r="E388" i="42"/>
  <c r="E387" i="42"/>
  <c r="E386" i="42"/>
  <c r="E385" i="42"/>
  <c r="E384" i="42"/>
  <c r="E383" i="42"/>
  <c r="E382" i="42"/>
  <c r="E381" i="42"/>
  <c r="E380" i="42"/>
  <c r="E379" i="42"/>
  <c r="E378" i="42"/>
  <c r="E377" i="42"/>
  <c r="E376" i="42"/>
  <c r="E375" i="42"/>
  <c r="E374" i="42"/>
  <c r="E373" i="42"/>
  <c r="E372" i="42"/>
  <c r="E371" i="42"/>
  <c r="E370" i="42"/>
  <c r="E369" i="42"/>
  <c r="E368" i="42"/>
  <c r="E367" i="42"/>
  <c r="E366" i="42"/>
  <c r="E365" i="42"/>
  <c r="E364" i="42"/>
  <c r="E363" i="42"/>
  <c r="E362" i="42"/>
  <c r="E361" i="42"/>
  <c r="E360" i="42"/>
  <c r="E359" i="42"/>
  <c r="E358" i="42"/>
  <c r="E357" i="42"/>
  <c r="E356" i="42"/>
  <c r="E355" i="42"/>
  <c r="E354" i="42"/>
  <c r="E353" i="42"/>
  <c r="E352" i="42"/>
  <c r="E351" i="42"/>
  <c r="E350" i="42"/>
  <c r="E349" i="42"/>
  <c r="E348" i="42"/>
  <c r="E347" i="42"/>
  <c r="E346" i="42"/>
  <c r="E345" i="42"/>
  <c r="E344" i="42"/>
  <c r="E343" i="42"/>
  <c r="E342" i="42"/>
  <c r="E341" i="42"/>
  <c r="E340" i="42"/>
  <c r="E339" i="42"/>
  <c r="E338" i="42"/>
  <c r="E337" i="42"/>
  <c r="E336" i="42"/>
  <c r="E335" i="42"/>
  <c r="E334" i="42"/>
  <c r="E333" i="42"/>
  <c r="E332" i="42"/>
  <c r="E331" i="42"/>
  <c r="E330" i="42"/>
  <c r="E329" i="42"/>
  <c r="E328" i="42"/>
  <c r="E327" i="42"/>
  <c r="E326" i="42"/>
  <c r="E325" i="42"/>
  <c r="E324" i="42"/>
  <c r="E323" i="42"/>
  <c r="E322" i="42"/>
  <c r="E321" i="42"/>
  <c r="E320" i="42"/>
  <c r="E319" i="42"/>
  <c r="E318" i="42"/>
  <c r="E317" i="42"/>
  <c r="E316" i="42"/>
  <c r="E315" i="42"/>
  <c r="E314" i="42"/>
  <c r="E313" i="42"/>
  <c r="E312" i="42"/>
  <c r="E311" i="42"/>
  <c r="E310" i="42"/>
  <c r="E309" i="42"/>
  <c r="E308" i="42"/>
  <c r="E307" i="42"/>
  <c r="E306" i="42"/>
  <c r="E305" i="42"/>
  <c r="E304" i="42"/>
  <c r="E303" i="42"/>
  <c r="E302" i="42"/>
  <c r="E301" i="42"/>
  <c r="E300" i="42"/>
  <c r="E299" i="42"/>
  <c r="E298" i="42"/>
  <c r="E297" i="42"/>
  <c r="E296" i="42"/>
  <c r="E295" i="42"/>
  <c r="E294" i="42"/>
  <c r="E293" i="42"/>
  <c r="E292" i="42"/>
  <c r="E291" i="42"/>
  <c r="E290" i="42"/>
  <c r="E289" i="42"/>
  <c r="E288" i="42"/>
  <c r="E287" i="42"/>
  <c r="E286" i="42"/>
  <c r="E285" i="42"/>
  <c r="E284" i="42"/>
  <c r="E283" i="42"/>
  <c r="E282" i="42"/>
  <c r="E281" i="42"/>
  <c r="E280" i="42"/>
  <c r="E279" i="42"/>
  <c r="E278" i="42"/>
  <c r="E277" i="42"/>
  <c r="E276" i="42"/>
  <c r="E275" i="42"/>
  <c r="E274" i="42"/>
  <c r="E273" i="42"/>
  <c r="E272" i="42"/>
  <c r="E271" i="42"/>
  <c r="E270" i="42"/>
  <c r="E269" i="42"/>
  <c r="E268" i="42"/>
  <c r="E267" i="42"/>
  <c r="E266" i="42"/>
  <c r="E265" i="42"/>
  <c r="E264" i="42"/>
  <c r="E263" i="42"/>
  <c r="E262" i="42"/>
  <c r="E261" i="42"/>
  <c r="E260" i="42"/>
  <c r="E259" i="42"/>
  <c r="E258" i="42"/>
  <c r="E257" i="42"/>
  <c r="E256" i="42"/>
  <c r="E255" i="42"/>
  <c r="E254" i="42"/>
  <c r="E253" i="42"/>
  <c r="E252" i="42"/>
  <c r="E251" i="42"/>
  <c r="E250" i="42"/>
  <c r="E249" i="42"/>
  <c r="E248" i="42"/>
  <c r="E247" i="42"/>
  <c r="E246" i="42"/>
  <c r="E245" i="42"/>
  <c r="E244" i="42"/>
  <c r="E243" i="42"/>
  <c r="E242" i="42"/>
  <c r="E241" i="42"/>
  <c r="E240" i="42"/>
  <c r="E239" i="42"/>
  <c r="E238" i="42"/>
  <c r="E237" i="42"/>
  <c r="E236" i="42"/>
  <c r="E235" i="42"/>
  <c r="E234" i="42"/>
  <c r="E233" i="42"/>
  <c r="E232" i="42"/>
  <c r="E231" i="42"/>
  <c r="E230" i="42"/>
  <c r="E229" i="42"/>
  <c r="E228" i="42"/>
  <c r="E227" i="42"/>
  <c r="E226" i="42"/>
  <c r="E225" i="42"/>
  <c r="E224" i="42"/>
  <c r="E223" i="42"/>
  <c r="E222" i="42"/>
  <c r="E221" i="42"/>
  <c r="E220" i="42"/>
  <c r="E219" i="42"/>
  <c r="E218" i="42"/>
  <c r="E217" i="42"/>
  <c r="E216" i="42"/>
  <c r="E215" i="42"/>
  <c r="E214" i="42"/>
  <c r="E213" i="42"/>
  <c r="E212" i="42"/>
  <c r="E211" i="42"/>
  <c r="E210" i="42"/>
  <c r="E209" i="42"/>
  <c r="E208" i="42"/>
  <c r="E207" i="42"/>
  <c r="E206" i="42"/>
  <c r="E205" i="42"/>
  <c r="E204" i="42"/>
  <c r="E203" i="42"/>
  <c r="E202" i="42"/>
  <c r="E201" i="42"/>
  <c r="E200" i="42"/>
  <c r="E199" i="42"/>
  <c r="E198" i="42"/>
  <c r="E197" i="42"/>
  <c r="E196" i="42"/>
  <c r="E195" i="42"/>
  <c r="E194" i="42"/>
  <c r="E193" i="42"/>
  <c r="E192" i="42"/>
  <c r="E191" i="42"/>
  <c r="E190" i="42"/>
  <c r="E189" i="42"/>
  <c r="E188" i="42"/>
  <c r="E187" i="42"/>
  <c r="E186" i="42"/>
  <c r="E185" i="42"/>
  <c r="E184" i="42"/>
  <c r="E183" i="42"/>
  <c r="E182" i="42"/>
  <c r="E181" i="42"/>
  <c r="E180" i="42"/>
  <c r="E179" i="42"/>
  <c r="E178" i="42"/>
  <c r="E177" i="42"/>
  <c r="E176" i="42"/>
  <c r="E175" i="42"/>
  <c r="E174" i="42"/>
  <c r="E173" i="42"/>
  <c r="E172" i="42"/>
  <c r="E171" i="42"/>
  <c r="E170" i="42"/>
  <c r="E169" i="42"/>
  <c r="E168" i="42"/>
  <c r="E167" i="42"/>
  <c r="E166" i="42"/>
  <c r="E165" i="42"/>
  <c r="E164" i="42"/>
  <c r="E163" i="42"/>
  <c r="E162" i="42"/>
  <c r="E161" i="42"/>
  <c r="E160" i="42"/>
  <c r="E159" i="42"/>
  <c r="E158" i="42"/>
  <c r="E157" i="42"/>
  <c r="E156" i="42"/>
  <c r="E155" i="42"/>
  <c r="E154" i="42"/>
  <c r="E153" i="42"/>
  <c r="E152" i="42"/>
  <c r="E151" i="42"/>
  <c r="E150" i="42"/>
  <c r="E149" i="42"/>
  <c r="E148" i="42"/>
  <c r="E147" i="42"/>
  <c r="E146" i="42"/>
  <c r="E145" i="42"/>
  <c r="E144" i="42"/>
  <c r="E143" i="42"/>
  <c r="E142" i="42"/>
  <c r="E141" i="42"/>
  <c r="E140" i="42"/>
  <c r="E139" i="42"/>
  <c r="E138" i="42"/>
  <c r="E137" i="42"/>
  <c r="E136" i="42"/>
  <c r="E135" i="42"/>
  <c r="E134" i="42"/>
  <c r="E133" i="42"/>
  <c r="E132" i="42"/>
  <c r="E131" i="42"/>
  <c r="E130" i="42"/>
  <c r="E129" i="42"/>
  <c r="E128" i="42"/>
  <c r="E127" i="42"/>
  <c r="E126" i="42"/>
  <c r="E125" i="42"/>
  <c r="E124" i="42"/>
  <c r="E123" i="42"/>
  <c r="E122" i="42"/>
  <c r="E121" i="42"/>
  <c r="E120" i="42"/>
  <c r="E119" i="42"/>
  <c r="E118" i="42"/>
  <c r="E117" i="42"/>
  <c r="E116" i="42"/>
  <c r="E115" i="42"/>
  <c r="E114" i="42"/>
  <c r="E113" i="42"/>
  <c r="E112" i="42"/>
  <c r="E111" i="42"/>
  <c r="E110" i="42"/>
  <c r="E109" i="42"/>
  <c r="E108" i="42"/>
  <c r="E107"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2"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4" i="42"/>
  <c r="E13" i="42"/>
  <c r="E12" i="42"/>
  <c r="E11" i="42"/>
  <c r="E10" i="42"/>
  <c r="E9" i="42"/>
  <c r="E8" i="42"/>
  <c r="E7" i="42"/>
  <c r="F6" i="42"/>
  <c r="E6" i="42"/>
</calcChain>
</file>

<file path=xl/sharedStrings.xml><?xml version="1.0" encoding="utf-8"?>
<sst xmlns="http://schemas.openxmlformats.org/spreadsheetml/2006/main" count="4752" uniqueCount="3592">
  <si>
    <t>Acetaminofén</t>
  </si>
  <si>
    <t>Acetoacetato</t>
  </si>
  <si>
    <t>Acido ascórbico</t>
  </si>
  <si>
    <t>Acidos biliares</t>
  </si>
  <si>
    <t>Acido delta aminolevulínico</t>
  </si>
  <si>
    <t>Acido fólico</t>
  </si>
  <si>
    <t>Acidos grasos de cadena muy larga cuantificación</t>
  </si>
  <si>
    <t>Acido 5 Hidroxi indolacético (Serotonina)</t>
  </si>
  <si>
    <t>Acido homovanílico</t>
  </si>
  <si>
    <t>Acido láctico</t>
  </si>
  <si>
    <t>Acidos orgánicos, espectometría de masas</t>
  </si>
  <si>
    <t>Acidos orgánicos en orina(cromatografía de gas)</t>
  </si>
  <si>
    <t>Acido orótico</t>
  </si>
  <si>
    <t>Acido pirúvico</t>
  </si>
  <si>
    <t>Acido siálico</t>
  </si>
  <si>
    <t>Acido succínico</t>
  </si>
  <si>
    <t>Acido úrico</t>
  </si>
  <si>
    <t>Acido valpróico</t>
  </si>
  <si>
    <t>Acido vanil mandélico</t>
  </si>
  <si>
    <t>Addis,recuento de</t>
  </si>
  <si>
    <t>Adenosín de aminasa</t>
  </si>
  <si>
    <t>Adrenocorticotrópica hormona ACTH</t>
  </si>
  <si>
    <t>Aglutininas ( en caliente y en frío)</t>
  </si>
  <si>
    <t>Agregación plaquetaria (cada muestra)</t>
  </si>
  <si>
    <t>Agua, examen físico -químico</t>
  </si>
  <si>
    <t>Agua, examen microbiológico</t>
  </si>
  <si>
    <t>Albert coloración (Loeffler)</t>
  </si>
  <si>
    <t>Albúmina</t>
  </si>
  <si>
    <t>Albúmina ácida</t>
  </si>
  <si>
    <t>Alcaloides</t>
  </si>
  <si>
    <t>Alcohol etílico</t>
  </si>
  <si>
    <t>Alcohol metílico</t>
  </si>
  <si>
    <t>Aldolasa</t>
  </si>
  <si>
    <t>Aldosterona</t>
  </si>
  <si>
    <t>Alfa 1 antitripsina</t>
  </si>
  <si>
    <t>Alfa 1 glicoproteína</t>
  </si>
  <si>
    <t>Alfa 2 HS glicoproteína</t>
  </si>
  <si>
    <t>Alfa 2 macroglobulina</t>
  </si>
  <si>
    <t>Alfa fetoproteína</t>
  </si>
  <si>
    <t>Alfa iduronidasa</t>
  </si>
  <si>
    <t>Alucinógenos (LSD)</t>
  </si>
  <si>
    <t>Amikacina</t>
  </si>
  <si>
    <t>Amilasa</t>
  </si>
  <si>
    <t>Aminoácidos en orina, por cromatografía</t>
  </si>
  <si>
    <t>Aminoácidos en orina prueba cualitativa, cada uno</t>
  </si>
  <si>
    <t>Aminoácidos en sangre, por cromatografía</t>
  </si>
  <si>
    <t>Aminoacidograma</t>
  </si>
  <si>
    <t>Aminotransferasas</t>
  </si>
  <si>
    <t>Amitriptilina (Triptanol)</t>
  </si>
  <si>
    <t>Amonio</t>
  </si>
  <si>
    <t>Androstenediona</t>
  </si>
  <si>
    <t>Androsterona</t>
  </si>
  <si>
    <t>Anfetaminas</t>
  </si>
  <si>
    <t>Antibiograma</t>
  </si>
  <si>
    <t>Anticoagulantes circulantes</t>
  </si>
  <si>
    <t>Anticoagulante lúpico</t>
  </si>
  <si>
    <t>Anticuerpos anti-acetilcolina</t>
  </si>
  <si>
    <t>Anticuerpos anti-cardiolipina</t>
  </si>
  <si>
    <t>Anticuerpos anti-células parietales</t>
  </si>
  <si>
    <t>Anticuerpos anti-centrómero</t>
  </si>
  <si>
    <t>Anticuerpos anti-citoplasmáticos</t>
  </si>
  <si>
    <t>Anticuerpos anti-DNA</t>
  </si>
  <si>
    <t>Anti-nDNA</t>
  </si>
  <si>
    <t>Anticuerpos anti Baar  Epstein</t>
  </si>
  <si>
    <t>Anticuerpos anti-espermatozoides</t>
  </si>
  <si>
    <t>Anticuerpos anti-fosfolípidos</t>
  </si>
  <si>
    <t>Anticuerpos anti-insulina</t>
  </si>
  <si>
    <t>Anticuerpos anti-islotes</t>
  </si>
  <si>
    <t>Anticuerpos anti-mitocondria</t>
  </si>
  <si>
    <t>Anticuerpos anti-músculo liso</t>
  </si>
  <si>
    <t>Anticuerpos anti-nucleares</t>
  </si>
  <si>
    <t>Anticuerpos anti-nucleares extractables totales(ENA)</t>
  </si>
  <si>
    <t>Anticuerpos anti-plaquetas</t>
  </si>
  <si>
    <t>Anticuerpos anti-PM1</t>
  </si>
  <si>
    <t>Anticuerpos anti-PM2</t>
  </si>
  <si>
    <t>Anticuerpos anti-PM/SCL</t>
  </si>
  <si>
    <t>Anticuerpos anti-RNP y SM o RO y LA</t>
  </si>
  <si>
    <t>Anticuerpos anti-SCL 70</t>
  </si>
  <si>
    <t>Anticuerpos anti-SSA</t>
  </si>
  <si>
    <t>Anticuerpos anti-SSB</t>
  </si>
  <si>
    <t>Anticuerpos anti-tiroideos coloidales</t>
  </si>
  <si>
    <t>Anticuerpos anti-tiroideos microsomales</t>
  </si>
  <si>
    <t>Anticuerpos anti-tiroideos tiroglobulínicos</t>
  </si>
  <si>
    <t>Anticuerpos citotóxicos</t>
  </si>
  <si>
    <t>Anticuerpos heterófilos específicos o absorbidos</t>
  </si>
  <si>
    <t>Anticuerpos heterófilos totales</t>
  </si>
  <si>
    <t>Antiestreptolisinas O, prueba cualitativa</t>
  </si>
  <si>
    <t>Antiestreptolisinas O, prueba cuantitativa</t>
  </si>
  <si>
    <t>Antígeno 15-3 para cáncer de mama</t>
  </si>
  <si>
    <t>Antígeno 19-9 para cáncer de tubo digestivo</t>
  </si>
  <si>
    <t>Antígeno 125 para cáncer de ovario</t>
  </si>
  <si>
    <t>Antigenosbacterianos en LCR,orina o sangre (prueba de látex polivalente para meningitis)</t>
  </si>
  <si>
    <t>Antígeno carcinoembrionario</t>
  </si>
  <si>
    <t>Antígeno específico para cáncer de próstata</t>
  </si>
  <si>
    <t>Antígenos microbianos</t>
  </si>
  <si>
    <t>Antitrombina III</t>
  </si>
  <si>
    <t>Apolipoproteínas A y B</t>
  </si>
  <si>
    <t>Arbovirus (FA, EEV, Dengue) prueba presuntiva (IHA)</t>
  </si>
  <si>
    <t>Arbovirus (FA, EEV, Dengue) prueba confirmatoria( neutralización)</t>
  </si>
  <si>
    <t>Arilsulfatasa A, en leucocitos</t>
  </si>
  <si>
    <t>Arilsulfatasa A, en suero</t>
  </si>
  <si>
    <t>Arilsulfatasa B, en leucocitos</t>
  </si>
  <si>
    <t>Arsénico</t>
  </si>
  <si>
    <t>Aspartilcilasa, en leucocitos</t>
  </si>
  <si>
    <t>Asparragina</t>
  </si>
  <si>
    <t>Azúcares por cromatografía</t>
  </si>
  <si>
    <t>Azúcares reductores</t>
  </si>
  <si>
    <t>B galactocidasa, en leucocitos</t>
  </si>
  <si>
    <t>B glucocidasa, en leucocitos</t>
  </si>
  <si>
    <t>BH4</t>
  </si>
  <si>
    <t>Baciloscopia</t>
  </si>
  <si>
    <t>Bandas oligoclonales, en suero y LCR</t>
  </si>
  <si>
    <t>Barbitúricos</t>
  </si>
  <si>
    <t>Benzodiazepinas</t>
  </si>
  <si>
    <t>Beta 2 macroglobulina</t>
  </si>
  <si>
    <t>Beta 2 microglobulina</t>
  </si>
  <si>
    <t>BetaHCG cuantitativa</t>
  </si>
  <si>
    <t>Betahidroxibutirato</t>
  </si>
  <si>
    <t>Bilirrubina directa</t>
  </si>
  <si>
    <t>Bilirrubina total</t>
  </si>
  <si>
    <t>Biotinidasa, en suero</t>
  </si>
  <si>
    <t>Cadmio</t>
  </si>
  <si>
    <t>Cafeína</t>
  </si>
  <si>
    <t>Calcio colorimétrico</t>
  </si>
  <si>
    <t>Calcitonina</t>
  </si>
  <si>
    <t>Calculo biliar, físico-químico</t>
  </si>
  <si>
    <t>Calculo renal, físico-químico</t>
  </si>
  <si>
    <t>Campo oscuro (cualquier muestra)</t>
  </si>
  <si>
    <t>Canabinoides</t>
  </si>
  <si>
    <t>Carbamazepina</t>
  </si>
  <si>
    <t>Carbohidratos, determinación( Benedict, Selliwanoff, glucosa oxidasa), cada uno</t>
  </si>
  <si>
    <t>Carbono monóxido</t>
  </si>
  <si>
    <t>Carotenos</t>
  </si>
  <si>
    <t>Catecolaminas diferenciada</t>
  </si>
  <si>
    <t>Ceruloplasmina</t>
  </si>
  <si>
    <t>Cetonas</t>
  </si>
  <si>
    <t>Cianuros</t>
  </si>
  <si>
    <t>Ciclosporina</t>
  </si>
  <si>
    <t>Cisticercosis determinación de Ac</t>
  </si>
  <si>
    <t>Citomegalovirus anticuerpos G</t>
  </si>
  <si>
    <t>Citomegalovirus anticuerpos M</t>
  </si>
  <si>
    <t>Clamidia tracomatis antígeno</t>
  </si>
  <si>
    <t>Clasificación inmunológica de leucemia</t>
  </si>
  <si>
    <t>Clasificación inmunológica de linfoma</t>
  </si>
  <si>
    <t>Clonazepán</t>
  </si>
  <si>
    <t>Clorpromacina</t>
  </si>
  <si>
    <t>Cloruro</t>
  </si>
  <si>
    <t>Clorurode cetil piritinium</t>
  </si>
  <si>
    <t>Cloruro férrico</t>
  </si>
  <si>
    <t>Coagulación, tiempo de</t>
  </si>
  <si>
    <t>Coagulación, tiempo de retracción</t>
  </si>
  <si>
    <t>Cobre</t>
  </si>
  <si>
    <t>Cocaína (metabolito)</t>
  </si>
  <si>
    <t>Coccidiomicosis, determinación de Ac</t>
  </si>
  <si>
    <t>Colesterol HDL</t>
  </si>
  <si>
    <t>Colesterol LDL</t>
  </si>
  <si>
    <t>Colesterol Total</t>
  </si>
  <si>
    <t>Colinesterasa, en glóbulos rojos</t>
  </si>
  <si>
    <t>Colinesterasa, en sangre total</t>
  </si>
  <si>
    <t>Colinesterasa, sérica</t>
  </si>
  <si>
    <t>Coloraciones especiales</t>
  </si>
  <si>
    <t>Coloraciones inmuno-cito e Histoquímicas (peroxidasa, Otras)</t>
  </si>
  <si>
    <t>Coloración para Baar (Zielh-Nielsen)</t>
  </si>
  <si>
    <t>Complemento C3 o C4 cuantitativo</t>
  </si>
  <si>
    <t>Complemento C3 o C4 semicuantitativo</t>
  </si>
  <si>
    <t>Complemento hemolítico CH50</t>
  </si>
  <si>
    <t>Coombs directo</t>
  </si>
  <si>
    <t>Coombs indirecto, prueba cualitativa</t>
  </si>
  <si>
    <t>Coombsin directo, prueba cuantitativa</t>
  </si>
  <si>
    <t>Coprocultivo</t>
  </si>
  <si>
    <t>Coprológico</t>
  </si>
  <si>
    <t>Coprológico, por concentración</t>
  </si>
  <si>
    <t>Coproporfirinas</t>
  </si>
  <si>
    <t>Coproscópico (incluye:ph, sangre azucares reductores y parásitos)</t>
  </si>
  <si>
    <t>Corticosteroides 17 hidroxi</t>
  </si>
  <si>
    <t>Cortisol</t>
  </si>
  <si>
    <t>Cortisol, prueba de estimulación</t>
  </si>
  <si>
    <t>Creatina</t>
  </si>
  <si>
    <t>Creatincinasa CK</t>
  </si>
  <si>
    <t>Creatincinasa con separación de isoenzimas</t>
  </si>
  <si>
    <t>Creatincinasa fracción MB</t>
  </si>
  <si>
    <t>Creatinina, depuración</t>
  </si>
  <si>
    <t>Creatinina en suero, orina y otros</t>
  </si>
  <si>
    <t>Crecimiento hormona, con estímulo de clonidina post-ejercicio</t>
  </si>
  <si>
    <t>Crecimiento hormona somatotrópica</t>
  </si>
  <si>
    <t>Crioglobulina</t>
  </si>
  <si>
    <t>Crio hemolisinas</t>
  </si>
  <si>
    <t>Criptococcus neoformans, Búsqueda de antígeno por látex</t>
  </si>
  <si>
    <t>Criptococcus neoformans, cultivo,</t>
  </si>
  <si>
    <t>Criptococcus neoformans, examen directo por tinta china</t>
  </si>
  <si>
    <t>Criptosporidiasis (coloración Z-N modificada)</t>
  </si>
  <si>
    <t>Cuadro hemático o hemograma hematocrito y leucograma</t>
  </si>
  <si>
    <t>Cuerpos de Heinz</t>
  </si>
  <si>
    <t>Cultivo para anaerobios</t>
  </si>
  <si>
    <t>Cultivo para hongos</t>
  </si>
  <si>
    <t>Cultivo para mycobacterium</t>
  </si>
  <si>
    <t>Cultivo para mycoplasma</t>
  </si>
  <si>
    <t>Cultivo para virus</t>
  </si>
  <si>
    <t>Cultivo y antibiograma para microorganismos</t>
  </si>
  <si>
    <t>Cultivos especiales para microorganismos</t>
  </si>
  <si>
    <t>Curva de agregación plaquetaria</t>
  </si>
  <si>
    <t>Curva de tolerancia a la fenilalaninapos estímulo con BH-4</t>
  </si>
  <si>
    <t>Curva de tolerancia a la galactosa</t>
  </si>
  <si>
    <t>Curva de toleracia a la glucosa (5  muestras)</t>
  </si>
  <si>
    <t>Dehidroepinandrosterona</t>
  </si>
  <si>
    <t>Dehidroepinandrosterona sulfato</t>
  </si>
  <si>
    <t>Deshidrogenasa hidroxibutirica HBDH</t>
  </si>
  <si>
    <t>Deshidrogenasa láctica LDH</t>
  </si>
  <si>
    <t>Deshidrogenasa láctica con separación de isoenzimas</t>
  </si>
  <si>
    <t>Desipramina</t>
  </si>
  <si>
    <t>Digitoxina</t>
  </si>
  <si>
    <t>Digoxina</t>
  </si>
  <si>
    <t>Dinitrofenil Hidracina</t>
  </si>
  <si>
    <t>Disopiramida</t>
  </si>
  <si>
    <t>Drepanocitos</t>
  </si>
  <si>
    <t>Dxilosa</t>
  </si>
  <si>
    <t>Ecoli, identificación serológica</t>
  </si>
  <si>
    <t>Echinocoquiasis, determinación de Ac</t>
  </si>
  <si>
    <t>Elastasa</t>
  </si>
  <si>
    <t>Embarazo, prueba cualitativa por (RIA, ELISA o en placa monoclonal)</t>
  </si>
  <si>
    <t>Embarazo, prueba en placa (látex, policlonal)</t>
  </si>
  <si>
    <t>Entamoeba histolítica, determinación de Ac</t>
  </si>
  <si>
    <t>Enterovirus, determinación de Ac</t>
  </si>
  <si>
    <t>Enzimas en suero-cuantificación</t>
  </si>
  <si>
    <t>Enzimas enfermedades de substancia blanca, c/u</t>
  </si>
  <si>
    <t>Enzimas enfermedades de substancia gris, c/u</t>
  </si>
  <si>
    <t>Enzimas glicolíticas, c/u</t>
  </si>
  <si>
    <t>Enzimas lisosomales, medicion</t>
  </si>
  <si>
    <t>Enzimas metabolismo del glicógeno</t>
  </si>
  <si>
    <t>Enzimas mitocondriales</t>
  </si>
  <si>
    <t>Eosinófilos, recuento (cualquier muestra)</t>
  </si>
  <si>
    <t>Epinandrosterona</t>
  </si>
  <si>
    <t>Escopolamina</t>
  </si>
  <si>
    <t>Espermograma básico incluye: morfología recuento)</t>
  </si>
  <si>
    <t>Espermograma con bioquímica (incluye: ácido cítrico, fructuosa, gliceril-osforil-colina)</t>
  </si>
  <si>
    <t>Esterasa isoenzimas</t>
  </si>
  <si>
    <t>Esterasa pancreática</t>
  </si>
  <si>
    <t>Esteroides 17 Cetos</t>
  </si>
  <si>
    <t>Estradiol</t>
  </si>
  <si>
    <t>Estreptomicina</t>
  </si>
  <si>
    <t>Estricnina</t>
  </si>
  <si>
    <t>Estriol</t>
  </si>
  <si>
    <t>Estrógenos</t>
  </si>
  <si>
    <t>Etosuximida</t>
  </si>
  <si>
    <t>FSH y LH post-gonarelina</t>
  </si>
  <si>
    <t>Factor plaquetario  III (CELITE)</t>
  </si>
  <si>
    <t>Factor RA, prueba cuantitativa de alta precisión</t>
  </si>
  <si>
    <t>Factor RA, prueba semicuantitativa</t>
  </si>
  <si>
    <t>Factor Rh anti D o factor D</t>
  </si>
  <si>
    <t>Factor Rh (C, c, E, e)</t>
  </si>
  <si>
    <t>Factor V Labil</t>
  </si>
  <si>
    <t>Factor VII</t>
  </si>
  <si>
    <t>Factor VIII</t>
  </si>
  <si>
    <t>Factor IX</t>
  </si>
  <si>
    <t>Factor X</t>
  </si>
  <si>
    <t>Factor XI</t>
  </si>
  <si>
    <t>Factor XII</t>
  </si>
  <si>
    <t>Factor XIII</t>
  </si>
  <si>
    <t>Factor Von Willebrand</t>
  </si>
  <si>
    <t>Factores A1- A2-H y otros ligados a los grupos sanguíneos</t>
  </si>
  <si>
    <t>Fagocitosis, estudio de capacidad fagocitaria de leucocitos</t>
  </si>
  <si>
    <t>Fenciclidina</t>
  </si>
  <si>
    <t>Fenilalanina</t>
  </si>
  <si>
    <t>Fenilalanina en sangre, prueba de inhibición microbiológica (Test de Guthrie)</t>
  </si>
  <si>
    <t>Fenil cetonuria</t>
  </si>
  <si>
    <t>Fenitoina (epamín, cumatil, hidanil difenilhidantoina)</t>
  </si>
  <si>
    <t>Fenobarbital</t>
  </si>
  <si>
    <t>Fenotiacinas</t>
  </si>
  <si>
    <t>Ferritina</t>
  </si>
  <si>
    <t>Fibrina</t>
  </si>
  <si>
    <t>Fibrinógeno</t>
  </si>
  <si>
    <t>Fibrinógeno, productos de degradación</t>
  </si>
  <si>
    <t>Fibrinolisis</t>
  </si>
  <si>
    <t>Fibroblastos, cultivo</t>
  </si>
  <si>
    <t>Fibroplastos, medición enzimática en cultivo de</t>
  </si>
  <si>
    <t>Folatos</t>
  </si>
  <si>
    <t>Folículo estimulante FSH</t>
  </si>
  <si>
    <t>Fosfatasa ácida</t>
  </si>
  <si>
    <t>Fosfatasa ácida determinación en leucocitos</t>
  </si>
  <si>
    <t>Fosfatasa ácida prostática que detecte estado</t>
  </si>
  <si>
    <t>Fosfatasa alcalina</t>
  </si>
  <si>
    <t>Fosfatasa alcalina, determinación en leucocitos</t>
  </si>
  <si>
    <t>Fosfatasa alcalina isoenzimas</t>
  </si>
  <si>
    <t>Fosfatidil glicerol</t>
  </si>
  <si>
    <t>Fosfatidil inositol</t>
  </si>
  <si>
    <t>Fosfofructocinasa</t>
  </si>
  <si>
    <t>Fosforilasa</t>
  </si>
  <si>
    <t>Fósforo colorimétrico</t>
  </si>
  <si>
    <t>Fragilidad capilar</t>
  </si>
  <si>
    <t>Fragilidad osmótica (resistencia globular)</t>
  </si>
  <si>
    <t>Frotis rectal, identificación de trofozoitos</t>
  </si>
  <si>
    <t>Fructosamina</t>
  </si>
  <si>
    <t>Galactosa</t>
  </si>
  <si>
    <t>Galactosa uridil transferasa</t>
  </si>
  <si>
    <t>Gamaglutamil transferasa GGT</t>
  </si>
  <si>
    <t>Gangliosidos en orina, por cromatografía</t>
  </si>
  <si>
    <t>Gases arteriales</t>
  </si>
  <si>
    <t>Gastrina</t>
  </si>
  <si>
    <t>Gentamicina</t>
  </si>
  <si>
    <t>Glicina</t>
  </si>
  <si>
    <t>Globulina trasportadora de T3, TBG</t>
  </si>
  <si>
    <t>Glucogeno, curva de estimulación con glucagón, midiendo glucosa y ácido láctico</t>
  </si>
  <si>
    <t>Glucosa (en suero, LCR, otros fluidos)</t>
  </si>
  <si>
    <t>Glucosa  6.  fofatasa</t>
  </si>
  <si>
    <t>Glucosa  6.  fosfato deshidrogenasa</t>
  </si>
  <si>
    <t>Glucosa pre y post carga o test de O'sullivan</t>
  </si>
  <si>
    <t>Glucosuria y cetonuria</t>
  </si>
  <si>
    <t>Gram, tinción y lectura (cualquier muestra)</t>
  </si>
  <si>
    <t>Grasas neutras en MF</t>
  </si>
  <si>
    <t>Ham, prueba</t>
  </si>
  <si>
    <t>Haptoglobina</t>
  </si>
  <si>
    <t>Hematocrito</t>
  </si>
  <si>
    <t>Hemoclasificación (grupo sanguíneo y factor RH)</t>
  </si>
  <si>
    <t>Hemoclasificación, prueba globular</t>
  </si>
  <si>
    <t>Hemoclasificación, prueba sérica</t>
  </si>
  <si>
    <t>Hemocultivo</t>
  </si>
  <si>
    <t>Hemoglobina A2  por cromatografía de columna</t>
  </si>
  <si>
    <t>Hemoglobina, alquilación de</t>
  </si>
  <si>
    <t>Hemoglobina, concentración de</t>
  </si>
  <si>
    <t>Hemoglobina fetal</t>
  </si>
  <si>
    <t>Hemoglobina, fracciones por electroforesis</t>
  </si>
  <si>
    <t>Hemoglobina glicosilada</t>
  </si>
  <si>
    <t>Hemoglobina libre en plasma</t>
  </si>
  <si>
    <t>Hemoglobina materna y fetal (APT)</t>
  </si>
  <si>
    <t>Hemoglobina materna y fetal (Kli Haner)</t>
  </si>
  <si>
    <t>Hemoglobinuria</t>
  </si>
  <si>
    <t>Hemolisinas</t>
  </si>
  <si>
    <t>Hemoparasitos (frotis, gota gruesa)</t>
  </si>
  <si>
    <t>Hemosiderina</t>
  </si>
  <si>
    <t>Heparina, dosificación de</t>
  </si>
  <si>
    <t>Hepatitis A, anticuerpo G</t>
  </si>
  <si>
    <t>Hepatitis A, anticuerpo M</t>
  </si>
  <si>
    <t>Hepatitis B, anticuerpo anti central G</t>
  </si>
  <si>
    <t>Hepatitis B, anticuerpo anti central M</t>
  </si>
  <si>
    <t>Hepatitis B, anticuerpo anti E</t>
  </si>
  <si>
    <t>Hepatitis B, anticuerpo anti superficial</t>
  </si>
  <si>
    <t>Heridas: microscópico, cultivo y AB, gérmenes comunes</t>
  </si>
  <si>
    <t>Heridas: microscópico, cultivo y AB, anaerobios</t>
  </si>
  <si>
    <t>Hepatitis B, antígeno de superficie</t>
  </si>
  <si>
    <t>Hepatitis B, antígeno E</t>
  </si>
  <si>
    <t>Hepatitis B, anti DNA polimerasa</t>
  </si>
  <si>
    <t>Hepatitis Delta anticuerpo</t>
  </si>
  <si>
    <t>Hepatitis Delta, antígeno</t>
  </si>
  <si>
    <t>Hepatitis C, anticuerpo G</t>
  </si>
  <si>
    <t>Herpes I, anticuerpo G</t>
  </si>
  <si>
    <t>Herpes II, anticuerpo G</t>
  </si>
  <si>
    <t>Herpes, anticuerpo M</t>
  </si>
  <si>
    <t>Herpes, antígeno</t>
  </si>
  <si>
    <t>Hexosaminidasa A y B en leucocitos</t>
  </si>
  <si>
    <t>Hexosaminidasa A y B en suero</t>
  </si>
  <si>
    <t>Hidrocarburos</t>
  </si>
  <si>
    <t>Hierro sérico, capacidad de fijación y combinación</t>
  </si>
  <si>
    <t>Histocompatibilidad, estudio completo (HLA, A BC DR, etc) y prueba cruzada</t>
  </si>
  <si>
    <t>Histocompatibilidad, estudio parcial (HLA,AB)</t>
  </si>
  <si>
    <t>Histocompatibilidad, estudio parcial (HLA, B27, B8, B5 etc ) cada uno</t>
  </si>
  <si>
    <t>Histoplasma capsulatum, identificación serológica</t>
  </si>
  <si>
    <t>Hongos, alucinógenos</t>
  </si>
  <si>
    <t>Hongos, examen directo (KOH)</t>
  </si>
  <si>
    <t>Hongos, identificación serológica</t>
  </si>
  <si>
    <t>HPRT, en eritrocitos</t>
  </si>
  <si>
    <t>HPRT, en raíces de cabello</t>
  </si>
  <si>
    <t>HTLV I, anticuerpos presuntivos</t>
  </si>
  <si>
    <t>HTLV I, prueba confirmatoria</t>
  </si>
  <si>
    <t>Identificación de anticuerpos irregulares</t>
  </si>
  <si>
    <t>Imipramina</t>
  </si>
  <si>
    <t>Inhibidor de C 1  esterasa</t>
  </si>
  <si>
    <t>Inmunoelectroforesis</t>
  </si>
  <si>
    <t>Imunoglobulina IgA IgG IgM, (dosificación de alta precisión) c/u</t>
  </si>
  <si>
    <t>Inmunoglobulina IgA IgG IgM, (semicuantitativa) c/u</t>
  </si>
  <si>
    <t>Inmunoglobulina IgE específica, dosificación (cada alergeno)</t>
  </si>
  <si>
    <t>Inmunoglobulina IgE total, dosificación</t>
  </si>
  <si>
    <t>Insulina, cada muestra</t>
  </si>
  <si>
    <t>Intradermorreacción para comprobar inmunidad contra bacterias, hongos, parásitos o virus</t>
  </si>
  <si>
    <t>Iontoforesis</t>
  </si>
  <si>
    <t>Isoaglutininas</t>
  </si>
  <si>
    <t>Isocitrato deshidrogenasa ICDH</t>
  </si>
  <si>
    <t>Isoleucoaglutininas</t>
  </si>
  <si>
    <t>Kanamicina</t>
  </si>
  <si>
    <t>Lactato</t>
  </si>
  <si>
    <t>Lactoferrina</t>
  </si>
  <si>
    <t>Lactógeno placentario</t>
  </si>
  <si>
    <t>LCarnitinina</t>
  </si>
  <si>
    <t>Lecitina   esfingomielina, índice</t>
  </si>
  <si>
    <t>Legionella, anticuerpo</t>
  </si>
  <si>
    <t>Legionella, antígeno</t>
  </si>
  <si>
    <t>Leishmaniasis, determinación Ac</t>
  </si>
  <si>
    <t>Leptospira, identificación serológica</t>
  </si>
  <si>
    <t>Leucina arilamidasa LAP</t>
  </si>
  <si>
    <t>Leucocitos, recuento diferencial</t>
  </si>
  <si>
    <t>Leucocitos, recuento total</t>
  </si>
  <si>
    <t>Leucograma, recuento total y diferencial de leucocitos</t>
  </si>
  <si>
    <t>Lesh Nyhan en leucocitos</t>
  </si>
  <si>
    <t>Lesh Nyhan en raíz de cabello</t>
  </si>
  <si>
    <t>Lidocaina</t>
  </si>
  <si>
    <t>Linfocitos B, cuantificación</t>
  </si>
  <si>
    <t>Linfocitos CD4  (ayudadores)</t>
  </si>
  <si>
    <t>Linfocitos CD8</t>
  </si>
  <si>
    <t>Linfocitos CD11</t>
  </si>
  <si>
    <t>Linfocitos, cultivo mixto</t>
  </si>
  <si>
    <t>Linfocitos, número absoluto</t>
  </si>
  <si>
    <t>Linfocitos T, cuantificación</t>
  </si>
  <si>
    <t>Lipasa</t>
  </si>
  <si>
    <t>Lipoproteinas   electroforesis</t>
  </si>
  <si>
    <t>Líquido amniótico, citoquímico (celulas  anaranjadas, test de Clemens y creatinina)</t>
  </si>
  <si>
    <t>Líquido amniótico, curva espectral</t>
  </si>
  <si>
    <t>Líquido ascítico, eáamen citoquímico</t>
  </si>
  <si>
    <t>Líquido cefalorraquídeo, examen físico y  citoquímico (incluye: glucosa, proteinas,  cloruros)</t>
  </si>
  <si>
    <t>Líquido pericárdico, examen físico y citoquímico (incluye: densidad y proteínas)</t>
  </si>
  <si>
    <t>Líquido peritoneal, examen físico y  citoquímico (incluye: proteínas y tinción  Gram</t>
  </si>
  <si>
    <t>Líquido pleural, examen físico y  citoquímico (incluye: glucosa y LDH)</t>
  </si>
  <si>
    <t>Líquido prostático, examen microscópico</t>
  </si>
  <si>
    <t>Líquido sinovíal, examen físico y citoquímico incluye: glucosa y test de mucina)</t>
  </si>
  <si>
    <t>Lisina, en plasma o en orina</t>
  </si>
  <si>
    <t>Listeria, identificación serológica</t>
  </si>
  <si>
    <t>Litio por fotometría de llama</t>
  </si>
  <si>
    <t>Lorazepán</t>
  </si>
  <si>
    <t>Luteinizante hormona LH</t>
  </si>
  <si>
    <t>Magnesio colorimétrico</t>
  </si>
  <si>
    <t>Maltasa ácida</t>
  </si>
  <si>
    <t>Marcadores tumorales cada uno</t>
  </si>
  <si>
    <t>Meperidina</t>
  </si>
  <si>
    <t>Mercurio en cabello</t>
  </si>
  <si>
    <t>Mercurio en orina</t>
  </si>
  <si>
    <t>Mercurio en sangre</t>
  </si>
  <si>
    <t>Mercurio en uñas</t>
  </si>
  <si>
    <t>Metacualona</t>
  </si>
  <si>
    <t>Metadona</t>
  </si>
  <si>
    <t>Metaepinefrina</t>
  </si>
  <si>
    <t>Metahemoglobina</t>
  </si>
  <si>
    <t>Metales, por absorción atómica, cada uno</t>
  </si>
  <si>
    <t>Metotrexate</t>
  </si>
  <si>
    <t>Microalbuminuria</t>
  </si>
  <si>
    <t>Mielocultivo, con toma de muestra</t>
  </si>
  <si>
    <t>Mielocultivo, sin toma de muestra</t>
  </si>
  <si>
    <t>Mioglobina</t>
  </si>
  <si>
    <t>Moco cervical, análisis (Sims Huhner)</t>
  </si>
  <si>
    <t>Mono y disacaridos, cromatografía</t>
  </si>
  <si>
    <t>Mono test (prueba de látex para mononucleosis infecciosa</t>
  </si>
  <si>
    <t>Morfología globular (serie roja)</t>
  </si>
  <si>
    <t>Mucopolisacáridos, por cromatografía</t>
  </si>
  <si>
    <t>Mucopolisacáridos, por electroforesis</t>
  </si>
  <si>
    <t>Mycobacterium, identificación</t>
  </si>
  <si>
    <t>Mycobacterium, pruebas de sensibilidad</t>
  </si>
  <si>
    <t>Mycoplasma neumonie, determinación de Ac</t>
  </si>
  <si>
    <t>N  Acetil procainamida</t>
  </si>
  <si>
    <t>Neisseria gonorrea, cultivo de Thayer Martin</t>
  </si>
  <si>
    <t>Neisseria gonorrea, determinación de antígenos</t>
  </si>
  <si>
    <t>Netilmicina</t>
  </si>
  <si>
    <t>Nitrógeno uréico</t>
  </si>
  <si>
    <t>Nitroprusiato</t>
  </si>
  <si>
    <t>Nitrosonaftol</t>
  </si>
  <si>
    <t>Nortriptilina</t>
  </si>
  <si>
    <t>Oligosacáridos, en orina</t>
  </si>
  <si>
    <t>Opiáceos</t>
  </si>
  <si>
    <t>Organoclorados</t>
  </si>
  <si>
    <t>Organofosforados</t>
  </si>
  <si>
    <t>Osmolaridad</t>
  </si>
  <si>
    <t>Oxiuros, frotis</t>
  </si>
  <si>
    <t>Parainfluenza, determinación de Ac</t>
  </si>
  <si>
    <t>Paranitrofenol</t>
  </si>
  <si>
    <t>Paraquat</t>
  </si>
  <si>
    <t>Parásitos en bilis, jugo duodenal, expectoraciones u otras secreciones</t>
  </si>
  <si>
    <t>Paratohormona PTH</t>
  </si>
  <si>
    <t>Parcial de orina, incluído sedimento</t>
  </si>
  <si>
    <t>Pass, tinción y lectura</t>
  </si>
  <si>
    <t>Piruvatocinasa</t>
  </si>
  <si>
    <t>Piruvato deshidrogenasa</t>
  </si>
  <si>
    <t>Plaquetas, recuento</t>
  </si>
  <si>
    <t>Plasminógeno</t>
  </si>
  <si>
    <t>Plomo, en sangre o en orina, cada uno</t>
  </si>
  <si>
    <t>Pneumococcus, identificación serológica</t>
  </si>
  <si>
    <t>Porfirinas</t>
  </si>
  <si>
    <t>Porfobilinogeno</t>
  </si>
  <si>
    <t>Potasio</t>
  </si>
  <si>
    <t>Primidona</t>
  </si>
  <si>
    <t>Procainamida</t>
  </si>
  <si>
    <t>Progesterona</t>
  </si>
  <si>
    <t>Progesterona  17  hidroxi</t>
  </si>
  <si>
    <t>Prolactina</t>
  </si>
  <si>
    <t>Prolactina, prueba de estimulación</t>
  </si>
  <si>
    <t>Propoxifeno</t>
  </si>
  <si>
    <t>Protamina</t>
  </si>
  <si>
    <t>Proteína C reactiva PCR, prueba cuantitativa de alta precisión</t>
  </si>
  <si>
    <t>Proteína C reactiva PCR, prueba semicuantitativa</t>
  </si>
  <si>
    <t>Proteína de Bence Jones</t>
  </si>
  <si>
    <t>Proteínas fraccionadas albúmina/globulina</t>
  </si>
  <si>
    <t>Proteínas por electroforesis</t>
  </si>
  <si>
    <t>Proteínas totales, en suero y otros fluídos</t>
  </si>
  <si>
    <t>Proteínas transportadora de testosterona PTHS</t>
  </si>
  <si>
    <t>Proteinuria en  24  horas</t>
  </si>
  <si>
    <t>Protoporfirina zinc eritrocitica Z PP</t>
  </si>
  <si>
    <t>Protrombina, consumo</t>
  </si>
  <si>
    <t>Protrombina, tiempo PT</t>
  </si>
  <si>
    <t>Prueba de compatibilidad, cruzada mayor incluye: hemoclasificación de donante receptor</t>
  </si>
  <si>
    <t>Prueba de compatibilidad, cruzada menor; incluye: hemoclasificación de donante y receptor</t>
  </si>
  <si>
    <t>Prueba rápida para streptococcus beta hemolítico</t>
  </si>
  <si>
    <t>Pseudocolinesterasa</t>
  </si>
  <si>
    <t>Pterinas, determinación</t>
  </si>
  <si>
    <t>Quinidina</t>
  </si>
  <si>
    <t>Rabia, examen para antígenos (AF), inoculación en ratón o serología</t>
  </si>
  <si>
    <t>Rastreo de anticuerpos irregulares</t>
  </si>
  <si>
    <t>Reacción de Montenegro</t>
  </si>
  <si>
    <t>Reclacificación del plasma</t>
  </si>
  <si>
    <t>Receptores estrogénicos, dosificación en tejidos</t>
  </si>
  <si>
    <t>Receptores estrogénicos, inmunocitoquímicos</t>
  </si>
  <si>
    <t>Recuento de colonias, cualquier muestra</t>
  </si>
  <si>
    <t>Recuento de Hamburger</t>
  </si>
  <si>
    <t>Renina</t>
  </si>
  <si>
    <t>Reticulocitos, recuento</t>
  </si>
  <si>
    <t>Rotavirus, determinación de antígeno (látex)</t>
  </si>
  <si>
    <t>Rubeóla, anticuerpo G</t>
  </si>
  <si>
    <t>Rubeóla, anticuerpo M</t>
  </si>
  <si>
    <t>Salicilatos</t>
  </si>
  <si>
    <t>Salmonella, identificación serológica</t>
  </si>
  <si>
    <t>Sangre oculta en MF</t>
  </si>
  <si>
    <t>Sangría, tiempo de</t>
  </si>
  <si>
    <t>Sarampión, determinación de Ac</t>
  </si>
  <si>
    <t>Secreción nasal, ocular, ótica, examen microscópico c/u</t>
  </si>
  <si>
    <t>Secreción uretral o vaginal, examen microscópico c/u</t>
  </si>
  <si>
    <t>Shiguella, identificación serológica</t>
  </si>
  <si>
    <t>Sida, anticuerpos VIH  1.</t>
  </si>
  <si>
    <t>Sida, anticuerpos VIH  2.</t>
  </si>
  <si>
    <t>Sida, antígeno P24</t>
  </si>
  <si>
    <t>Sida, prueba confirmatoria (Western Blot, otros)</t>
  </si>
  <si>
    <t>Sifilis, serología confirmatoria (FTA ABS)</t>
  </si>
  <si>
    <t>Sifilis, serología presuntiva (cardiolipina o VDRL)</t>
  </si>
  <si>
    <t>Sincityal, determinación de antígeno</t>
  </si>
  <si>
    <t>Sistina, en orina</t>
  </si>
  <si>
    <t>Sodio</t>
  </si>
  <si>
    <t>Somatomedina C</t>
  </si>
  <si>
    <t>Staphilococcus aureus, identificación serológica</t>
  </si>
  <si>
    <t>Streptococcus beta hemolítico, identificación serológica</t>
  </si>
  <si>
    <t>Sudan, tinción y lectura</t>
  </si>
  <si>
    <t>Sulfitos, medición en orina y sangre</t>
  </si>
  <si>
    <t>Talio</t>
  </si>
  <si>
    <t>Tejidos corporales, medición enzimática</t>
  </si>
  <si>
    <t>Teofilina</t>
  </si>
  <si>
    <t>Testosterona libre</t>
  </si>
  <si>
    <t>Testosterona total</t>
  </si>
  <si>
    <t>Thorn, prueba</t>
  </si>
  <si>
    <t>Tiroidea estimulante (en neonato)</t>
  </si>
  <si>
    <t>Tiroidea estimulante TSH</t>
  </si>
  <si>
    <t>Tirosina, cuantificación</t>
  </si>
  <si>
    <t>Tirosina, test con raíz de cabello</t>
  </si>
  <si>
    <t>Tiroxina, en sangre</t>
  </si>
  <si>
    <t>Tiroxina T4</t>
  </si>
  <si>
    <t>Tiroxina T4  libre</t>
  </si>
  <si>
    <t>Título anti A</t>
  </si>
  <si>
    <t>Título anti B</t>
  </si>
  <si>
    <t>Título anti D</t>
  </si>
  <si>
    <t>Tobramicina</t>
  </si>
  <si>
    <t>Toxocara canis, anticuerpos</t>
  </si>
  <si>
    <t>Toxoplasma, anticuerpo G</t>
  </si>
  <si>
    <t>Toxoplasma, anticuerpo M</t>
  </si>
  <si>
    <t>Transaminasa oxalacetica / ASA</t>
  </si>
  <si>
    <t>Transaminasa pirúvica / ALAT</t>
  </si>
  <si>
    <t>Transferrina</t>
  </si>
  <si>
    <t>Tricíclicos</t>
  </si>
  <si>
    <t>Triglicéridos</t>
  </si>
  <si>
    <t>Tripanosoma Cruzi, prueba de Machado Guerreiro</t>
  </si>
  <si>
    <t>Tripanosomiasis, determinación de Ac</t>
  </si>
  <si>
    <t>Tripsina</t>
  </si>
  <si>
    <t>Triptofano</t>
  </si>
  <si>
    <t>Triyodotironina T3</t>
  </si>
  <si>
    <t>Triyodotironina T3  Up Take</t>
  </si>
  <si>
    <t>Trombina, tiempo de</t>
  </si>
  <si>
    <t>Tromboplastina, tiempo activado</t>
  </si>
  <si>
    <t>Tromboplastina, tiempo de generación</t>
  </si>
  <si>
    <t>Tromboplastina, tiempo parcial (PTT)</t>
  </si>
  <si>
    <t>Troponina T</t>
  </si>
  <si>
    <t>TSH pre y post TRH (dos muestras)</t>
  </si>
  <si>
    <t>Urea</t>
  </si>
  <si>
    <t>Urobilinógeno</t>
  </si>
  <si>
    <t>Urocultivo con recuento de colonias</t>
  </si>
  <si>
    <t>Uroporfirinas</t>
  </si>
  <si>
    <t>Vancomicina</t>
  </si>
  <si>
    <t>Varicela zoster, determinación de Ac</t>
  </si>
  <si>
    <t>Velocidad de sedimentación globular VSG</t>
  </si>
  <si>
    <t>Vitaminas, cada una</t>
  </si>
  <si>
    <t>Warfarina</t>
  </si>
  <si>
    <t>Zinc</t>
  </si>
  <si>
    <t>ARTICULO 21:Las tarifas establecidas en Salarios Mínimos Legales Diarios Vigentes para Laboratorio Clínico son:</t>
  </si>
  <si>
    <t>EXÁMENES Y PROCEDIMIENTOS DE LABORATORIO CLINICO</t>
  </si>
  <si>
    <t>FACTOR CONV. SMLVD</t>
  </si>
  <si>
    <t>FACTOR CONV. UVT</t>
  </si>
  <si>
    <t>SMLDV</t>
  </si>
  <si>
    <t>UVT</t>
  </si>
  <si>
    <t>ARTÍCULO 22: Las tarifas establecidas en Salarios Mínimos Legales diarios para los exámenes y procedimientos anatomopatológicos son:</t>
  </si>
  <si>
    <r>
      <rPr>
        <sz val="10"/>
        <rFont val="Calibri"/>
        <family val="2"/>
        <scheme val="minor"/>
      </rPr>
      <t>Estudio con tinciones de rutina</t>
    </r>
  </si>
  <si>
    <r>
      <rPr>
        <sz val="10"/>
        <rFont val="Calibri"/>
        <family val="2"/>
        <scheme val="minor"/>
      </rPr>
      <t>Estudio con tinciones especiales</t>
    </r>
  </si>
  <si>
    <r>
      <rPr>
        <sz val="10"/>
        <rFont val="Calibri"/>
        <family val="2"/>
        <scheme val="minor"/>
      </rPr>
      <t>Estudio con tinciones especiales e inmunofluorescencia</t>
    </r>
  </si>
  <si>
    <r>
      <rPr>
        <sz val="10"/>
        <rFont val="Calibri"/>
        <family val="2"/>
        <scheme val="minor"/>
      </rPr>
      <t>Estudio con tinciones especiales, inmunofluorescencia microscopía electrónica</t>
    </r>
  </si>
  <si>
    <r>
      <rPr>
        <sz val="10"/>
        <rFont val="Calibri"/>
        <family val="2"/>
        <scheme val="minor"/>
      </rPr>
      <t>Estudio de cada marcador con inmunoperoxidasa</t>
    </r>
  </si>
  <si>
    <r>
      <rPr>
        <sz val="10"/>
        <rFont val="Calibri"/>
        <family val="2"/>
        <scheme val="minor"/>
      </rPr>
      <t>Estudio por congelación y/o en parafina</t>
    </r>
  </si>
  <si>
    <r>
      <rPr>
        <sz val="10"/>
        <rFont val="Calibri"/>
        <family val="2"/>
        <scheme val="minor"/>
      </rPr>
      <t>Estudio con tinciones especiales, fluorescencia microscopía</t>
    </r>
  </si>
  <si>
    <r>
      <rPr>
        <sz val="10"/>
        <rFont val="Calibri"/>
        <family val="2"/>
        <scheme val="minor"/>
      </rPr>
      <t>Estudio con inmunofluorescencia</t>
    </r>
  </si>
  <si>
    <r>
      <rPr>
        <sz val="10"/>
        <rFont val="Calibri"/>
        <family val="2"/>
        <scheme val="minor"/>
      </rPr>
      <t>Estudio con microscopía electrónica</t>
    </r>
  </si>
  <si>
    <r>
      <rPr>
        <sz val="10"/>
        <rFont val="Calibri"/>
        <family val="2"/>
        <scheme val="minor"/>
      </rPr>
      <t>Estudio con marcador tumoral, al procedimiento realizado, agregar</t>
    </r>
  </si>
  <si>
    <r>
      <rPr>
        <sz val="10"/>
        <rFont val="Calibri"/>
        <family val="2"/>
        <scheme val="minor"/>
      </rPr>
      <t>Vaginal tumoral</t>
    </r>
  </si>
  <si>
    <r>
      <rPr>
        <sz val="10"/>
        <rFont val="Calibri"/>
        <family val="2"/>
        <scheme val="minor"/>
      </rPr>
      <t>Vaginal funcional (cada muestra)</t>
    </r>
  </si>
  <si>
    <r>
      <rPr>
        <sz val="10"/>
        <rFont val="Calibri"/>
        <family val="2"/>
        <scheme val="minor"/>
      </rPr>
      <t>Líquidos (pleural, gástrico, ascítico, LCR,  lavado bronquial, esputo, orina, etc)</t>
    </r>
  </si>
  <si>
    <r>
      <rPr>
        <sz val="10"/>
        <rFont val="Calibri"/>
        <family val="2"/>
        <scheme val="minor"/>
      </rPr>
      <t>Líquidos (pleural, gástrico, ascítico, LCR,  lavado bronquial, esputo, orina, etc) en  bloque de parafina</t>
    </r>
  </si>
  <si>
    <r>
      <rPr>
        <sz val="10"/>
        <rFont val="Calibri"/>
        <family val="2"/>
        <scheme val="minor"/>
      </rPr>
      <t>Por aspiración</t>
    </r>
  </si>
  <si>
    <r>
      <rPr>
        <sz val="10"/>
        <rFont val="Calibri"/>
        <family val="2"/>
        <scheme val="minor"/>
      </rPr>
      <t>Médula ósea, mielograma</t>
    </r>
  </si>
  <si>
    <r>
      <rPr>
        <sz val="10"/>
        <rFont val="Calibri"/>
        <family val="2"/>
        <scheme val="minor"/>
      </rPr>
      <t>Médula ósea, estudio patológico</t>
    </r>
  </si>
  <si>
    <r>
      <rPr>
        <sz val="10"/>
        <rFont val="Calibri"/>
        <family val="2"/>
        <scheme val="minor"/>
      </rPr>
      <t>Completa con estudio macro y microscópico</t>
    </r>
  </si>
  <si>
    <r>
      <rPr>
        <sz val="10"/>
        <rFont val="Calibri"/>
        <family val="2"/>
        <scheme val="minor"/>
      </rPr>
      <t>Completa con estudio macro, microscópico y  embalsamamiento</t>
    </r>
  </si>
  <si>
    <r>
      <rPr>
        <sz val="10"/>
        <rFont val="Calibri"/>
        <family val="2"/>
        <scheme val="minor"/>
      </rPr>
      <t>Embalsamamiento</t>
    </r>
  </si>
  <si>
    <r>
      <rPr>
        <sz val="10"/>
        <rFont val="Calibri"/>
        <family val="2"/>
        <scheme val="minor"/>
      </rPr>
      <t>Formolización</t>
    </r>
  </si>
  <si>
    <r>
      <rPr>
        <sz val="10"/>
        <rFont val="Calibri"/>
        <family val="2"/>
        <scheme val="minor"/>
      </rPr>
      <t>Feto y placenta</t>
    </r>
  </si>
  <si>
    <r>
      <rPr>
        <b/>
        <sz val="10"/>
        <rFont val="Calibri"/>
        <family val="2"/>
        <scheme val="minor"/>
      </rPr>
      <t>MÚLTIPLES: DOS O MÁS MUESTRAS</t>
    </r>
  </si>
  <si>
    <r>
      <rPr>
        <b/>
        <sz val="10"/>
        <rFont val="Calibri"/>
        <family val="2"/>
        <scheme val="minor"/>
      </rPr>
      <t>ESTUDIO DE ESPECÍMENES QUIRÚRGICOS
(Con disección Ganglionar)
Mama, estómago, cono cervical, útero, riñón, brazo, muslo, pierna, etc</t>
    </r>
  </si>
  <si>
    <r>
      <rPr>
        <b/>
        <sz val="10"/>
        <rFont val="Calibri"/>
        <family val="2"/>
        <scheme val="minor"/>
      </rPr>
      <t>3.  CITOLOGÍAS</t>
    </r>
  </si>
  <si>
    <t>UNA SOLA MUESTRA</t>
  </si>
  <si>
    <t>1.  BIOPSIAS SIMPLES:</t>
  </si>
  <si>
    <t>ESTUDIO DE ESPECÍMENES SIMPLES</t>
  </si>
  <si>
    <t>(Sin disección Ganglionar)</t>
  </si>
  <si>
    <t>Vesícula, apéndice, amígdala, glándulas salivares, epiplón o peritoneo, arteria, piel, trompa uterina, etc</t>
  </si>
  <si>
    <t xml:space="preserve">2.  ESPECÍMENES QUIRÚRGICOS 
</t>
  </si>
  <si>
    <r>
      <rPr>
        <b/>
        <sz val="10"/>
        <rFont val="Calibri"/>
        <family val="2"/>
        <scheme val="minor"/>
      </rPr>
      <t>4. NECROPSIAS</t>
    </r>
  </si>
  <si>
    <t>MANUAL TARIFARIO SOAT ACTUALIZADO 2023 VS DECRETO 2644 2022
DECRETO 2423 DEL 31 DE DICIEMBRE DE 1996
ACTUALIZADO A 2023 . Valor NETO Y APROXIMADO Y VALORES CON UVT
DECRETO 2613 DE 2022 - SMLV $ 1.160.000 - VALOR DIARIO $ 38666,66
UVT 2023 $42.412</t>
  </si>
  <si>
    <t xml:space="preserve">VALOR </t>
  </si>
  <si>
    <r>
      <rPr>
        <sz val="10"/>
        <rFont val="Calibri"/>
        <family val="2"/>
        <scheme val="minor"/>
      </rPr>
      <t>Mano, dedos, puño (muñeca), codo, pie,  clavícula, antebrazo, cuello de pie  (tobillo), edad ósea (carpograma),
calcáneo</t>
    </r>
  </si>
  <si>
    <r>
      <rPr>
        <sz val="10"/>
        <rFont val="Calibri"/>
        <family val="2"/>
        <scheme val="minor"/>
      </rPr>
      <t>Brazo, pierna, rodilla, fémur, hombro, omoplato</t>
    </r>
  </si>
  <si>
    <r>
      <rPr>
        <sz val="10"/>
        <rFont val="Calibri"/>
        <family val="2"/>
        <scheme val="minor"/>
      </rPr>
      <t>Test de Farill (osteometría o medición de  miembros inferiores), estudio de pie plano  (pies con apoyo)</t>
    </r>
  </si>
  <si>
    <r>
      <rPr>
        <sz val="10"/>
        <rFont val="Calibri"/>
        <family val="2"/>
        <scheme val="minor"/>
      </rPr>
      <t>Test de anteversión femoral</t>
    </r>
  </si>
  <si>
    <r>
      <rPr>
        <sz val="10"/>
        <rFont val="Calibri"/>
        <family val="2"/>
        <scheme val="minor"/>
      </rPr>
      <t>Pelvis, cadera, articulaciones sacro ilíacas  y coxo femorales</t>
    </r>
  </si>
  <si>
    <r>
      <rPr>
        <sz val="10"/>
        <rFont val="Calibri"/>
        <family val="2"/>
        <scheme val="minor"/>
      </rPr>
      <t>Comparativas de las regiones anteriores; al  valor de la región agregar:</t>
    </r>
  </si>
  <si>
    <r>
      <rPr>
        <sz val="10"/>
        <rFont val="Calibri"/>
        <family val="2"/>
        <scheme val="minor"/>
      </rPr>
      <t>Tomografía osteoarticular; al valor de la  región agregar:</t>
    </r>
  </si>
  <si>
    <r>
      <rPr>
        <sz val="10"/>
        <rFont val="Calibri"/>
        <family val="2"/>
        <scheme val="minor"/>
      </rPr>
      <t>Proyección adicional (Stress, túnel,  tangenciales, oblicuas), cada una; al valor  de la región agregar:</t>
    </r>
  </si>
  <si>
    <r>
      <rPr>
        <sz val="10"/>
        <rFont val="Calibri"/>
        <family val="2"/>
        <scheme val="minor"/>
      </rPr>
      <t>Tangencial rótula</t>
    </r>
  </si>
  <si>
    <r>
      <rPr>
        <sz val="10"/>
        <rFont val="Calibri"/>
        <family val="2"/>
        <scheme val="minor"/>
      </rPr>
      <t>Panoramica en miembros inferiores  (goniometría u ortograma)</t>
    </r>
  </si>
  <si>
    <r>
      <rPr>
        <sz val="10"/>
        <rFont val="Calibri"/>
        <family val="2"/>
        <scheme val="minor"/>
      </rPr>
      <t>Estudio de huesos largos AP</t>
    </r>
  </si>
  <si>
    <r>
      <rPr>
        <sz val="10"/>
        <rFont val="Calibri"/>
        <family val="2"/>
        <scheme val="minor"/>
      </rPr>
      <t>Fotopodografía</t>
    </r>
  </si>
  <si>
    <r>
      <rPr>
        <sz val="10"/>
        <rFont val="Calibri"/>
        <family val="2"/>
        <scheme val="minor"/>
      </rPr>
      <t>Osteodensitometría por absorción dual de RX</t>
    </r>
  </si>
  <si>
    <r>
      <rPr>
        <sz val="10"/>
        <rFont val="Calibri"/>
        <family val="2"/>
        <scheme val="minor"/>
      </rPr>
      <t>Cara, malar, arco cigomático, huesos nasales,  maxilar superior, silla turca, base del cráneo</t>
    </r>
  </si>
  <si>
    <r>
      <rPr>
        <sz val="10"/>
        <rFont val="Calibri"/>
        <family val="2"/>
        <scheme val="minor"/>
      </rPr>
      <t>Senos paranasales, maxilar inferior, órbitas,  articulaciones temporomandibulares, agujeros  ópticos</t>
    </r>
  </si>
  <si>
    <r>
      <rPr>
        <sz val="10"/>
        <rFont val="Calibri"/>
        <family val="2"/>
        <scheme val="minor"/>
      </rPr>
      <t>Cráneo simple</t>
    </r>
  </si>
  <si>
    <r>
      <rPr>
        <sz val="10"/>
        <rFont val="Calibri"/>
        <family val="2"/>
        <scheme val="minor"/>
      </rPr>
      <t>Cráneo simple más base de cráneo (Panorámica  de mandíbula) Perfilograma</t>
    </r>
  </si>
  <si>
    <r>
      <rPr>
        <sz val="10"/>
        <rFont val="Calibri"/>
        <family val="2"/>
        <scheme val="minor"/>
      </rPr>
      <t>Mastoides comparativas, penascos, conductos  auditivos internos</t>
    </r>
  </si>
  <si>
    <r>
      <rPr>
        <sz val="10"/>
        <rFont val="Calibri"/>
        <family val="2"/>
        <scheme val="minor"/>
      </rPr>
      <t>Tomografía lineal de las regiones anteriores;  agregar:</t>
    </r>
  </si>
  <si>
    <r>
      <rPr>
        <sz val="10"/>
        <rFont val="Calibri"/>
        <family val="2"/>
        <scheme val="minor"/>
      </rPr>
      <t>Proyecciones adicionales</t>
    </r>
  </si>
  <si>
    <r>
      <rPr>
        <sz val="10"/>
        <rFont val="Calibri"/>
        <family val="2"/>
        <scheme val="minor"/>
      </rPr>
      <t>Politomografía de conductos auditivos  internos</t>
    </r>
  </si>
  <si>
    <r>
      <rPr>
        <sz val="10"/>
        <rFont val="Calibri"/>
        <family val="2"/>
        <scheme val="minor"/>
      </rPr>
      <t>Politomografía unilateral de mastoides (oído  medio)</t>
    </r>
  </si>
  <si>
    <r>
      <rPr>
        <sz val="10"/>
        <rFont val="Calibri"/>
        <family val="2"/>
        <scheme val="minor"/>
      </rPr>
      <t>Politomografía bilateral de mastoides</t>
    </r>
  </si>
  <si>
    <r>
      <rPr>
        <sz val="10"/>
        <rFont val="Calibri"/>
        <family val="2"/>
        <scheme val="minor"/>
      </rPr>
      <t>Politomografía de silla turca</t>
    </r>
  </si>
  <si>
    <r>
      <rPr>
        <sz val="10"/>
        <rFont val="Calibri"/>
        <family val="2"/>
        <scheme val="minor"/>
      </rPr>
      <t>Politomografía de senos paranasales  articulaciones temporomandibulares</t>
    </r>
  </si>
  <si>
    <r>
      <rPr>
        <sz val="10"/>
        <rFont val="Calibri"/>
        <family val="2"/>
        <scheme val="minor"/>
      </rPr>
      <t>Politomografía de rinofaringe</t>
    </r>
  </si>
  <si>
    <r>
      <rPr>
        <sz val="10"/>
        <rFont val="Calibri"/>
        <family val="2"/>
        <scheme val="minor"/>
      </rPr>
      <t>Politomografía semi axial de nariz</t>
    </r>
  </si>
  <si>
    <r>
      <rPr>
        <sz val="10"/>
        <rFont val="Calibri"/>
        <family val="2"/>
        <scheme val="minor"/>
      </rPr>
      <t>Tomografía funcional de laringe</t>
    </r>
  </si>
  <si>
    <r>
      <rPr>
        <sz val="10"/>
        <rFont val="Calibri"/>
        <family val="2"/>
        <scheme val="minor"/>
      </rPr>
      <t>Xero radiografía de cuello</t>
    </r>
  </si>
  <si>
    <r>
      <rPr>
        <sz val="10"/>
        <rFont val="Calibri"/>
        <family val="2"/>
        <scheme val="minor"/>
      </rPr>
      <t>Cavum faríngeo, cuello y tejidos blandos</t>
    </r>
  </si>
  <si>
    <r>
      <rPr>
        <sz val="10"/>
        <rFont val="Calibri"/>
        <family val="2"/>
        <scheme val="minor"/>
      </rPr>
      <t>Columna cervical</t>
    </r>
  </si>
  <si>
    <r>
      <rPr>
        <sz val="10"/>
        <rFont val="Calibri"/>
        <family val="2"/>
        <scheme val="minor"/>
      </rPr>
      <t>Columna dorsal o toráxica</t>
    </r>
  </si>
  <si>
    <r>
      <rPr>
        <sz val="10"/>
        <rFont val="Calibri"/>
        <family val="2"/>
        <scheme val="minor"/>
      </rPr>
      <t>Columna lumbosacra</t>
    </r>
  </si>
  <si>
    <r>
      <rPr>
        <sz val="10"/>
        <rFont val="Calibri"/>
        <family val="2"/>
        <scheme val="minor"/>
      </rPr>
      <t>Sacrococcix</t>
    </r>
  </si>
  <si>
    <r>
      <rPr>
        <sz val="10"/>
        <rFont val="Calibri"/>
        <family val="2"/>
        <scheme val="minor"/>
      </rPr>
      <t>Test de escoliosis</t>
    </r>
  </si>
  <si>
    <r>
      <rPr>
        <sz val="10"/>
        <rFont val="Calibri"/>
        <family val="2"/>
        <scheme val="minor"/>
      </rPr>
      <t>Proyecciones dinámicas o adicionales, al valor del examen agregar:</t>
    </r>
  </si>
  <si>
    <r>
      <rPr>
        <sz val="10"/>
        <rFont val="Calibri"/>
        <family val="2"/>
        <scheme val="minor"/>
      </rPr>
      <t>Tomografía lineal de columna, por segmento, agregar:</t>
    </r>
  </si>
  <si>
    <r>
      <rPr>
        <sz val="10"/>
        <rFont val="Calibri"/>
        <family val="2"/>
        <scheme val="minor"/>
      </rPr>
      <t>Panorámica columna vertebral</t>
    </r>
  </si>
  <si>
    <r>
      <rPr>
        <sz val="10"/>
        <rFont val="Calibri"/>
        <family val="2"/>
        <scheme val="minor"/>
      </rPr>
      <t>Tórax (PA o P A y lateral), reja costal</t>
    </r>
  </si>
  <si>
    <r>
      <rPr>
        <sz val="10"/>
        <rFont val="Calibri"/>
        <family val="2"/>
        <scheme val="minor"/>
      </rPr>
      <t>Fluoroscopia pulmonar, movilidad diafragmática</t>
    </r>
  </si>
  <si>
    <r>
      <rPr>
        <sz val="10"/>
        <rFont val="Calibri"/>
        <family val="2"/>
        <scheme val="minor"/>
      </rPr>
      <t>Esternón, articulaciones esterno claviculares</t>
    </r>
  </si>
  <si>
    <r>
      <rPr>
        <sz val="10"/>
        <rFont val="Calibri"/>
        <family val="2"/>
        <scheme val="minor"/>
      </rPr>
      <t>Serie cardiovascular (corazón y grandes vasos, silueta cardíaca)</t>
    </r>
  </si>
  <si>
    <r>
      <rPr>
        <sz val="10"/>
        <rFont val="Calibri"/>
        <family val="2"/>
        <scheme val="minor"/>
      </rPr>
      <t>Proyecciones adicionales de tórax: apicograma, de cúbito lateral, oblicuas, lateral con bario, etc, cada una;
agregar:</t>
    </r>
  </si>
  <si>
    <r>
      <rPr>
        <sz val="10"/>
        <rFont val="Calibri"/>
        <family val="2"/>
        <scheme val="minor"/>
      </rPr>
      <t>Tomografía de tórax AP</t>
    </r>
  </si>
  <si>
    <r>
      <rPr>
        <sz val="10"/>
        <rFont val="Calibri"/>
        <family val="2"/>
        <scheme val="minor"/>
      </rPr>
      <t>Tomografía de tórax en dos proyecciones</t>
    </r>
  </si>
  <si>
    <r>
      <rPr>
        <sz val="10"/>
        <rFont val="Calibri"/>
        <family val="2"/>
        <scheme val="minor"/>
      </rPr>
      <t>Tomografía de mediastino, tráquea</t>
    </r>
  </si>
  <si>
    <r>
      <rPr>
        <sz val="10"/>
        <rFont val="Calibri"/>
        <family val="2"/>
        <scheme val="minor"/>
      </rPr>
      <t>Xeromamografía o mamografia, (bilateral)</t>
    </r>
  </si>
  <si>
    <r>
      <rPr>
        <sz val="10"/>
        <rFont val="Calibri"/>
        <family val="2"/>
        <scheme val="minor"/>
      </rPr>
      <t>Galactografia</t>
    </r>
  </si>
  <si>
    <r>
      <rPr>
        <sz val="10"/>
        <rFont val="Calibri"/>
        <family val="2"/>
        <scheme val="minor"/>
      </rPr>
      <t>Mamografía unilateral o de pieza quirúrgica</t>
    </r>
  </si>
  <si>
    <r>
      <rPr>
        <sz val="10"/>
        <rFont val="Calibri"/>
        <family val="2"/>
        <scheme val="minor"/>
      </rPr>
      <t>Fluoroscopia para implantación de marcapaso al valor del tórax: agregar,</t>
    </r>
  </si>
  <si>
    <r>
      <rPr>
        <sz val="10"/>
        <rFont val="Calibri"/>
        <family val="2"/>
        <scheme val="minor"/>
      </rPr>
      <t>Abdomen simple</t>
    </r>
  </si>
  <si>
    <r>
      <rPr>
        <sz val="10"/>
        <rFont val="Calibri"/>
        <family val="2"/>
        <scheme val="minor"/>
      </rPr>
      <t>Abdomen simple con proyecciones adicionales, serie de abdomen agudo</t>
    </r>
  </si>
  <si>
    <r>
      <rPr>
        <sz val="10"/>
        <rFont val="Calibri"/>
        <family val="2"/>
        <scheme val="minor"/>
      </rPr>
      <t>Pielografía retrógrada o anterógrada</t>
    </r>
  </si>
  <si>
    <r>
      <rPr>
        <sz val="10"/>
        <rFont val="Calibri"/>
        <family val="2"/>
        <scheme val="minor"/>
      </rPr>
      <t>Urografía intravenosa</t>
    </r>
  </si>
  <si>
    <r>
      <rPr>
        <sz val="10"/>
        <rFont val="Calibri"/>
        <family val="2"/>
        <scheme val="minor"/>
      </rPr>
      <t>Urografía con nefrotomografía (estudio de hipertensión)</t>
    </r>
  </si>
  <si>
    <r>
      <rPr>
        <sz val="10"/>
        <rFont val="Calibri"/>
        <family val="2"/>
        <scheme val="minor"/>
      </rPr>
      <t>Colecistografía</t>
    </r>
  </si>
  <si>
    <r>
      <rPr>
        <sz val="10"/>
        <rFont val="Calibri"/>
        <family val="2"/>
        <scheme val="minor"/>
      </rPr>
      <t>Colangiografía operatoria</t>
    </r>
  </si>
  <si>
    <r>
      <rPr>
        <sz val="10"/>
        <rFont val="Calibri"/>
        <family val="2"/>
        <scheme val="minor"/>
      </rPr>
      <t>Colangiografía post operatoria</t>
    </r>
  </si>
  <si>
    <r>
      <rPr>
        <sz val="10"/>
        <rFont val="Calibri"/>
        <family val="2"/>
        <scheme val="minor"/>
      </rPr>
      <t>Colangiografía endoscopica retrógrada (transduodenal)</t>
    </r>
  </si>
  <si>
    <r>
      <rPr>
        <sz val="10"/>
        <rFont val="Calibri"/>
        <family val="2"/>
        <scheme val="minor"/>
      </rPr>
      <t>Colangiografía Tomografía</t>
    </r>
  </si>
  <si>
    <r>
      <rPr>
        <sz val="10"/>
        <rFont val="Calibri"/>
        <family val="2"/>
        <scheme val="minor"/>
      </rPr>
      <t>Colecisto Tomografía</t>
    </r>
  </si>
  <si>
    <r>
      <rPr>
        <sz val="10"/>
        <rFont val="Calibri"/>
        <family val="2"/>
        <scheme val="minor"/>
      </rPr>
      <t>Procedimiento especial con fluoroscopia (TV); al valor de la región: agregar</t>
    </r>
  </si>
  <si>
    <r>
      <rPr>
        <sz val="10"/>
        <rFont val="Calibri"/>
        <family val="2"/>
        <scheme val="minor"/>
      </rPr>
      <t>Esófago</t>
    </r>
  </si>
  <si>
    <r>
      <rPr>
        <sz val="10"/>
        <rFont val="Calibri"/>
        <family val="2"/>
        <scheme val="minor"/>
      </rPr>
      <t>Estómago, duodeno y tránsito intestinal</t>
    </r>
  </si>
  <si>
    <r>
      <rPr>
        <sz val="10"/>
        <rFont val="Calibri"/>
        <family val="2"/>
        <scheme val="minor"/>
      </rPr>
      <t>Esófago, estómago y duodeno (vías digestivas altas)</t>
    </r>
  </si>
  <si>
    <r>
      <rPr>
        <sz val="10"/>
        <rFont val="Calibri"/>
        <family val="2"/>
        <scheme val="minor"/>
      </rPr>
      <t>Tránsito intestinal convencional</t>
    </r>
  </si>
  <si>
    <r>
      <rPr>
        <sz val="10"/>
        <rFont val="Calibri"/>
        <family val="2"/>
        <scheme val="minor"/>
      </rPr>
      <t>Tránsito intestinal doble contraste</t>
    </r>
  </si>
  <si>
    <r>
      <rPr>
        <sz val="10"/>
        <rFont val="Calibri"/>
        <family val="2"/>
        <scheme val="minor"/>
      </rPr>
      <t>Colon por enema convencional o colon por ingesta</t>
    </r>
  </si>
  <si>
    <r>
      <rPr>
        <sz val="10"/>
        <rFont val="Calibri"/>
        <family val="2"/>
        <scheme val="minor"/>
      </rPr>
      <t>Colon por enema con doble contraste</t>
    </r>
  </si>
  <si>
    <r>
      <rPr>
        <sz val="10"/>
        <rFont val="Calibri"/>
        <family val="2"/>
        <scheme val="minor"/>
      </rPr>
      <t>Esófago, estómago y duodeno con doble contraste</t>
    </r>
  </si>
  <si>
    <r>
      <rPr>
        <sz val="10"/>
        <rFont val="Calibri"/>
        <family val="2"/>
        <scheme val="minor"/>
      </rPr>
      <t>Cistografía o cistouretrografía</t>
    </r>
  </si>
  <si>
    <r>
      <rPr>
        <sz val="10"/>
        <rFont val="Calibri"/>
        <family val="2"/>
        <scheme val="minor"/>
      </rPr>
      <t>Histerosalpingografía</t>
    </r>
  </si>
  <si>
    <r>
      <rPr>
        <sz val="10"/>
        <rFont val="Calibri"/>
        <family val="2"/>
        <scheme val="minor"/>
      </rPr>
      <t>Uretrografía retrógrada</t>
    </r>
  </si>
  <si>
    <r>
      <rPr>
        <sz val="10"/>
        <rFont val="Calibri"/>
        <family val="2"/>
        <scheme val="minor"/>
      </rPr>
      <t>Genitografía o vaginografía</t>
    </r>
  </si>
  <si>
    <r>
      <rPr>
        <sz val="10"/>
        <rFont val="Calibri"/>
        <family val="2"/>
        <scheme val="minor"/>
      </rPr>
      <t>Artrografía o neumoartrografía</t>
    </r>
  </si>
  <si>
    <r>
      <rPr>
        <sz val="10"/>
        <rFont val="Calibri"/>
        <family val="2"/>
        <scheme val="minor"/>
      </rPr>
      <t>Mielografía (cada segmento)</t>
    </r>
  </si>
  <si>
    <r>
      <rPr>
        <sz val="10"/>
        <rFont val="Calibri"/>
        <family val="2"/>
        <scheme val="minor"/>
      </rPr>
      <t>Arteriografía carotidea o vertebral (cada vaso)</t>
    </r>
  </si>
  <si>
    <r>
      <rPr>
        <sz val="10"/>
        <rFont val="Calibri"/>
        <family val="2"/>
        <scheme val="minor"/>
      </rPr>
      <t>Arteriografía selectiva de ambas carótidas y vertebral (Panangiografía)</t>
    </r>
  </si>
  <si>
    <r>
      <rPr>
        <sz val="10"/>
        <rFont val="Calibri"/>
        <family val="2"/>
        <scheme val="minor"/>
      </rPr>
      <t>Linfangiografía</t>
    </r>
  </si>
  <si>
    <r>
      <rPr>
        <sz val="10"/>
        <rFont val="Calibri"/>
        <family val="2"/>
        <scheme val="minor"/>
      </rPr>
      <t>Cavografía</t>
    </r>
  </si>
  <si>
    <r>
      <rPr>
        <sz val="10"/>
        <rFont val="Calibri"/>
        <family val="2"/>
        <scheme val="minor"/>
      </rPr>
      <t>Flebografia de miembro superior o inferior (por extremidad)</t>
    </r>
  </si>
  <si>
    <r>
      <rPr>
        <sz val="10"/>
        <rFont val="Calibri"/>
        <family val="2"/>
        <scheme val="minor"/>
      </rPr>
      <t>Arteriografía periférica por punción</t>
    </r>
  </si>
  <si>
    <r>
      <rPr>
        <sz val="10"/>
        <rFont val="Calibri"/>
        <family val="2"/>
        <scheme val="minor"/>
      </rPr>
      <t>Aortograma torácico o abdominal</t>
    </r>
  </si>
  <si>
    <r>
      <rPr>
        <sz val="10"/>
        <rFont val="Calibri"/>
        <family val="2"/>
        <scheme val="minor"/>
      </rPr>
      <t>Aortograma y estudio de miembros inferiores</t>
    </r>
  </si>
  <si>
    <r>
      <rPr>
        <sz val="10"/>
        <rFont val="Calibri"/>
        <family val="2"/>
        <scheme val="minor"/>
      </rPr>
      <t>Portografía arterial</t>
    </r>
  </si>
  <si>
    <r>
      <rPr>
        <sz val="10"/>
        <rFont val="Calibri"/>
        <family val="2"/>
        <scheme val="minor"/>
      </rPr>
      <t>Esplenoportografía</t>
    </r>
  </si>
  <si>
    <r>
      <rPr>
        <sz val="10"/>
        <rFont val="Calibri"/>
        <family val="2"/>
        <scheme val="minor"/>
      </rPr>
      <t>Estudio de hipertensión portal con hemodinamia</t>
    </r>
  </si>
  <si>
    <r>
      <rPr>
        <sz val="10"/>
        <rFont val="Calibri"/>
        <family val="2"/>
        <scheme val="minor"/>
      </rPr>
      <t>Portografía transhepática</t>
    </r>
  </si>
  <si>
    <r>
      <rPr>
        <sz val="10"/>
        <rFont val="Calibri"/>
        <family val="2"/>
        <scheme val="minor"/>
      </rPr>
      <t>Venografía selectiva (toma de muestras para química sanguínea)</t>
    </r>
  </si>
  <si>
    <r>
      <rPr>
        <sz val="10"/>
        <rFont val="Calibri"/>
        <family val="2"/>
        <scheme val="minor"/>
      </rPr>
      <t>Estudio de un vaso</t>
    </r>
  </si>
  <si>
    <r>
      <rPr>
        <sz val="10"/>
        <rFont val="Calibri"/>
        <family val="2"/>
        <scheme val="minor"/>
      </rPr>
      <t>Cada vaso adicional</t>
    </r>
  </si>
  <si>
    <r>
      <rPr>
        <sz val="10"/>
        <rFont val="Calibri"/>
        <family val="2"/>
        <scheme val="minor"/>
      </rPr>
      <t>Angioplastia</t>
    </r>
  </si>
  <si>
    <r>
      <rPr>
        <sz val="10"/>
        <rFont val="Calibri"/>
        <family val="2"/>
        <scheme val="minor"/>
      </rPr>
      <t>Faringolaringografía</t>
    </r>
  </si>
  <si>
    <r>
      <rPr>
        <sz val="10"/>
        <rFont val="Calibri"/>
        <family val="2"/>
        <scheme val="minor"/>
      </rPr>
      <t>Broncografía unilateral</t>
    </r>
  </si>
  <si>
    <r>
      <rPr>
        <sz val="10"/>
        <rFont val="Calibri"/>
        <family val="2"/>
        <scheme val="minor"/>
      </rPr>
      <t>Cuerpo extraño endo ocular (Sweet)</t>
    </r>
  </si>
  <si>
    <r>
      <rPr>
        <sz val="10"/>
        <rFont val="Calibri"/>
        <family val="2"/>
        <scheme val="minor"/>
      </rPr>
      <t>Sialografía (por glándula)</t>
    </r>
  </si>
  <si>
    <r>
      <rPr>
        <sz val="10"/>
        <rFont val="Calibri"/>
        <family val="2"/>
        <scheme val="minor"/>
      </rPr>
      <t>Dacriocistografía unilateral</t>
    </r>
  </si>
  <si>
    <r>
      <rPr>
        <sz val="10"/>
        <rFont val="Calibri"/>
        <family val="2"/>
        <scheme val="minor"/>
      </rPr>
      <t>Embolización; excluye cabeza y cuello</t>
    </r>
  </si>
  <si>
    <r>
      <rPr>
        <sz val="10"/>
        <rFont val="Calibri"/>
        <family val="2"/>
        <scheme val="minor"/>
      </rPr>
      <t>Farmacoangiografía</t>
    </r>
  </si>
  <si>
    <r>
      <rPr>
        <sz val="10"/>
        <rFont val="Calibri"/>
        <family val="2"/>
        <scheme val="minor"/>
      </rPr>
      <t>Pielografía o colangiografía percutánea</t>
    </r>
  </si>
  <si>
    <r>
      <rPr>
        <sz val="10"/>
        <rFont val="Calibri"/>
        <family val="2"/>
        <scheme val="minor"/>
      </rPr>
      <t>Nefrostomía percutánea</t>
    </r>
  </si>
  <si>
    <r>
      <rPr>
        <sz val="10"/>
        <rFont val="Calibri"/>
        <family val="2"/>
        <scheme val="minor"/>
      </rPr>
      <t>Instrumentación percutánea, colecistostomía percutánea (drenaje, dilatación y derivación)</t>
    </r>
  </si>
  <si>
    <r>
      <rPr>
        <sz val="10"/>
        <rFont val="Calibri"/>
        <family val="2"/>
        <scheme val="minor"/>
      </rPr>
      <t>Extracción percutánea de cuerpo extraño intra  vascular, arterial o venoso</t>
    </r>
  </si>
  <si>
    <r>
      <rPr>
        <sz val="10"/>
        <rFont val="Calibri"/>
        <family val="2"/>
        <scheme val="minor"/>
      </rPr>
      <t>Tratamiento percutáneo de tromboembolismo venoso</t>
    </r>
  </si>
  <si>
    <r>
      <rPr>
        <sz val="10"/>
        <rFont val="Calibri"/>
        <family val="2"/>
        <scheme val="minor"/>
      </rPr>
      <t>Gastrostomía percutánea</t>
    </r>
  </si>
  <si>
    <r>
      <rPr>
        <sz val="10"/>
        <rFont val="Calibri"/>
        <family val="2"/>
        <scheme val="minor"/>
      </rPr>
      <t>Drenaje percutáneo de abscesos o colecciones</t>
    </r>
  </si>
  <si>
    <r>
      <rPr>
        <sz val="10"/>
        <rFont val="Calibri"/>
        <family val="2"/>
        <scheme val="minor"/>
      </rPr>
      <t>Revisión de procedimientos anteriores (cambio de tubo, limpieza del mismo o reubicación)</t>
    </r>
  </si>
  <si>
    <r>
      <rPr>
        <sz val="10"/>
        <rFont val="Calibri"/>
        <family val="2"/>
        <scheme val="minor"/>
      </rPr>
      <t>Extracción cálculos renales por vía percutánea</t>
    </r>
  </si>
  <si>
    <r>
      <rPr>
        <sz val="10"/>
        <rFont val="Calibri"/>
        <family val="2"/>
        <scheme val="minor"/>
      </rPr>
      <t>Trombólisis arterial selectiva</t>
    </r>
  </si>
  <si>
    <r>
      <rPr>
        <sz val="10"/>
        <rFont val="Calibri"/>
        <family val="2"/>
        <scheme val="minor"/>
      </rPr>
      <t>Extracción percutánea de cálculos biliares, litotripcia disolución de cálculos biliares</t>
    </r>
  </si>
  <si>
    <r>
      <rPr>
        <sz val="10"/>
        <rFont val="Calibri"/>
        <family val="2"/>
        <scheme val="minor"/>
      </rPr>
      <t>Dilatación transuretral de la próstata</t>
    </r>
  </si>
  <si>
    <r>
      <rPr>
        <sz val="10"/>
        <rFont val="Calibri"/>
        <family val="2"/>
        <scheme val="minor"/>
      </rPr>
      <t>Fistulografía; al valor de la región, agregar:</t>
    </r>
  </si>
  <si>
    <r>
      <rPr>
        <sz val="10"/>
        <rFont val="Calibri"/>
        <family val="2"/>
        <scheme val="minor"/>
      </rPr>
      <t>Localización de lesión no palpable en seno</t>
    </r>
  </si>
  <si>
    <r>
      <rPr>
        <sz val="10"/>
        <rFont val="Calibri"/>
        <family val="2"/>
        <scheme val="minor"/>
      </rPr>
      <t>Biopsia por estereotaxia</t>
    </r>
  </si>
  <si>
    <r>
      <rPr>
        <sz val="10"/>
        <rFont val="Calibri"/>
        <family val="2"/>
        <scheme val="minor"/>
      </rPr>
      <t>Cavernografía y cavernometría</t>
    </r>
  </si>
  <si>
    <r>
      <rPr>
        <sz val="10"/>
        <rFont val="Calibri"/>
        <family val="2"/>
        <scheme val="minor"/>
      </rPr>
      <t>Cráneo con contraste</t>
    </r>
  </si>
  <si>
    <r>
      <rPr>
        <sz val="10"/>
        <rFont val="Calibri"/>
        <family val="2"/>
        <scheme val="minor"/>
      </rPr>
      <t>Cráneo simple y con contraste</t>
    </r>
  </si>
  <si>
    <r>
      <rPr>
        <sz val="10"/>
        <rFont val="Calibri"/>
        <family val="2"/>
        <scheme val="minor"/>
      </rPr>
      <t>Cisternografía</t>
    </r>
  </si>
  <si>
    <r>
      <rPr>
        <sz val="10"/>
        <rFont val="Calibri"/>
        <family val="2"/>
        <scheme val="minor"/>
      </rPr>
      <t>Silla turca u oído (incluye cortes axiales y coronales)</t>
    </r>
  </si>
  <si>
    <r>
      <rPr>
        <sz val="10"/>
        <rFont val="Calibri"/>
        <family val="2"/>
        <scheme val="minor"/>
      </rPr>
      <t>Senos paranasales o rinofaringe (incluye cortes axiales y coronales)</t>
    </r>
  </si>
  <si>
    <r>
      <rPr>
        <sz val="10"/>
        <rFont val="Calibri"/>
        <family val="2"/>
        <scheme val="minor"/>
      </rPr>
      <t>Órbitas (incluye cortes axiales y coronales)</t>
    </r>
  </si>
  <si>
    <r>
      <rPr>
        <sz val="10"/>
        <rFont val="Calibri"/>
        <family val="2"/>
        <scheme val="minor"/>
      </rPr>
      <t>Columna cervical, dorsal o lumbar (hasta tres espacios)</t>
    </r>
  </si>
  <si>
    <r>
      <rPr>
        <sz val="10"/>
        <rFont val="Calibri"/>
        <family val="2"/>
        <scheme val="minor"/>
      </rPr>
      <t>Columna cervical, dorsal o lumbar (espacio adicional)</t>
    </r>
  </si>
  <si>
    <r>
      <rPr>
        <sz val="10"/>
        <rFont val="Calibri"/>
        <family val="2"/>
        <scheme val="minor"/>
      </rPr>
      <t>Laringe o cuello</t>
    </r>
  </si>
  <si>
    <r>
      <rPr>
        <sz val="10"/>
        <rFont val="Calibri"/>
        <family val="2"/>
        <scheme val="minor"/>
      </rPr>
      <t>Laringe y cuello</t>
    </r>
  </si>
  <si>
    <r>
      <rPr>
        <sz val="10"/>
        <rFont val="Calibri"/>
        <family val="2"/>
        <scheme val="minor"/>
      </rPr>
      <t>Tórax</t>
    </r>
  </si>
  <si>
    <r>
      <rPr>
        <sz val="10"/>
        <rFont val="Calibri"/>
        <family val="2"/>
        <scheme val="minor"/>
      </rPr>
      <t>Abdomen superior</t>
    </r>
  </si>
  <si>
    <r>
      <rPr>
        <sz val="10"/>
        <rFont val="Calibri"/>
        <family val="2"/>
        <scheme val="minor"/>
      </rPr>
      <t>Pelvis</t>
    </r>
  </si>
  <si>
    <r>
      <rPr>
        <sz val="10"/>
        <rFont val="Calibri"/>
        <family val="2"/>
        <scheme val="minor"/>
      </rPr>
      <t>Abdomen total</t>
    </r>
  </si>
  <si>
    <r>
      <rPr>
        <sz val="10"/>
        <rFont val="Calibri"/>
        <family val="2"/>
        <scheme val="minor"/>
      </rPr>
      <t>Extremidades y articulaciones</t>
    </r>
  </si>
  <si>
    <r>
      <rPr>
        <sz val="10"/>
        <rFont val="Calibri"/>
        <family val="2"/>
        <scheme val="minor"/>
      </rPr>
      <t>Articulación temporo mandibular (bilateral)</t>
    </r>
  </si>
  <si>
    <r>
      <rPr>
        <sz val="10"/>
        <rFont val="Calibri"/>
        <family val="2"/>
        <scheme val="minor"/>
      </rPr>
      <t>Osteodensitometría</t>
    </r>
  </si>
  <si>
    <r>
      <rPr>
        <sz val="10"/>
        <rFont val="Calibri"/>
        <family val="2"/>
        <scheme val="minor"/>
      </rPr>
      <t>Complemento a mielografía (cada segmento)</t>
    </r>
  </si>
  <si>
    <r>
      <rPr>
        <sz val="10"/>
        <rFont val="Calibri"/>
        <family val="2"/>
        <scheme val="minor"/>
      </rPr>
      <t>Anteversión femoral o tibial, axiales de rótula, medida de longitud de miembros inferiores</t>
    </r>
  </si>
  <si>
    <r>
      <rPr>
        <sz val="10"/>
        <rFont val="Calibri"/>
        <family val="2"/>
        <scheme val="minor"/>
      </rPr>
      <t>Guía escanográfica para procedimientos intervencionistas; a la zona agregar:</t>
    </r>
  </si>
  <si>
    <r>
      <rPr>
        <sz val="10"/>
        <rFont val="Calibri"/>
        <family val="2"/>
        <scheme val="minor"/>
      </rPr>
      <t>Reconstrucción tridimensional, agregar al costo del examen:</t>
    </r>
  </si>
  <si>
    <r>
      <rPr>
        <sz val="10"/>
        <rFont val="Calibri"/>
        <family val="2"/>
        <scheme val="minor"/>
      </rPr>
      <t>Peñasco, conductos auditivos internos</t>
    </r>
  </si>
  <si>
    <r>
      <rPr>
        <b/>
        <sz val="10"/>
        <rFont val="Calibri"/>
        <family val="2"/>
        <scheme val="minor"/>
      </rPr>
      <t>ARTÍCULO 23: Las tarifas establecidas en Salarios Mínimos Legales  Diarios vigentes para los procedimientos de radiología, son:</t>
    </r>
  </si>
  <si>
    <r>
      <rPr>
        <b/>
        <sz val="10"/>
        <rFont val="Calibri"/>
        <family val="2"/>
        <scheme val="minor"/>
      </rPr>
      <t>1  HUESOS EXTREMIDADES Y PELVIS</t>
    </r>
  </si>
  <si>
    <r>
      <rPr>
        <b/>
        <sz val="10"/>
        <rFont val="Calibri"/>
        <family val="2"/>
        <scheme val="minor"/>
      </rPr>
      <t>CRÁNEO, CARA Y CUELLO</t>
    </r>
  </si>
  <si>
    <r>
      <rPr>
        <b/>
        <sz val="10"/>
        <rFont val="Calibri"/>
        <family val="2"/>
        <scheme val="minor"/>
      </rPr>
      <t>COLUMNA VERTEBRAL</t>
    </r>
  </si>
  <si>
    <r>
      <rPr>
        <b/>
        <sz val="10"/>
        <rFont val="Calibri"/>
        <family val="2"/>
        <scheme val="minor"/>
      </rPr>
      <t>2.  TÓRAX</t>
    </r>
  </si>
  <si>
    <r>
      <rPr>
        <b/>
        <sz val="10"/>
        <rFont val="Calibri"/>
        <family val="2"/>
        <scheme val="minor"/>
      </rPr>
      <t>3.  ABDOMEN</t>
    </r>
  </si>
  <si>
    <r>
      <rPr>
        <b/>
        <sz val="10"/>
        <rFont val="Calibri"/>
        <family val="2"/>
        <scheme val="minor"/>
      </rPr>
      <t>ABDOMEN Y GENITO URINARIO</t>
    </r>
  </si>
  <si>
    <r>
      <rPr>
        <b/>
        <sz val="10"/>
        <rFont val="Calibri"/>
        <family val="2"/>
        <scheme val="minor"/>
      </rPr>
      <t>VÍAS BILIARES</t>
    </r>
  </si>
  <si>
    <r>
      <rPr>
        <b/>
        <sz val="10"/>
        <rFont val="Calibri"/>
        <family val="2"/>
        <scheme val="minor"/>
      </rPr>
      <t>VÍAS DIGESTIVAS</t>
    </r>
  </si>
  <si>
    <r>
      <rPr>
        <b/>
        <sz val="10"/>
        <rFont val="Calibri"/>
        <family val="2"/>
        <scheme val="minor"/>
      </rPr>
      <t>4.  EXÁMENES ESPECIALES</t>
    </r>
  </si>
  <si>
    <r>
      <rPr>
        <b/>
        <sz val="10"/>
        <rFont val="Calibri"/>
        <family val="2"/>
        <scheme val="minor"/>
      </rPr>
      <t>ABDOMEN</t>
    </r>
  </si>
  <si>
    <r>
      <rPr>
        <b/>
        <sz val="10"/>
        <rFont val="Calibri"/>
        <family val="2"/>
        <scheme val="minor"/>
      </rPr>
      <t>ARTICULACIONES</t>
    </r>
  </si>
  <si>
    <t>Portátiles con fluoroscopia y/o intensificador de imagen (practicado en quirófanos); al valor del estudio, agregar:</t>
  </si>
  <si>
    <t>Portátiles sin fluoroscopia e intensificador de imágenes (practicado en habitación, UCI, RN o quirófanos); al valor del estudio, agregar:</t>
  </si>
  <si>
    <r>
      <rPr>
        <b/>
        <sz val="10"/>
        <rFont val="Calibri"/>
        <family val="2"/>
        <scheme val="minor"/>
      </rPr>
      <t>NEURO RADIOLOGIA</t>
    </r>
  </si>
  <si>
    <r>
      <rPr>
        <b/>
        <sz val="10"/>
        <rFont val="Calibri"/>
        <family val="2"/>
        <scheme val="minor"/>
      </rPr>
      <t>CARDIOVASCULAR</t>
    </r>
  </si>
  <si>
    <r>
      <rPr>
        <b/>
        <sz val="10"/>
        <rFont val="Calibri"/>
        <family val="2"/>
        <scheme val="minor"/>
      </rPr>
      <t>RESPIRATORIO,  OTORRINILARINGOLOGÍA Y OFTALMOLOGÍA</t>
    </r>
  </si>
  <si>
    <r>
      <rPr>
        <b/>
        <sz val="10"/>
        <rFont val="Calibri"/>
        <family val="2"/>
        <scheme val="minor"/>
      </rPr>
      <t>ARTERIOGRAFÍAS DIAGNÓSTICAS DE CABEZA Y CUELLO</t>
    </r>
  </si>
  <si>
    <r>
      <rPr>
        <b/>
        <sz val="10"/>
        <rFont val="Calibri"/>
        <family val="2"/>
        <scheme val="minor"/>
      </rPr>
      <t>7.  TOMOGRAFÍA COMPUTARIZADA</t>
    </r>
  </si>
  <si>
    <r>
      <rPr>
        <b/>
        <sz val="10"/>
        <rFont val="Calibri"/>
        <family val="2"/>
        <scheme val="minor"/>
      </rPr>
      <t>6.  PORTÁTILES</t>
    </r>
  </si>
  <si>
    <r>
      <rPr>
        <b/>
        <sz val="10"/>
        <rFont val="Calibri"/>
        <family val="2"/>
        <scheme val="minor"/>
      </rPr>
      <t>5 OTROS PROCEDIMIENTOS INTERVENCIONISTAS Y/O TERAPÉUTICOS</t>
    </r>
  </si>
  <si>
    <t>1  SISTEMA ENDOCRINO</t>
  </si>
  <si>
    <t>Captación de Iodo 131  por tiroides a  4.  y/o  24  horas</t>
  </si>
  <si>
    <t>Gamagrafía de tiroides</t>
  </si>
  <si>
    <t>Rastreo de metástasis</t>
  </si>
  <si>
    <t>Estudio de feocromocitoma</t>
  </si>
  <si>
    <t>Terapia de CA de tiroides</t>
  </si>
  <si>
    <t>Terapia de hipertiroidismo</t>
  </si>
  <si>
    <t>Gamagrafía de glándulas paratiroides con Tl y Tc</t>
  </si>
  <si>
    <t>Prueba de supresión (retenciones)</t>
  </si>
  <si>
    <t>Test de perclorato</t>
  </si>
  <si>
    <t>Gamagrafía de suprarrenales con Iodo colesterol</t>
  </si>
  <si>
    <t>2.  SISTEMA HEMATOPOYÉTICO Y LINFÁTICO</t>
  </si>
  <si>
    <t>Volúmen plasmático</t>
  </si>
  <si>
    <t>Volúmen de glóbulos rojos</t>
  </si>
  <si>
    <t>Vida media de glóbulos rojos</t>
  </si>
  <si>
    <t>Estudio de ferrocinética</t>
  </si>
  <si>
    <t>Gamagrafía esplénica</t>
  </si>
  <si>
    <t>Gamagrafía ganglios linfáticos</t>
  </si>
  <si>
    <t>Gamagrafía de médula ósea</t>
  </si>
  <si>
    <t>Vida media del hierro</t>
  </si>
  <si>
    <t>Test de Shilling</t>
  </si>
  <si>
    <t>3.  SISTEMA GASTROINTESTINAL</t>
  </si>
  <si>
    <t>Gamagrafía hepatoesplénica</t>
  </si>
  <si>
    <t>Pool sanguíneo hepático</t>
  </si>
  <si>
    <t>Gamagrafía hepatobiliar (IDA)</t>
  </si>
  <si>
    <t>Investigación de hemorragia digestiva</t>
  </si>
  <si>
    <t>Estudio de glándulas salivares</t>
  </si>
  <si>
    <t>Investigación de divertículo de Meckel</t>
  </si>
  <si>
    <t>Investigación de reflujo gastroesofágico</t>
  </si>
  <si>
    <t>Investigación de vaciamiento gástrico</t>
  </si>
  <si>
    <t>Tránsito esofágico</t>
  </si>
  <si>
    <t>Investigación de reflujo biliar</t>
  </si>
  <si>
    <t>Gamagrafía combinada de hígado y pulmón</t>
  </si>
  <si>
    <t>4.  SISTEMA NERVIOSO</t>
  </si>
  <si>
    <t>Gamagrafía cerebral estática</t>
  </si>
  <si>
    <t>Gamagrafía cerebral perfusoria</t>
  </si>
  <si>
    <t>Cisternografía</t>
  </si>
  <si>
    <t>Evaluación de derivaciones</t>
  </si>
  <si>
    <t>Gamagrafía y perfusión cerebral</t>
  </si>
  <si>
    <t>5.  SISTEMA CARDIOVASCULAR</t>
  </si>
  <si>
    <t>Gamagrafía de pool sanguíneo</t>
  </si>
  <si>
    <t>Análisis de primer paso (detección de Shunts)</t>
  </si>
  <si>
    <t>Fracción de eyección VI</t>
  </si>
  <si>
    <t>Fracción de eyección VD</t>
  </si>
  <si>
    <t>Fracción de eyección con motilidad del miocardio en reposo</t>
  </si>
  <si>
    <t>Fracción de eyección con motilidad del miocardio en reposo y post ejercicio</t>
  </si>
  <si>
    <t>Perfusión miocárdica con isonitrilos en reposo</t>
  </si>
  <si>
    <t>Perfusión miocárdica con isonitrilos en reposo y post ejercicio</t>
  </si>
  <si>
    <t>Gamagrafía de miocardio con pirofosfatos</t>
  </si>
  <si>
    <t>Estudios vasculares arteriales (Perfusión)</t>
  </si>
  <si>
    <t>Venografía</t>
  </si>
  <si>
    <t>6.  SISTEMA RESPIRATORIO</t>
  </si>
  <si>
    <t>Gamagrafía Pulmonar, Perfusión</t>
  </si>
  <si>
    <t>Gamagrafía Pulmonar, ventilación</t>
  </si>
  <si>
    <t>Búsqueda de hemorragia Pulmonar</t>
  </si>
  <si>
    <t>Gamagrafía Pulmonar, Perfusión y ventilación</t>
  </si>
  <si>
    <t>7.  SISTEMA GENITOURINARIO (NEFROLOGÍA)</t>
  </si>
  <si>
    <t>Renograma secuencial</t>
  </si>
  <si>
    <t>Renograma secuencial con filtración glomerular</t>
  </si>
  <si>
    <t>Flujo plasmático renal efectivo</t>
  </si>
  <si>
    <t>Residuo vesical (sondas)</t>
  </si>
  <si>
    <t>Filtración glomerular</t>
  </si>
  <si>
    <t>Gamagrafía de perfusión testicular</t>
  </si>
  <si>
    <t>Cistografía</t>
  </si>
  <si>
    <t>Renograma basal y post captopril</t>
  </si>
  <si>
    <t>Gamagrafía renal estática DMSA</t>
  </si>
  <si>
    <t>Perfusión renal</t>
  </si>
  <si>
    <t>8.  SISTEMA OSTEOARTICULAR</t>
  </si>
  <si>
    <t>Gamagrafía ósea segmentaria</t>
  </si>
  <si>
    <t>Gamagrafía ósea corporal total</t>
  </si>
  <si>
    <t>9.  OTROS</t>
  </si>
  <si>
    <t>Dacriocistografia o Gamagrafía vías lagrimales</t>
  </si>
  <si>
    <t>Gamagrafía para detección de galio 67</t>
  </si>
  <si>
    <t>Cistometrograma</t>
  </si>
  <si>
    <t>Estudio completo de impotencia (incluye: falodinamia y estudio vascular)</t>
  </si>
  <si>
    <t>Cistometría</t>
  </si>
  <si>
    <t>Uroflujometría</t>
  </si>
  <si>
    <t>Cambio de cateter urinario</t>
  </si>
  <si>
    <t>Bloqueo de nervios pudendos</t>
  </si>
  <si>
    <t>Esfinteromanometría</t>
  </si>
  <si>
    <t>Perfíl de presión uretral</t>
  </si>
  <si>
    <t>Estudio de urodinamia standard (uroflujometría, electromiografia esfinteriana y cistometría)</t>
  </si>
  <si>
    <t>Estudio de urodinamia con test de fentolamina</t>
  </si>
  <si>
    <t>Estudio de urodinamia con test de betanecol</t>
  </si>
  <si>
    <t>Estudio de urodinamia con test de diazepán</t>
  </si>
  <si>
    <t>Perfíl de presión uretral con test de denervación uretral</t>
  </si>
  <si>
    <t>Aspiración vesical suprapúbica</t>
  </si>
  <si>
    <t>Cateterismo vesical</t>
  </si>
  <si>
    <t>Instilación vesical</t>
  </si>
  <si>
    <t>Litotricia extracorpórea para cálculos complejos (coraliformes) Costo atención integral</t>
  </si>
  <si>
    <t>Litotricia extracorpórea para cálculos simples (piélico, calicial y ureteral único) Costo atención integral</t>
  </si>
  <si>
    <t>Manometría piélica</t>
  </si>
  <si>
    <t>Dilatación uretral (sesión)</t>
  </si>
  <si>
    <r>
      <rPr>
        <b/>
        <sz val="10"/>
        <rFont val="Calibri"/>
        <family val="2"/>
        <scheme val="minor"/>
      </rPr>
      <t>ARTÍCULO 25</t>
    </r>
    <r>
      <rPr>
        <sz val="10"/>
        <rFont val="Calibri"/>
        <family val="2"/>
        <scheme val="minor"/>
      </rPr>
      <t>: Las tarifas establecidas en Salarios Mínimos Legales diarios vigentes para exámenes y procediientos de nefrología y urología, son las siguientes:</t>
    </r>
  </si>
  <si>
    <r>
      <t xml:space="preserve">ARTÍCULO 26.- </t>
    </r>
    <r>
      <rPr>
        <sz val="10"/>
        <rFont val="Calibri"/>
        <family val="2"/>
        <scheme val="minor"/>
      </rPr>
      <t>Las Tarifas establecidas en Salarios Mínimos Legales Diarios Vigentes para Exámenes y Procedimientos de Neumología son las siguientes:</t>
    </r>
  </si>
  <si>
    <t>Espirometría simple</t>
  </si>
  <si>
    <t>Espirometría simple y con broncodilatadores</t>
  </si>
  <si>
    <t>Espirometría simple mas capacidad residual funcional</t>
  </si>
  <si>
    <t>Espirometría simple mas volúmen respiratorio y capacidad pulmonar total (incluye: radiografía de tórax AP y LAT)</t>
  </si>
  <si>
    <t>Espirometría simple mas difusión de monóxido de carbono</t>
  </si>
  <si>
    <t>Gasimetría arterial (cada muestra)</t>
  </si>
  <si>
    <t>Espirometría simple mas difusión de monóxido de carbono y gasimetría arterial</t>
  </si>
  <si>
    <t>Volúmen de cierre</t>
  </si>
  <si>
    <t>Curva de flujo de volúmen</t>
  </si>
  <si>
    <t>Curva de flujo de volúmen pre y post-broncodilatadores</t>
  </si>
  <si>
    <t>Estudio fisiológico del sueño</t>
  </si>
  <si>
    <t>Test de broncomotricidad</t>
  </si>
  <si>
    <t>Respuesta ventilatoria a la hipoxia, hiperoxia e hipercapnia</t>
  </si>
  <si>
    <t>Medición presión inspiratoria y respiratoria máxima</t>
  </si>
  <si>
    <t>Gases arteriales y venosos mixtos, determinación de contenidos, D (a v)  02, extracción periférica y aporte de O2</t>
  </si>
  <si>
    <t>Mecánica respiratoria, pletismografía inductiva tórax y abdomen, fuerza y resistencia de músculo respiratorio</t>
  </si>
  <si>
    <t>Resistencia total de vías aéreas</t>
  </si>
  <si>
    <t>Distensibilidad pulmonar</t>
  </si>
  <si>
    <t>ErgoEspirometría completa, (MV,BF,FCO2, RQ, HR, VO2, VCO2, FO2, VO2/HR, VO2/KG, MET, EQO2)</t>
  </si>
  <si>
    <t>Cálculo de consumo de oxígeno</t>
  </si>
  <si>
    <t>Punción pleural</t>
  </si>
  <si>
    <t>Curva de hiperoxia (5  muestras de arteriales con oxígeno al  100%)</t>
  </si>
  <si>
    <t>Test de ejercicio pulmonar</t>
  </si>
  <si>
    <t>Saturación percutánea de CO2</t>
  </si>
  <si>
    <t>Oximetría de pulso</t>
  </si>
  <si>
    <r>
      <rPr>
        <sz val="10"/>
        <rFont val="Calibri"/>
        <family val="2"/>
        <scheme val="minor"/>
      </rPr>
      <t>Gases alveolares (gases arteriales, cocientes respiratorios, cálculo espacios muertos en reposo y en esfuerzo y
cálculo consumo de oxígeno)</t>
    </r>
  </si>
  <si>
    <t>Estudio electrofisiológico transesofagico</t>
  </si>
  <si>
    <t>Estudio electrofisiológico convencional (no incluye cateterismo)</t>
  </si>
  <si>
    <t>Electrocardiograma</t>
  </si>
  <si>
    <t>Pericardiocentesis</t>
  </si>
  <si>
    <t>Prueba ergométrica o test de ejercicio</t>
  </si>
  <si>
    <t>Fonocardiograma y pulsos</t>
  </si>
  <si>
    <t>Ecocardiograma modo M</t>
  </si>
  <si>
    <t>Ecocardiograma modo M y bidimensional</t>
  </si>
  <si>
    <t>Ecocardiograma modo M, bidimensional y doppler</t>
  </si>
  <si>
    <t>Ecocardiograma modo M, bidimensional y doppler color</t>
  </si>
  <si>
    <t>Ecocardiograma modo M, bidimensional y doppler color intraoperatorio</t>
  </si>
  <si>
    <t>Ecocardiograma transesofágico</t>
  </si>
  <si>
    <t>Vectocardiograma</t>
  </si>
  <si>
    <t>Cateterismo derecho, con o sin angiografía</t>
  </si>
  <si>
    <t>Cateterismo izquierdo, con o sin angiografía</t>
  </si>
  <si>
    <t>Cateterismo izquierdo y derecho, con o sin angiografía</t>
  </si>
  <si>
    <t>Cateterismo transeptal + cateterismo izquierdo y derecho</t>
  </si>
  <si>
    <t>Coronariografía (incluye: cateterismo izquierdo, ventriculografía)</t>
  </si>
  <si>
    <t>Coronariografía + cateterismo derecho</t>
  </si>
  <si>
    <t>Auriculograma izquierdo y/o Arteriografía pulmonar (incluye cateterismo derecho)</t>
  </si>
  <si>
    <t>Arteriografía selectiva no coronaria</t>
  </si>
  <si>
    <t>Arteriografía renal</t>
  </si>
  <si>
    <t>Arteriografía abdominal</t>
  </si>
  <si>
    <t>Arteriografía periférica</t>
  </si>
  <si>
    <t>Implantación de marcapaso Tránsitorio</t>
  </si>
  <si>
    <t>Implantacion de marcapaso definitivo con electrodo venoso</t>
  </si>
  <si>
    <t>Electrocardiografía dinámica de  24  horas (Holter)</t>
  </si>
  <si>
    <t>Angioplastia coronaria (Incluye: colocación marcapaso y coronariografía post angioplastia inmediata)</t>
  </si>
  <si>
    <t>Angioplastia periférica (Incluye: arteriografía post angioplastia)</t>
  </si>
  <si>
    <t>Valvuloplastia con balón</t>
  </si>
  <si>
    <t>Trombólisis intracoronaria</t>
  </si>
  <si>
    <t>Implantación de dispositivo en vena cava inferior</t>
  </si>
  <si>
    <t>Aterectomía con cateter</t>
  </si>
  <si>
    <t>Implantación de Stent en arteria periférica</t>
  </si>
  <si>
    <t>Implantación de Stent intracoronario</t>
  </si>
  <si>
    <t>Ablacion por cateter de focos arritmogénicos (sin cateterismo)</t>
  </si>
  <si>
    <t>Cardioversión eléctrica de paciente en tratamiento no quirúrgico</t>
  </si>
  <si>
    <t>Colocación cateter de Swan Ganz</t>
  </si>
  <si>
    <t>Extracción cuerpo extraño intravascular</t>
  </si>
  <si>
    <t>Reprogramación de marcapaso</t>
  </si>
  <si>
    <t>Ecocardiograma de ejercicio (2  modo M, bidimensional y doppler, mas prueba ergométrica)</t>
  </si>
  <si>
    <t>Monitoreo de presión arterial por  24  horas, en paciente ambulatorio</t>
  </si>
  <si>
    <t>Estudio de potenciales tardíos</t>
  </si>
  <si>
    <t>Mapeo intracoronario con estudio post  operatorio</t>
  </si>
  <si>
    <t>Evaluación funcional sinusal</t>
  </si>
  <si>
    <t>Evaluación conducción AV</t>
  </si>
  <si>
    <t>Estimulación auricular</t>
  </si>
  <si>
    <t>Cierre de ductus por dispositivo de sombrilla</t>
  </si>
  <si>
    <t>Cierre de CIA por dispositivo de sombrilla</t>
  </si>
  <si>
    <t>Ecocardiografía de stress farmacológico</t>
  </si>
  <si>
    <t>Potenciales EKG  y/o electrocardiografía de alta resolucion</t>
  </si>
  <si>
    <t>Electroencefalograma</t>
  </si>
  <si>
    <t>Electroencefalograma con electrodos nasofaríngeos</t>
  </si>
  <si>
    <t>Potenciales evocados (visual, auditivo o somato-somato sensorial)</t>
  </si>
  <si>
    <t>Punción lumbar</t>
  </si>
  <si>
    <t>Bloqueo nervio periférico</t>
  </si>
  <si>
    <t>Bloqueo nervio simpático</t>
  </si>
  <si>
    <t>Bloqueo seno carotideo</t>
  </si>
  <si>
    <t>Bloqueo nervio vago</t>
  </si>
  <si>
    <t>Bloqueo regional continuo; incluye controles</t>
  </si>
  <si>
    <t>Bloqueo plejo braquial</t>
  </si>
  <si>
    <t>Bloqueo unión mononeural</t>
  </si>
  <si>
    <t>Bloqueo para cervical</t>
  </si>
  <si>
    <t>Bloqueo nervio frénico</t>
  </si>
  <si>
    <t>Bloqueo plejo celiaco</t>
  </si>
  <si>
    <t>Estudio polisomnografico</t>
  </si>
  <si>
    <t>Electrocorticografía</t>
  </si>
  <si>
    <t>Telemetría (hora de examen)</t>
  </si>
  <si>
    <r>
      <rPr>
        <b/>
        <sz val="10"/>
        <color rgb="FF000000"/>
        <rFont val="Calibri"/>
        <family val="2"/>
        <scheme val="minor"/>
      </rPr>
      <t xml:space="preserve">ARTÍCULO 29: </t>
    </r>
    <r>
      <rPr>
        <sz val="10"/>
        <color rgb="FF000000"/>
        <rFont val="Calibri"/>
        <family val="2"/>
        <scheme val="minor"/>
      </rPr>
      <t>Las tarifas establecidas en Salarios Mínimos Legales Diarios Vigentes para Otorrinolaringología, son las siguientes:</t>
    </r>
  </si>
  <si>
    <t>Audiometría de Bekesy</t>
  </si>
  <si>
    <t>Audiometría tonal</t>
  </si>
  <si>
    <t>Audiometría verbal (logoAudiometría)</t>
  </si>
  <si>
    <t>Audiometría de tallo cerebral</t>
  </si>
  <si>
    <t>Pruebas de reclutamiento (SISI TDT) c/u</t>
  </si>
  <si>
    <t>Pruebas de fatiga (Tone Decay, etc.) c/u</t>
  </si>
  <si>
    <t>Estudio vestibular con foto electronistagmografía</t>
  </si>
  <si>
    <t>Adaptación de audífono</t>
  </si>
  <si>
    <t>Punción seno maxilar</t>
  </si>
  <si>
    <t>Impedanciometría</t>
  </si>
  <si>
    <t>Nebulizaciones c/u</t>
  </si>
  <si>
    <t>Proetz (desplazamiento) c/u</t>
  </si>
  <si>
    <t>Acufenometría (inhibición residual)</t>
  </si>
  <si>
    <t>Rinomanometría</t>
  </si>
  <si>
    <t>Lavado de oídos</t>
  </si>
  <si>
    <t>Curación de oído (bajo microscopio)</t>
  </si>
  <si>
    <t>Valoración eléctrica de nervio facial (prueba de Hilger)</t>
  </si>
  <si>
    <t>Drenaje absceso simple o hematoma de oído externo</t>
  </si>
  <si>
    <t>Extracción cuerpo extraño conducto auditivo externo, sin incisión</t>
  </si>
  <si>
    <t>Extracción cuerpo extraño nariz</t>
  </si>
  <si>
    <t>Taponamiento nasal anterior</t>
  </si>
  <si>
    <t>Taponamiento nasal posterior</t>
  </si>
  <si>
    <t>Drenaje absceso periamigdalino</t>
  </si>
  <si>
    <t>Electronistagmografía</t>
  </si>
  <si>
    <t>Curación nariz o senos paranasales</t>
  </si>
  <si>
    <t>Infiltración de cornetes</t>
  </si>
  <si>
    <t>Pruebas vestibulares calóricas y/o térmicas</t>
  </si>
  <si>
    <t>Criocoagulación de cornetes</t>
  </si>
  <si>
    <t>Electrococleografía</t>
  </si>
  <si>
    <t>Electrocoagulación de mucosa nasal</t>
  </si>
  <si>
    <t>Sialometría</t>
  </si>
  <si>
    <r>
      <t>ARTÍCULO 30:</t>
    </r>
    <r>
      <rPr>
        <sz val="10"/>
        <color rgb="FF000000"/>
        <rFont val="Calibri"/>
        <family val="2"/>
        <scheme val="minor"/>
      </rPr>
      <t xml:space="preserve"> Las tarifas establecidas en Salarios Mínimos Legales Diarios Vigentes para oftalmología, son las siguientes:</t>
    </r>
  </si>
  <si>
    <r>
      <rPr>
        <b/>
        <sz val="10"/>
        <rFont val="Calibri"/>
        <family val="2"/>
        <scheme val="minor"/>
      </rPr>
      <t>ARTÍCULO 27</t>
    </r>
    <r>
      <rPr>
        <sz val="10"/>
        <rFont val="Calibri"/>
        <family val="2"/>
        <scheme val="minor"/>
      </rPr>
      <t>: Las tarifas establecidas en Salarios Mínimos Legales Diarios Vigentes para exámenes y procedimientos de Cardiología y Hemodinamia, son las siguientes:</t>
    </r>
  </si>
  <si>
    <t>Ultrasonografía</t>
  </si>
  <si>
    <t>Angiofluoresceinografía unilateral, con fotografías a color de segmento posterior</t>
  </si>
  <si>
    <t>Tomografía con pruebas provocativas</t>
  </si>
  <si>
    <t>Campo visual central y periférico bilateral</t>
  </si>
  <si>
    <t>Sondeo vías lagrimales (mínimo  3.  sesiones), incluye: estricturotomía</t>
  </si>
  <si>
    <t>Cauterización de puntos lagrimales</t>
  </si>
  <si>
    <t>Electrólisis de pestañas</t>
  </si>
  <si>
    <t>Extracción cuerpo extraño de la conjuntiva</t>
  </si>
  <si>
    <t>Curetaje de la conjuntiva o córnea</t>
  </si>
  <si>
    <t>Inyección sub conjuntival</t>
  </si>
  <si>
    <t>Drenaje absceso córnea</t>
  </si>
  <si>
    <t>Extracción cuerpo extraño superficial de córnea</t>
  </si>
  <si>
    <t>Extracción cuerpo extraño superficial de esclerótica</t>
  </si>
  <si>
    <t>Examen optométrico</t>
  </si>
  <si>
    <t>Evaluación ortóptica</t>
  </si>
  <si>
    <t>Evaluación y tratamiento ortóptico (sesión)</t>
  </si>
  <si>
    <t>Evaluación y tratamiento pleóptico (sesión)</t>
  </si>
  <si>
    <t>Topografía corneal computarizada, unilateral</t>
  </si>
  <si>
    <t>Recuento de células endoteliales</t>
  </si>
  <si>
    <t>Betaterapia   sesión</t>
  </si>
  <si>
    <t>Paquimetría (unilateral)</t>
  </si>
  <si>
    <t>Biometría ocular (unilateral)</t>
  </si>
  <si>
    <t>Electrorretinografía (bilateral)</t>
  </si>
  <si>
    <t>Electrooculograma (bilateral)</t>
  </si>
  <si>
    <t>Interferometría (unilateral)</t>
  </si>
  <si>
    <t>Interferometría (bilateral)</t>
  </si>
  <si>
    <t>Fotografía a color de segmento posterior (unilateral)</t>
  </si>
  <si>
    <t>Campo visual computarizado (bilateral)</t>
  </si>
  <si>
    <t>Drenaje absceso palpebral</t>
  </si>
  <si>
    <t>Drenaje chalazión</t>
  </si>
  <si>
    <t>Fotocoagulación con Yag láser (capsulotomía, iridectomía ruptura de bandas)</t>
  </si>
  <si>
    <t>Fotocoagulación, con láser de argón o kriptón</t>
  </si>
  <si>
    <t>Panfotocoagulación de retina, con láser de argón o kriptón</t>
  </si>
  <si>
    <t>Fotocoagulación de conjuntiva con láser</t>
  </si>
  <si>
    <t>1.  PROCESAMIENTO DE SANGRE Y DERIVADOS</t>
  </si>
  <si>
    <r>
      <t xml:space="preserve">ARTÍCULO 32: </t>
    </r>
    <r>
      <rPr>
        <sz val="10"/>
        <color rgb="FF000000"/>
        <rFont val="Calibri"/>
        <family val="2"/>
        <scheme val="minor"/>
      </rPr>
      <t>Las tarifas establecidas en Salarios Mínimos Legales Diarios Vigentes para los procedimientos de Banco de Sangre, son las siguientes.</t>
    </r>
  </si>
  <si>
    <r>
      <rPr>
        <sz val="10"/>
        <rFont val="Calibri"/>
        <family val="2"/>
        <scheme val="minor"/>
      </rPr>
      <t>Unidad de crioprecipitados</t>
    </r>
  </si>
  <si>
    <r>
      <rPr>
        <sz val="10"/>
        <rFont val="Calibri"/>
        <family val="2"/>
        <scheme val="minor"/>
      </rPr>
      <t>Unidad de plaquetas</t>
    </r>
  </si>
  <si>
    <r>
      <rPr>
        <sz val="10"/>
        <rFont val="Calibri"/>
        <family val="2"/>
        <scheme val="minor"/>
      </rPr>
      <t>Unidad de plasma o plasma fresco</t>
    </r>
  </si>
  <si>
    <r>
      <rPr>
        <sz val="10"/>
        <rFont val="Calibri"/>
        <family val="2"/>
        <scheme val="minor"/>
      </rPr>
      <t>Unidad de glóbulos rojos</t>
    </r>
  </si>
  <si>
    <r>
      <rPr>
        <sz val="10"/>
        <rFont val="Calibri"/>
        <family val="2"/>
        <scheme val="minor"/>
      </rPr>
      <t>Unidad de sangre pobre en leucocitos</t>
    </r>
  </si>
  <si>
    <r>
      <rPr>
        <sz val="10"/>
        <rFont val="Calibri"/>
        <family val="2"/>
        <scheme val="minor"/>
      </rPr>
      <t>Unidad de sangre total</t>
    </r>
  </si>
  <si>
    <r>
      <rPr>
        <sz val="10"/>
        <rFont val="Calibri"/>
        <family val="2"/>
        <scheme val="minor"/>
      </rPr>
      <t>Plasmaféresis, leucoféresis, plaquetaféresis o eritroféresis</t>
    </r>
  </si>
  <si>
    <r>
      <rPr>
        <sz val="10"/>
        <rFont val="Calibri"/>
        <family val="2"/>
        <scheme val="minor"/>
      </rPr>
      <t>Autotransfusión</t>
    </r>
  </si>
  <si>
    <r>
      <rPr>
        <sz val="10"/>
        <rFont val="Calibri"/>
        <family val="2"/>
        <scheme val="minor"/>
      </rPr>
      <t>Unidad de glóbulos rojos lavados</t>
    </r>
  </si>
  <si>
    <r>
      <rPr>
        <sz val="10"/>
        <rFont val="Calibri"/>
        <family val="2"/>
        <scheme val="minor"/>
      </rPr>
      <t>Concentrado de leucocitos</t>
    </r>
  </si>
  <si>
    <t>2.  APLICACIÓN DE SANGRE Y DERIVADOS</t>
  </si>
  <si>
    <r>
      <rPr>
        <sz val="10"/>
        <rFont val="Calibri"/>
        <family val="2"/>
        <scheme val="minor"/>
      </rPr>
      <t>Aplicación de crioprecipitados, plaquetas o plasma</t>
    </r>
  </si>
  <si>
    <r>
      <rPr>
        <sz val="10"/>
        <rFont val="Calibri"/>
        <family val="2"/>
        <scheme val="minor"/>
      </rPr>
      <t>Aplicación de glóbulos rojos o sangre, en paciente hospitalizado</t>
    </r>
  </si>
  <si>
    <r>
      <rPr>
        <sz val="10"/>
        <rFont val="Calibri"/>
        <family val="2"/>
        <scheme val="minor"/>
      </rPr>
      <t>Aplicación de glóbulos rojos o sangre, en paciente ambulatorio</t>
    </r>
  </si>
  <si>
    <r>
      <rPr>
        <sz val="10"/>
        <rFont val="Calibri"/>
        <family val="2"/>
        <scheme val="minor"/>
      </rPr>
      <t>Aplicación de glóbulos rojos o sangre, en el domicilio paciente</t>
    </r>
  </si>
  <si>
    <r>
      <rPr>
        <sz val="10"/>
        <rFont val="Calibri"/>
        <family val="2"/>
        <scheme val="minor"/>
      </rPr>
      <t>Exanguíneo   transfusión o plasmaféresis (honorarios)</t>
    </r>
  </si>
  <si>
    <r>
      <rPr>
        <sz val="10"/>
        <rFont val="Calibri"/>
        <family val="2"/>
        <scheme val="minor"/>
      </rPr>
      <t>Exanguíneo   transfusión o plasmaféresis (derechos de sala)</t>
    </r>
  </si>
  <si>
    <r>
      <rPr>
        <sz val="10"/>
        <rFont val="Calibri"/>
        <family val="2"/>
        <scheme val="minor"/>
      </rPr>
      <t>Flebotomía</t>
    </r>
  </si>
  <si>
    <r>
      <rPr>
        <b/>
        <sz val="10"/>
        <color rgb="FF000000"/>
        <rFont val="Calibri"/>
        <family val="2"/>
        <scheme val="minor"/>
      </rPr>
      <t xml:space="preserve">ARTÍCULO 33: </t>
    </r>
    <r>
      <rPr>
        <sz val="10"/>
        <color rgb="FF000000"/>
        <rFont val="Calibri"/>
        <family val="2"/>
        <scheme val="minor"/>
      </rPr>
      <t>Las tarifas establecidas en Salarios Mínimos Legales Diarios Vigentes para exámenes y procedimientos Ecográficos, Vasculares no invasivos y Resonancia Magnética, son las siguientes:</t>
    </r>
  </si>
  <si>
    <t>1.  ECOGRAFÍAS</t>
  </si>
  <si>
    <t>Obstétrica</t>
  </si>
  <si>
    <t>Ginecológica o pélvica</t>
  </si>
  <si>
    <t>Vaginal para diagnóstico ginecológico u obstétrico</t>
  </si>
  <si>
    <t>Obstétrica con Evaluación de circulación placentaria y fetal, con doppler</t>
  </si>
  <si>
    <t>Pélvica con Evaluación doppler</t>
  </si>
  <si>
    <t>Abdomen superior, incluye: hígado, páncreas, vías biliares, riñones, bazo y grandes vasos</t>
  </si>
  <si>
    <t>Masas abdominales y de retroperitoneo</t>
  </si>
  <si>
    <t>Hígado, vías biliares, páncreas y vesícula</t>
  </si>
  <si>
    <t>Riñones, bazo, aorta o adrenales</t>
  </si>
  <si>
    <t>Abdomen total, incluye: hígado, páncreas, vesícula, vías biliares, riñones, bazo, grandes vasos, pelvis y flancos</t>
  </si>
  <si>
    <t>Vías urinarias (riñones, vejiga y próstata transbdominal)</t>
  </si>
  <si>
    <t>Vascular testicular (varicocele, torción), con análisis doppler</t>
  </si>
  <si>
    <t>Tiroides, glándulas salivares, testículo, pene, tejidos blandos, pared abdominal u ojo</t>
  </si>
  <si>
    <t>Control de ovulación con ecografía transabdominal</t>
  </si>
  <si>
    <t>Control de ovulación con eco vaginal</t>
  </si>
  <si>
    <t>Perfil biofísico</t>
  </si>
  <si>
    <t>Cerebral (ecografía transfontanelar)</t>
  </si>
  <si>
    <t>Dinámica Modo "B", ocular y contenido orbitario</t>
  </si>
  <si>
    <t>Sonomamografía o ultrasonido de seno, con transductor de alta frecuencia</t>
  </si>
  <si>
    <t>Pericardio, pleura o tórax</t>
  </si>
  <si>
    <t>Extremidades, articular, cadera pediátrica, hombro o rodilla</t>
  </si>
  <si>
    <t>Transrectal</t>
  </si>
  <si>
    <t>Biopsia percutánea, punción, aspiración: (procedimiento completo)</t>
  </si>
  <si>
    <t>Derivación o drenaje; a la zona, agregar:</t>
  </si>
  <si>
    <t>2.  VASCULARES NO INVASIVOS</t>
  </si>
  <si>
    <r>
      <rPr>
        <sz val="10"/>
        <rFont val="Calibri"/>
        <family val="2"/>
        <scheme val="minor"/>
      </rPr>
      <t>Imagen y doppler pulsado espectral (DÚPLEX SCANNING), de: arterias carótidas, arterias vertebrales, arterias axilares y humerales, aorta abdominal, tronco celíaco, arterias ilíacas, arterias renales, arterias mesentéricas, arterias femorales y poplítea, arteria de piernas, venas yugulares internas, venas axilares  y humerales, vena cava inferior, vena aorta, venas ilíacas, venas renales, venas femorales iliopoplíteas, venas profundas de pierna,  mapeo de venas superficiales de MM.II, mapeo de venas superficiales de MM.SS, masas vasculares o
transcraneal.</t>
    </r>
  </si>
  <si>
    <t>Oculopletismografía</t>
  </si>
  <si>
    <t>Pletismografía venosa o arterial de MMSS o MMII</t>
  </si>
  <si>
    <t>Pletismografia venosa o arterial de MMSS o MMII en reposo y post ejercicio</t>
  </si>
  <si>
    <t>Fotopletismografía arterial o venosa</t>
  </si>
  <si>
    <t>Pletismografía arterial digital</t>
  </si>
  <si>
    <t>Pletismografía arterial peneana</t>
  </si>
  <si>
    <t>Pletismografía de tiempo recuperación de llenado venoso MMII</t>
  </si>
  <si>
    <t>Pletismografía de pies y gruesos artejos</t>
  </si>
  <si>
    <t>Doppler continuo bidireccional, carótidas, arterias vertebrales, arterial o venoso de MMII</t>
  </si>
  <si>
    <t>Doppler continuo bidireccional, digital</t>
  </si>
  <si>
    <t>Doppler continuo bidireccional para mapeo arterial</t>
  </si>
  <si>
    <t>Fonoangiografía carotidea</t>
  </si>
  <si>
    <t>Examen obstétrico con Evaluación de circulación placentaria</t>
  </si>
  <si>
    <t>Estudio de impotencia</t>
  </si>
  <si>
    <t>Estudio de riñón trasplantado con análisis Doppler</t>
  </si>
  <si>
    <t>Estudio de otros órganos trasplantados</t>
  </si>
  <si>
    <t>Estudio de control de trasplantes</t>
  </si>
  <si>
    <r>
      <rPr>
        <sz val="10"/>
        <rFont val="Calibri"/>
        <family val="2"/>
        <scheme val="minor"/>
      </rPr>
      <t>Doppler continuo bidireccional, periorbitario, arterial o venoso de MMSS aorta abdominal y arterias ilíacas, venas cava inferior e ilíacas, arterial o de venas profundas de MMII, circulación peneana, circulación venosa o arterial
escrotal.</t>
    </r>
  </si>
  <si>
    <r>
      <rPr>
        <sz val="10"/>
        <rFont val="Calibri"/>
        <family val="2"/>
        <scheme val="minor"/>
      </rPr>
      <t>Doppler con análisis espectral, periorbitario, arterial o venoso de MMSS, aorta abdominal y arterias ilíacas, venas cava inferior e ilíacas, arterial o de venas profundas de MMII, circulación peneana, circulación venosa o arterial
escrotal.</t>
    </r>
  </si>
  <si>
    <t>3.  RESONANCIA MAGNÉTICA</t>
  </si>
  <si>
    <t>Articulaciones: pie y cuello del pie, rodilla, cadera, codo, hombro, temporo mandibular</t>
  </si>
  <si>
    <t>Comparativas de las articulaciones anteriores</t>
  </si>
  <si>
    <t>Cráneo (base de Cráneo, órbitas, cerebro, silla turca), columna, cervical, columna torácica, columna lumbosacra, tórax (corazón, grandes vasos, mediastino y pulmones), abdomen y pelvis, sistema músculo esquelético</t>
  </si>
  <si>
    <t>Segmento adicional de columna vertebral</t>
  </si>
  <si>
    <t>Angiografía por resonancia magnética</t>
  </si>
  <si>
    <t>Examen para magnético (Gadolinio DTPA); al valor del examen, agregar:</t>
  </si>
  <si>
    <t>Cariotipo con bandeo G de alta resolución</t>
  </si>
  <si>
    <t>Cariotipo con bandeo R de alta resolución</t>
  </si>
  <si>
    <t>Cariotipo con bandeo C o Q</t>
  </si>
  <si>
    <t>Cariotipo para cromosoma X frágil</t>
  </si>
  <si>
    <t>Cariotipo para estados leucémicos</t>
  </si>
  <si>
    <t>Cariotipo para cromosoma Philadelphia</t>
  </si>
  <si>
    <t>Cariotipo con bandeo G de restos ovulares</t>
  </si>
  <si>
    <t>Cariotipo con bandeo R de restos ovulares</t>
  </si>
  <si>
    <t>Cariotipo para intercambio de cromatides hermanas</t>
  </si>
  <si>
    <t>Cariotipo en vellosidades coriónicas</t>
  </si>
  <si>
    <t>Cariotipo en líquido amniótico</t>
  </si>
  <si>
    <t>Estudio de cromosomas en cultivo de fibroblastos</t>
  </si>
  <si>
    <t>Hibridización in situ con fluorescencia</t>
  </si>
  <si>
    <t>Test de cromatina</t>
  </si>
  <si>
    <t>Diagnóstico molecular de enfermedades</t>
  </si>
  <si>
    <t>Consejería genética</t>
  </si>
  <si>
    <t>Tipo I Campo único en: encéfalo, cara, tronco, pelvis/periné, extremidades, cuello o axila/axilo supraclavicular</t>
  </si>
  <si>
    <t>2.  RADIOTERAPIA ORTOVOLTAJE</t>
  </si>
  <si>
    <t>Tipo I Tratamientos superficiales y combinados o dosis de refuerzo, con Rx hasta  139  Kvp</t>
  </si>
  <si>
    <t>Tipo II Tratamientos superficiales y exclusivos con Rx de más de  140  Kvp</t>
  </si>
  <si>
    <t>3.  CURIETERAPIA GINECOLÓGICA</t>
  </si>
  <si>
    <t>Tipo I Combinada, un tiempo</t>
  </si>
  <si>
    <t>Tipo II Combinada, dos tiempos</t>
  </si>
  <si>
    <t>Tipo III Exclusiva un tiempo</t>
  </si>
  <si>
    <t>Tipo IV Exclusiva dos tiempos</t>
  </si>
  <si>
    <t>4.  CURIETERAPIA INTERSTICIAL</t>
  </si>
  <si>
    <t>Tipo I Combinada, planar simple</t>
  </si>
  <si>
    <t>Tipo II Combinada, biplanar</t>
  </si>
  <si>
    <t>Tipo III Combinada, volumétrica</t>
  </si>
  <si>
    <t>Tipo IV Exclusiva planar simple</t>
  </si>
  <si>
    <t>Tipo V Exclusiva, biplanar</t>
  </si>
  <si>
    <t>Tipo VI Exclusiva, volumétrica</t>
  </si>
  <si>
    <t>5.  TERAPIA CON ELECTRONES</t>
  </si>
  <si>
    <t>Tipo I Tratamientos combinados o dosis de refuerzo</t>
  </si>
  <si>
    <t>Tipo II Tratamientos exclusivos, campo único</t>
  </si>
  <si>
    <t>Tipo III Tratamientos exclusivos, campos múltiples</t>
  </si>
  <si>
    <t>6.  QUIMIOTERAPIA</t>
  </si>
  <si>
    <t>Quimioterapia intratecal</t>
  </si>
  <si>
    <t>Monoquimioterapia (ciclo completo de tratamiento)</t>
  </si>
  <si>
    <t>Poliquimioterapia (ciclo completo de tratamiento) cualquier esquema de protocolo</t>
  </si>
  <si>
    <r>
      <rPr>
        <sz val="10"/>
        <rFont val="Calibri"/>
        <family val="2"/>
        <scheme val="minor"/>
      </rPr>
      <t>Examen de control en las regiones anteriores, por la misma causa que originó el examen inicial y en un lapso no
mayor a seis (6) meses</t>
    </r>
  </si>
  <si>
    <t>Cuando el examen se realice con doppler color, se reconocerá adicionalmente un  30% sobre el valor de la tarifa establecida para el estudio practicado.</t>
  </si>
  <si>
    <t>Estudio de penetración de espermatozoides en oocitos desnudos de Hamster (incluye: preparación de los espermatozoides del paciente en caso de proceder a inseminación artificial)</t>
  </si>
  <si>
    <r>
      <rPr>
        <b/>
        <sz val="10"/>
        <color rgb="FF000000"/>
        <rFont val="Calibri"/>
        <family val="2"/>
        <scheme val="minor"/>
      </rPr>
      <t>ARTÍCULO 35</t>
    </r>
    <r>
      <rPr>
        <sz val="10"/>
        <color rgb="FF000000"/>
        <rFont val="Calibri"/>
        <family val="2"/>
        <scheme val="minor"/>
      </rPr>
      <t>: Las tarifas establecidas en Salarios Mínimos Legales Diarios Vigentes para los procedimientos de Oncología , son las siguientes:</t>
    </r>
  </si>
  <si>
    <t>1.  TELECOBALTOTERAPIA</t>
  </si>
  <si>
    <t>Tipo II Unilateral en cara y cuello; profilaxis de encéfalo; campos múltiples en cara, cuello, mediastino, axilo supraclavicular; campos múltiples y/o bilateral en axila; mediastino  supraclavicular</t>
  </si>
  <si>
    <t>Tipo III Profilaxis de encéfalo y raquis; campos múltiples en encéfalo, tórax, abdominal parcial, pelvis, raquis,extremidades o glándula mamaria; ganglionar pre y post  operatorio de mama; cuello y mediastino; hemitórax o hemiabdomen, bilateral en cara y cuello.</t>
  </si>
  <si>
    <t>Tipo IV Cara, cuello y mediastino; ganglionar supradiafragmática o infradiafragmática; baño torácico; abdominal total; encéfalo y raquis; completa de mama; corporal total</t>
  </si>
  <si>
    <t>Tipo Especial Entidades benignas; paleación en una dosis parcial, pelvis, raquis o extremidades; o glándula mamaria; ganglionar pre y post operatorio de mama; cuello y mediastino; hemitórax o hemiabdomen, bilateral en cara y cuello</t>
  </si>
  <si>
    <t>Las tarifas mencionadas  en este artículo, incluyen además de la aplicación del tratamiento, los controles  ambulatorios que requiere el paciente.</t>
  </si>
  <si>
    <t>Valoración por Psicólogo</t>
  </si>
  <si>
    <t>Psicoterapia individual por Psiquiatra, sesión</t>
  </si>
  <si>
    <t>Psicoterapia individual por Psicólogo, sesión</t>
  </si>
  <si>
    <t>Psicoterapia de grupo por Psiquiatra, sesión</t>
  </si>
  <si>
    <t>Psicoterapia de grupo por Psicólogo, sesión</t>
  </si>
  <si>
    <t>Psicoterapia de pareja por Psiquiatra, sesión</t>
  </si>
  <si>
    <t>Psicoterapia de pareja por Psicólogo, sesión</t>
  </si>
  <si>
    <t>Psicoterapia de familia, sesión</t>
  </si>
  <si>
    <t>Examen Psicopedagógico</t>
  </si>
  <si>
    <t>Test de Rorschach</t>
  </si>
  <si>
    <t>Inventario de personalidad (MMPI)</t>
  </si>
  <si>
    <t>Pruebas de percepción temática (CAT o TAC)</t>
  </si>
  <si>
    <t>Escala de Weschler para niños y adultos</t>
  </si>
  <si>
    <t>Escala infantil de inteligencia Therman</t>
  </si>
  <si>
    <t>Terapia electroconvulsiva, sesión (sin anestesia ni relajante)</t>
  </si>
  <si>
    <t>1.  ACTIVIDADES DIAGNÓSTICA Y DE URGENCIA</t>
  </si>
  <si>
    <t>Consulta especializada</t>
  </si>
  <si>
    <t>Examen clínico de primera vez</t>
  </si>
  <si>
    <t>Consulta de urgencias (para solución de problemas agudos, dolorosos, hemorrágicos, traumáticos o infecciosos)</t>
  </si>
  <si>
    <t>Radiografías intraorales (periapicales y/o coronales)</t>
  </si>
  <si>
    <t>Radiografías intraorales (oclusales)</t>
  </si>
  <si>
    <t>Radiografías intraorales (perfil de cara con cefalostato)</t>
  </si>
  <si>
    <t>Impresión de arco dentario superior o inferior, con modelo de estudio y concepto</t>
  </si>
  <si>
    <t>Fotografía clínica extraoral en blanco y negro, frontal o lateral</t>
  </si>
  <si>
    <t>Examen y estudio para cirugía ortognática comprende: registros, cefalometría estudio de fotos</t>
  </si>
  <si>
    <t>Estudio de oclusión y ATM</t>
  </si>
  <si>
    <t>2.  OPERATORIA DENTAL</t>
  </si>
  <si>
    <t>Obturación de una superficie en amalgama de plata o resina compuesta de autocurado</t>
  </si>
  <si>
    <t>Obturación de una superficie adicional en amalgama de plata o resina compuesta de autocurado</t>
  </si>
  <si>
    <t>Obturación de una superficie en resina de fotocurado</t>
  </si>
  <si>
    <t>Obturación de superficie adicional en resina de fotocurado</t>
  </si>
  <si>
    <t>Obturación definitiva de una superficie en ionómero de vidrio</t>
  </si>
  <si>
    <t>Obturación definitiva de una superficie adicional en ionómero de vidrio</t>
  </si>
  <si>
    <t>Corona acrílica para dientes anteriores</t>
  </si>
  <si>
    <t>Colocación de pin milimétrico</t>
  </si>
  <si>
    <t>Reconstrucción de ángulo incisal con resina de fotocurado</t>
  </si>
  <si>
    <t>Reconstrucción tercio incisal con resina de fotocurado</t>
  </si>
  <si>
    <t>3.- PERIODONCIA</t>
  </si>
  <si>
    <t>Tallado selectivo, por arcada (sin estudio de oclusión y ATM)</t>
  </si>
  <si>
    <t>Detartraje (por cuadrante)</t>
  </si>
  <si>
    <t>Injerto gingival (cada diente)</t>
  </si>
  <si>
    <t>Gingivoplastia (cada diente)</t>
  </si>
  <si>
    <t>Gingivectomía (cada diente)</t>
  </si>
  <si>
    <t>Curetaje y/o alisado radicular campo cerrado (cada diente)</t>
  </si>
  <si>
    <t>Curetaje y/o alisado radicular campo abierto (cada diente)</t>
  </si>
  <si>
    <t>4.  ENDODONCIA</t>
  </si>
  <si>
    <t>Tratamiento de conductos en dientes unirradiculares con radiografía previa y de control; no incluye valor de RX</t>
  </si>
  <si>
    <t>5.  ORTODONCIA</t>
  </si>
  <si>
    <t>Examen y estudio del caso (comprende: registros, cefalometría y estudio de fotos)</t>
  </si>
  <si>
    <t>Placa removible con accesorios</t>
  </si>
  <si>
    <t>Placa con tornillo de expansión</t>
  </si>
  <si>
    <t>Mantenedor fijo de espacio</t>
  </si>
  <si>
    <t>Arco lingual y botón de Nance</t>
  </si>
  <si>
    <t>Extracción seriada, previo estudio del caso</t>
  </si>
  <si>
    <t>Mentonera como tratamiento único</t>
  </si>
  <si>
    <t>Ortodoncia correctiva (cada arcada)</t>
  </si>
  <si>
    <t>Aparatos Cráneo maxilares como tratamiento único</t>
  </si>
  <si>
    <t>Plano inclinado</t>
  </si>
  <si>
    <t>Control mensual</t>
  </si>
  <si>
    <t>Control de crecimiento y desarrollo, sesión</t>
  </si>
  <si>
    <t>Rejilla fina para control de hábitos</t>
  </si>
  <si>
    <t>Máscara facial, como tratamiento</t>
  </si>
  <si>
    <t>Protractor</t>
  </si>
  <si>
    <t>6.  CIRUGÍA ORAL</t>
  </si>
  <si>
    <t>Exodoncia simple de unirradiculares</t>
  </si>
  <si>
    <t>Exodoncia simple de multirradiculares</t>
  </si>
  <si>
    <t>Exodoncia unirradicular (vía abierta), con radiografía previa y de control; no incluye valor de RX</t>
  </si>
  <si>
    <t>Exodoncia multirradicular (vía abierta), con radiografía previa y de control; no incluye valor de RX</t>
  </si>
  <si>
    <t>Apicectomía de dientes unirradiculares; incluye el relleno radicular; no incluye no incluye valor de RX</t>
  </si>
  <si>
    <t>Apicectomía de dientes multirradiculares, incluye el relleno radicular; no incluye valor de RX</t>
  </si>
  <si>
    <t>Regularización de rebordes (cada arcada); no incluye radiografías previa y de control</t>
  </si>
  <si>
    <t>Amputación radicular con hemisección; no incluye tratamiento de conductos</t>
  </si>
  <si>
    <t>Injerto óseo autógeno por diente; incluye: toma de injerto intraoral</t>
  </si>
  <si>
    <t>Injerto aloplástico cerámico (cada diente)</t>
  </si>
  <si>
    <t>Fijaciones temporales (cada cuadrante)</t>
  </si>
  <si>
    <t>Tratamiento quirúrgico hemorragia post  exodoncia o por alveolitis</t>
  </si>
  <si>
    <t>Reimplante o trasplante de diente</t>
  </si>
  <si>
    <t>Resección de capuchón pericoronario</t>
  </si>
  <si>
    <t>7.  PRÓTESIS Y ORTESIS</t>
  </si>
  <si>
    <t>ACTIVIDAD DEL ODONTÓLOGO EN LA ELABORACIÓN</t>
  </si>
  <si>
    <t>Prótesis total  1/2  caso (superior o inferior); no incluye modelos</t>
  </si>
  <si>
    <t>Prótesis removible (superior o inferior); no incluye modelos</t>
  </si>
  <si>
    <t>Prótesis fija, cada unidad (soportes y ponticos)</t>
  </si>
  <si>
    <t>Férulas acrílicas (superior o inferior)</t>
  </si>
  <si>
    <t>Férulas coladas (superior o inferior)</t>
  </si>
  <si>
    <t>Núcleos metálicos</t>
  </si>
  <si>
    <t>Placa obturadora para pacientes con secuela de labio y paladar hendido; no incluye modelos</t>
  </si>
  <si>
    <t>Unidad puente fijo tipo Maryland</t>
  </si>
  <si>
    <t>Placa neuro miorrelajante, previo estudio del caso; no incluye modelos</t>
  </si>
  <si>
    <t>ACTIVIDAD DEL ODONTÓLOGO EN LA REPARACIÓN</t>
  </si>
  <si>
    <t>Prescripción y controles para reparación de Prótesis</t>
  </si>
  <si>
    <t>8.  ODONTOPEDIATRÍA</t>
  </si>
  <si>
    <t>Corona en acero inoxidable</t>
  </si>
  <si>
    <t>Corona en policarbonato o forma plástica</t>
  </si>
  <si>
    <t>Tratamiento de conductos dientes temporales</t>
  </si>
  <si>
    <t>Exodoncia diente temporal</t>
  </si>
  <si>
    <t>Frenectomía o freniectomía</t>
  </si>
  <si>
    <t>Resina preventiva presellante</t>
  </si>
  <si>
    <t>9.  PREVENCIÓN</t>
  </si>
  <si>
    <t>Control de placa, clasificación de riesgo e instrucción de higiene oral</t>
  </si>
  <si>
    <t>Control de placa y de cepillado</t>
  </si>
  <si>
    <t>Educación en salud oral y control de riesgo</t>
  </si>
  <si>
    <t>Aplicación tópica seriada de fluoruros, niños; incluye: profilaxis</t>
  </si>
  <si>
    <t>Aplicación tópica de fluoruros, en adultos; incluye: profilaxis</t>
  </si>
  <si>
    <t>Terapia de mantenimiento, sesión; incluye: profilaxis</t>
  </si>
  <si>
    <t>Aplicación de sellante de autocurado en fosetas y fisuras (cada diente)</t>
  </si>
  <si>
    <t>Aplicación de sellantes de fotocurado en fosetas y fisuras (cada diente)</t>
  </si>
  <si>
    <t>1.  GINECO OBSTETRICIA</t>
  </si>
  <si>
    <t>Examen bajo anestesia</t>
  </si>
  <si>
    <t>Cauterización de cervix</t>
  </si>
  <si>
    <t>Extirpación pólipo pediculado sesil (cuello uterino)</t>
  </si>
  <si>
    <t>Criocirugía de cervix</t>
  </si>
  <si>
    <t>Dilatación instrumental o manual de la vagina, sesión</t>
  </si>
  <si>
    <t>Monitoría fetal anteparto, sesión</t>
  </si>
  <si>
    <t>Monitoría fetal intraparto, durante todo el trabajo de parto</t>
  </si>
  <si>
    <t>Colpocentesis</t>
  </si>
  <si>
    <t>Inserción o retiro de dispositivo intrauterino de cualquier tipo; incluye: consulta y dispositivo</t>
  </si>
  <si>
    <t>Taponamiento vaginal</t>
  </si>
  <si>
    <t>2.  ORTOPEDIA Y TRAUMATOLOGíA</t>
  </si>
  <si>
    <t>Artrocentesis</t>
  </si>
  <si>
    <t>Tratamiento esguinces</t>
  </si>
  <si>
    <t>Infiltración intra articular, bolsa sinovial, ligamentosa, neuroma o de punto muscular doloroso</t>
  </si>
  <si>
    <t>Inmovilización coccix por luxación</t>
  </si>
  <si>
    <t>Inmovilización miembro superior o inferior total o parcial</t>
  </si>
  <si>
    <t>CAMBIO DE YESOS</t>
  </si>
  <si>
    <t>Hombro, MMSS o tobillo</t>
  </si>
  <si>
    <t>Muslo y/o pierna</t>
  </si>
  <si>
    <t>Tórax y/o pelvis</t>
  </si>
  <si>
    <t>3.  CIRUGÍA DE MANO</t>
  </si>
  <si>
    <t>Tratamiento ortopédico dedo en martillo</t>
  </si>
  <si>
    <t>Tratamiento esguince metacarpofalángico (una a dos)</t>
  </si>
  <si>
    <t>Tratamiento esguince metacarpofalángico (tres ó mas)</t>
  </si>
  <si>
    <t>Tratamiento esguince interfalángico (una a dos)</t>
  </si>
  <si>
    <t>Tratamiento esguince interfalángico (tres ó mas)</t>
  </si>
  <si>
    <t>4.  CIRUGÍA PLÁSTICA</t>
  </si>
  <si>
    <t>Curación simple con inmovilización</t>
  </si>
  <si>
    <t>Tratamiento médico queloide: incluye: Infiltraciones y otros</t>
  </si>
  <si>
    <t>Crioterapia (sesión)</t>
  </si>
  <si>
    <t>Drenaje piel y/o tejidos celular subcutáneo, incluye: Absceso superficial, hematoma, panadizo</t>
  </si>
  <si>
    <t>Cauterización o fulguración en piel (sesión), incluye verrugas y lunares:</t>
  </si>
  <si>
    <t>De una a tres</t>
  </si>
  <si>
    <t>De cuatro a siete</t>
  </si>
  <si>
    <t>De ocho ó mas</t>
  </si>
  <si>
    <t>5.  CIRUGÍA GENERAL</t>
  </si>
  <si>
    <t>Paracentesis abdominal</t>
  </si>
  <si>
    <t>Disección venosa</t>
  </si>
  <si>
    <t>Lavado gástrico</t>
  </si>
  <si>
    <t>Venodisección y catéter subclavio</t>
  </si>
  <si>
    <t>Colocación línea arterial</t>
  </si>
  <si>
    <t>Intubación orotraqueal (exclusivamente en casos de reanimación)</t>
  </si>
  <si>
    <t>Colecistectomía laparoscópica</t>
  </si>
  <si>
    <t>6  DIETÉTICA</t>
  </si>
  <si>
    <t>Determinación de régimen dietético en paciente ambulatorio</t>
  </si>
  <si>
    <t>7.  TRABAJO SOCIAL</t>
  </si>
  <si>
    <t>Consulta social, sesión</t>
  </si>
  <si>
    <t>Consulta familiar, sesión</t>
  </si>
  <si>
    <t>Terapia familiar, sesión</t>
  </si>
  <si>
    <t>Acciones socio educativas a grupo, sesión</t>
  </si>
  <si>
    <t>8.  OTROS</t>
  </si>
  <si>
    <t>Quimiofototerapia (tratamiento para psoriasis, vitiligo y linfomas), sesión</t>
  </si>
  <si>
    <t>Tratamiento con toxina botulinica, sesión</t>
  </si>
  <si>
    <t>Oxigenación hiperbárica, sesión</t>
  </si>
  <si>
    <t>C A P I T U L O V</t>
  </si>
  <si>
    <t>a. Médico general hospitalario de piso</t>
  </si>
  <si>
    <t>b. Enfermera</t>
  </si>
  <si>
    <t>c. Auxiliar de enfermería</t>
  </si>
  <si>
    <t>d. Dotación básica de elementos de enfermería</t>
  </si>
  <si>
    <t>e. Material de curación</t>
  </si>
  <si>
    <t>f. Alimentación adecuada al estado del paciente (excepto sustancias de nutrición enteral o parenteral)</t>
  </si>
  <si>
    <t>g. Suministro de ropa de cama</t>
  </si>
  <si>
    <t>h. Aseo</t>
  </si>
  <si>
    <t>i. Servicios públicos de energía eléctrica y agua</t>
  </si>
  <si>
    <t>Materiales de curación por complicaciones intrahospitalarias</t>
  </si>
  <si>
    <t>Este valor se reconocerá únicamente en los siguientes casos :</t>
  </si>
  <si>
    <t>b.  Pacientes con quemaduras o heridas traumáticas que presenten pérdida de sustancias</t>
  </si>
  <si>
    <t>c.  Pacientes con escaras de decúbito, úlceras isquémicas o gangrena gaseosa</t>
  </si>
  <si>
    <t>1.  Instituciones de Primer Nivel</t>
  </si>
  <si>
    <t>2.  Instituciones de Segundo Nivel</t>
  </si>
  <si>
    <t>3.  Instituciones de Tercer Nivel</t>
  </si>
  <si>
    <t>ESTANCIAS</t>
  </si>
  <si>
    <t>1.  MEDICINA INTERNA, CIRUGÍA, GINECO OBSTETRICIA Y PEDIATRÍA</t>
  </si>
  <si>
    <t>INSTITUCIONES DE PRIMER NIVEL</t>
  </si>
  <si>
    <t>Habitación unipersonal</t>
  </si>
  <si>
    <t>Habitación bipersonal</t>
  </si>
  <si>
    <t>Habitación de tres camas</t>
  </si>
  <si>
    <t>Habitación de cuatro ó mas camas</t>
  </si>
  <si>
    <t>INSTITUCIONES DE SEGUNDO NIVEL</t>
  </si>
  <si>
    <t>INSTITUCIONES DE TERCER NIVEL</t>
  </si>
  <si>
    <t>2.  PSIQUIATRÍA</t>
  </si>
  <si>
    <t>INSTITUCIONES DE SEGUNDO NIVEL DEDICADAS EXCLUSIVAMENTE A LA ATENCIÓN PSIQUIÁTRICA</t>
  </si>
  <si>
    <t>INSTITUCIONES DE TERCER NIVEL DEDICADAS EXCLUSIVAMENTE A LA ATENCIÓN PSIQUIÁTRICA</t>
  </si>
  <si>
    <t>INSTITUCIONES DE TERCER NIVEL DEDICADAS A LA ATENCIÓN DE VARIAS ESPECIALIDADES INCLUÍDA LA PSIQUIATRÍA</t>
  </si>
  <si>
    <t>Las tarifas anteriores se aplicarán para la hospitalización del paciente en los servicios de Cuidado Especial e Institucional Corriente</t>
  </si>
  <si>
    <t>3.  CRÓNICO SOMÁTICO</t>
  </si>
  <si>
    <t>INSTITUCIONES DE SEGUNDO Y TERCER NIVEL</t>
  </si>
  <si>
    <t>Habitación unipersonal, bipersonal ó de mas camas</t>
  </si>
  <si>
    <t>4.  UNIDAD DE TRASPLANTE</t>
  </si>
  <si>
    <t>Sala especial</t>
  </si>
  <si>
    <t>5.  UNIDAD DE CUIDADO INTENSIVO</t>
  </si>
  <si>
    <t>6.  UNIDAD DE QUEMADOS</t>
  </si>
  <si>
    <t>Cuidado intermedio</t>
  </si>
  <si>
    <t>Cuidado intensivo</t>
  </si>
  <si>
    <t>7.  INCUBADORA</t>
  </si>
  <si>
    <t>8.- UNIDAD DE CUIDADO INTERMEDIO</t>
  </si>
  <si>
    <t>INSTITUCIONES DE SEGUNDO Y TERCER NIVEL DE ATENCIÓN</t>
  </si>
  <si>
    <t>9.  URGENCIAS</t>
  </si>
  <si>
    <t>INSTITUCIONES DEL PRIMER NIVEL</t>
  </si>
  <si>
    <t>Sala de observación</t>
  </si>
  <si>
    <t>SERVICIOS PROFESIONALES, DERECHOS DE SALA, MATERIALES, SUMINISTROS, EQUIPOS Y REHABILITACIÓN INTEGRAL</t>
  </si>
  <si>
    <t>a. De acuerdo con la clasificación establecida en el Capítulo I, para la intervención o procedimiento médico quirúrgico que se practique:</t>
  </si>
  <si>
    <t>1.  Servicios profesionales del cirujano o ginecoobstetra:</t>
  </si>
  <si>
    <t>Grupo 02</t>
  </si>
  <si>
    <t>Grupo 03</t>
  </si>
  <si>
    <t>Grupo 04</t>
  </si>
  <si>
    <t>Grupo 05</t>
  </si>
  <si>
    <t>Grupo 06</t>
  </si>
  <si>
    <t>Grupo 07</t>
  </si>
  <si>
    <t>Grupo 08</t>
  </si>
  <si>
    <t>Grupo 09</t>
  </si>
  <si>
    <t>Grupo 10</t>
  </si>
  <si>
    <t>Grupo 11</t>
  </si>
  <si>
    <t>Grupo 12</t>
  </si>
  <si>
    <t>Grupo 13</t>
  </si>
  <si>
    <t>Grupo  especial 20</t>
  </si>
  <si>
    <t>Grupo  especial 21</t>
  </si>
  <si>
    <t>Grupo especial 22</t>
  </si>
  <si>
    <t>Grupo especial 23</t>
  </si>
  <si>
    <t>2  Servicios profesionales del anestesiólogo:</t>
  </si>
  <si>
    <t>Grupo  08</t>
  </si>
  <si>
    <t>Grupo especial 20</t>
  </si>
  <si>
    <t>Grupo especial 21</t>
  </si>
  <si>
    <t>Parto normal o intervenido (forceps o espátulas) y revisión de cavidad uterina</t>
  </si>
  <si>
    <t>En los exámenes y procedimientos de diagnóstico y tratamiento, relacionados en el Capítulo II de este Decreto, que según criterio médico tratante, necesiten para su práctica de anestesia general, se reconocerá el cincuenta por ciento (50%) de la tarifa establecida para el respectivo procedimiento. Se exceptúan los que se relacionan a continuación, los cuales se reconocerán así:</t>
  </si>
  <si>
    <t>Sesión terapia electroconvulsiva</t>
  </si>
  <si>
    <t>Procedimientos de salud oral y de quimioterapia en niño (sesión)</t>
  </si>
  <si>
    <t>Estudios radiológicos</t>
  </si>
  <si>
    <t>Exámenes de resonancia magnética</t>
  </si>
  <si>
    <t>Examen médico bajo anestesia general</t>
  </si>
  <si>
    <t>Cardioversión de pacientes en tratamiento no quirúrgico</t>
  </si>
  <si>
    <t>3  Servicios profesionales de ayudantía quirúrgica:</t>
  </si>
  <si>
    <t>Grupo  06</t>
  </si>
  <si>
    <t>Grupo  07</t>
  </si>
  <si>
    <t>Grupo  09</t>
  </si>
  <si>
    <t>Grupo  10</t>
  </si>
  <si>
    <t>Grupo  11</t>
  </si>
  <si>
    <t>Grupo  12</t>
  </si>
  <si>
    <t>Grupo  13</t>
  </si>
  <si>
    <t>Grupo especial  20</t>
  </si>
  <si>
    <t>Grupo especial  21</t>
  </si>
  <si>
    <t>Grupo especial  22</t>
  </si>
  <si>
    <t>Grupo especial  23</t>
  </si>
  <si>
    <t>El servicio de ayudantía quirúrgica se pagará únicamente en las intervenciones quirúrgicas, cuando para su realización se requiera de este recurso; las tarifas corresponden al servicio total, cualquiera que sea el número de profesionales que participen.</t>
  </si>
  <si>
    <t>b. Perfusión:</t>
  </si>
  <si>
    <t>Servicio de Perfusionista, por intervención</t>
  </si>
  <si>
    <t>Este servicio se pagará únicamente en las cirugías clasificadas en los Grupos Especiales  20  a  23, en que se utilice el recurso.</t>
  </si>
  <si>
    <t>c. Otros servicios profesionales intrahospitalarios y ambulatorios:</t>
  </si>
  <si>
    <t>Atención diaria intrahospitalaria, por el especialista tratante, del paciente no quirúrgico u obstétrico</t>
  </si>
  <si>
    <t>Atención diaria intrahospitalaria, por el médico general tratante, del paciente no quirúrgico u obstétrico</t>
  </si>
  <si>
    <t>Atención intrahospitalaria especializada de psiquiatría (semanal)</t>
  </si>
  <si>
    <t>Consulta pre quirúrgica ambulatoria y/o intrahospitalaria, por el cirujano</t>
  </si>
  <si>
    <t>Valoración inicial intrahospitalaria preparto</t>
  </si>
  <si>
    <t>Consulta preanestésica</t>
  </si>
  <si>
    <t>Interconsulta médica especializada ambulatoria o intrahospitalaria</t>
  </si>
  <si>
    <t>Consulta ambulatoria de medicina general</t>
  </si>
  <si>
    <t>Consulta ambulatoria de medicina especializada</t>
  </si>
  <si>
    <t>Junta Médico Quirúrgica (cada especialista por reunión)</t>
  </si>
  <si>
    <t>Consulta de urgencias</t>
  </si>
  <si>
    <t>Sutura</t>
  </si>
  <si>
    <t>Atención diaria intrahospitalaria por el especialista tratante del paciente quirúrgico y obstétrico</t>
  </si>
  <si>
    <t>DERECHOS DE SALA DE CIRUGÍA</t>
  </si>
  <si>
    <t>Grupo  02</t>
  </si>
  <si>
    <t>Grupo  03</t>
  </si>
  <si>
    <t>Grupo  04</t>
  </si>
  <si>
    <t>Grupo  05</t>
  </si>
  <si>
    <t>DERECHOS DE SALA DE PARTO</t>
  </si>
  <si>
    <t>Derechos de sala de parto</t>
  </si>
  <si>
    <t>En los casos de cirugía ambulatoria, superadas las primeras seis (6) horas post quirúrgicas, la permanencia en este servicio se reconocerá por la tarifa establecida para la estancia en habitación de tres camas, de acuerdo con el nivel de clasificación de  la Institución donde se realice el procedimiento; igualmente en el caso en que al paciente no le haya sido asignada pieza para su hospitalización.</t>
  </si>
  <si>
    <t>En las intervenciones de los grupos especiales, en los que según concepto del cirujano  tratante la recuperación debe hacerse en la unidad de cuidado intensivo, cuando la permanencia de este servicio sea por un período inferior a veinticuatro (24) horas, adicional al valor de la estancia hospitalaria, se reconocerá una suma igual al cincuenta por ciento (50%) de la tarifa establecida para la estancia en la unidad de Cuidado Intensivo.</t>
  </si>
  <si>
    <t>Derechos de sala de yesos</t>
  </si>
  <si>
    <t>Derechos de sala para suturas</t>
  </si>
  <si>
    <t>Derechos de sala para curaciones</t>
  </si>
  <si>
    <t>GRUPOS  02 -  03</t>
  </si>
  <si>
    <t>GRUPOS  04 - 05 - 06</t>
  </si>
  <si>
    <t>GRUPOS  07 - 08 - 09</t>
  </si>
  <si>
    <t>GRUPOS  10 - 11 - 12 - 13</t>
  </si>
  <si>
    <t>Materiales de sutura y curación, medicamentos y soluciones, oxígeno, agentes y gases anestésicos</t>
  </si>
  <si>
    <t>En las intervenciones múltiples practicadas en un mismo acto y diferente región operatoria, por este concepto se reconocerá el  cien por ciento (100%) de la tarifa señalada para la cirugía mayor ejecutada, de acuerdo con el grupo de clasificación de la misma, incrementada  en el setenta y cinco por ciento (75%) del valor del grupo de cada una de las adicionales.</t>
  </si>
  <si>
    <t>DERECHOS DE SALA EN DIÁLISIS PERITONEAL</t>
  </si>
  <si>
    <t>SERVICIOS PROFESIONALES</t>
  </si>
  <si>
    <t>Sesión de hemodiálisis por insuficiencia renal crónica, incluídos los controles médicos que el paciente requiera</t>
  </si>
  <si>
    <t>Los exámenes de laboratorio, se reconocerán de conformidad con las tarifas determinadas en el Capítulo IV, Artículo 22 de este Decreto.</t>
  </si>
  <si>
    <t>Los materiales (filtro de diálisis, línea arterial, línea venosa, concentrado, agujas de fístula, jeringas, solución salina y heparina), se pagarán hasta por el precio comercial de catálogo para venta al público fijado por la autoridad competente</t>
  </si>
  <si>
    <t>La atención de urgencias de tipo prehospitalario y apoyo terapéutico en unidades móviles</t>
  </si>
  <si>
    <t>Actividad individual o grupal de promoción, prevención o protección específica (por cada sesion)</t>
  </si>
  <si>
    <t>CONJUNTOS INTEGRALES DE ATENCIÓN</t>
  </si>
  <si>
    <t>Atención domiciliaria para pacientes crónicos, terminales y/o con tratamiento definido; Mensual por paciente</t>
  </si>
  <si>
    <t>Atención integral de hemodiálisis por insuficiencia renal aguda o crónica: Sesión</t>
  </si>
  <si>
    <t>Atención ambulatoria integral del oxígeno dependiente: Mensual por paciente</t>
  </si>
  <si>
    <t>Atención médica, incluídas las acciones de promoción, prevención y protección. Por sesion</t>
  </si>
  <si>
    <t>Atención médica sin acciones de promoción, prevención y protección específica. Por sesion.</t>
  </si>
  <si>
    <t>Atención de salud oral, incluídas las acciones de promoción, prevención y protección. Por sesion.</t>
  </si>
  <si>
    <t>Atención médica, incluídas las acciones de promoción, prevención y protección. Por sesion.</t>
  </si>
  <si>
    <t>Atención médica sin acciones de promoción, prevención y protección. Por sesion.</t>
  </si>
  <si>
    <t>Acciones de promoción de la salud, prevención de la enfermedad y protección específica. Por sesion.</t>
  </si>
  <si>
    <t>Para los Departamentos de : Amazonas, Arauca, Casanare, Caquetá, Chocó, Guajira, Guainía, Guaviare, Meta, Putumayo, San Andrés y Providencia, Sucre, Vaupés, Vichada y Región de Urabá. Se exceptúan los municipios de Arauca, Florencia, Rioacha, Sincelejo, Villavicencio y Yopal</t>
  </si>
  <si>
    <t>Atención médica, incluídas las acciones de promoción, prevención y protección específica. Por sesion.</t>
  </si>
  <si>
    <t>Atención médica sin acciones de promoción, prevención y protección específica</t>
  </si>
  <si>
    <t>Atención de salud oral, incluídas las acciones de promoción, prevención y protección específica. Por sesion.</t>
  </si>
  <si>
    <t>ATENCIÓN INTEGRAL AMBULATORIA U HOSPITALIZADA DE INTERVENCIONES QUIRÚRGICAS Y PROCEDIMIENTOS</t>
  </si>
  <si>
    <t>Resección de pterigión; incluye plastia libre</t>
  </si>
  <si>
    <t>Retinopexia quirúrgica</t>
  </si>
  <si>
    <t>Amigdalectomía</t>
  </si>
  <si>
    <t>Septorrinoplastia funcional</t>
  </si>
  <si>
    <t>Timpanoplastia</t>
  </si>
  <si>
    <t>Cirugía endoscópica transnasal</t>
  </si>
  <si>
    <t>Safeno-varicectomía</t>
  </si>
  <si>
    <t>Toracotomía mayor con control de hemorragia traumática</t>
  </si>
  <si>
    <t>Herniorrafia diafragmática</t>
  </si>
  <si>
    <t>Colecistectomía simple</t>
  </si>
  <si>
    <t>Apendicectomía, apéndice no perforada</t>
  </si>
  <si>
    <t>Herniorrafia inguinal</t>
  </si>
  <si>
    <t>Herniorrafia umbilical</t>
  </si>
  <si>
    <t>Gastrectomía parcial más reconstrucción con o sin vagotomía</t>
  </si>
  <si>
    <t>Hemorroidectomía externa</t>
  </si>
  <si>
    <t>Resección de quiste pilonidal, extirpación abierta o marzupialización</t>
  </si>
  <si>
    <t>Prostatectomía abierta</t>
  </si>
  <si>
    <t>Prostatectomía transuretral y/o vaporización</t>
  </si>
  <si>
    <t>Pielolitotomía</t>
  </si>
  <si>
    <t>Circuncisión incluye plastia del frenillo y/o liberación de adherencias</t>
  </si>
  <si>
    <t>Varicocelectomía o hidrocelectomía</t>
  </si>
  <si>
    <t>Orquideopexia incluye tratamiento del saco heniario y resección de hidátides</t>
  </si>
  <si>
    <t>Nefrectomía simple</t>
  </si>
  <si>
    <t>Mastectomía radical modificada con disección axilar y conservación de músculos pectorales</t>
  </si>
  <si>
    <t>Histerectomía abdominal total, con o sin remoción de trompas u ovarios</t>
  </si>
  <si>
    <t>Colporrafia anterior y posterior</t>
  </si>
  <si>
    <t>Histerectomía vaginal</t>
  </si>
  <si>
    <t>Operación cesárea segmentaria transversal o corporal</t>
  </si>
  <si>
    <t>Atención del parto vaginal (normal o intervenido con fórceps  o espátulas); incluye:   episiorrafia y/o perineorrafia</t>
  </si>
  <si>
    <t>Legrado uterino post parto o por oborto</t>
  </si>
  <si>
    <t>Osteosíntesis de clavícula</t>
  </si>
  <si>
    <t>Osteosíntesis de humero, tercio superior con placa u obenque</t>
  </si>
  <si>
    <t>Osteosíntesis de húmero en diáfisis con placas</t>
  </si>
  <si>
    <t>Osteosíntesis de húmero , proximal o distal, percutánea con pines</t>
  </si>
  <si>
    <t>Osteosíntesis de húmero en diáfisis con clavo intramedular bloqueado</t>
  </si>
  <si>
    <t>Osteosíntesis de fractura supracondilea</t>
  </si>
  <si>
    <t>Osteosíntesis de cóndilo humeral aislada</t>
  </si>
  <si>
    <t>Osteosíntesis de diáfisis  de cúbito o radio</t>
  </si>
  <si>
    <t>Osteosíntesis de diáfisis  de cúbito y radio</t>
  </si>
  <si>
    <t>Osteosíntesis de fractura radiodistal (colles, etc) con placas</t>
  </si>
  <si>
    <t>Osteosíntesis de olécranon</t>
  </si>
  <si>
    <t>Osteosíntesis de fractura radiodistal con pines percutáneos</t>
  </si>
  <si>
    <t>Osteosíntesis de fractura de pelvis o reborde posterior</t>
  </si>
  <si>
    <t>Reemplazo protésico total primario de cadera</t>
  </si>
  <si>
    <t>Ostosíntesis de acetábulo reborde posterior con tornillos</t>
  </si>
  <si>
    <t>Osteosíntesis de acetábulo compuesta (anterior, posterior y superior)</t>
  </si>
  <si>
    <t>Osteosíntesis de rótula</t>
  </si>
  <si>
    <t>Osteosíntesis de diáfisis del fémur con clavo intramedular o placa</t>
  </si>
  <si>
    <t>Osteosíntesis de diáfisis del fémur con clavo intramedular bloqueado</t>
  </si>
  <si>
    <t>Osteosíntesis de cuello de fémur (subcapital, intertrocantérica,  o sub-trocantérica) condílea o supracondílea</t>
  </si>
  <si>
    <t>Osteosíntesis de tibia con clavo intramedular o placa</t>
  </si>
  <si>
    <t>Osteosíntesis de peroné con clavo intramedular o placa</t>
  </si>
  <si>
    <t>Osteosíntesis de fractura complicada con clavo intramedular</t>
  </si>
  <si>
    <t>Osteosíntesis de platillos tibiales o plafont tibial sin injerto</t>
  </si>
  <si>
    <t>Osteosíntesis de platillos tibiales o plafont tibial con injerto</t>
  </si>
  <si>
    <t>Osteosíntesis de fractura o luxofractura de cuello de pie</t>
  </si>
  <si>
    <t>Osteosíntesis de fractura bimaleolar o trimaleolar</t>
  </si>
  <si>
    <t>Amputación o desarticulación de  pierna</t>
  </si>
  <si>
    <t>Artrodesis posterior de columna con instrumentación</t>
  </si>
  <si>
    <t>Artrodesis anterior de columna con instrumentación</t>
  </si>
  <si>
    <t>Artrodesis de columna con  fijación transpedicular</t>
  </si>
  <si>
    <t>Reparación quirúrgica post-traumática del tendón de aquiles</t>
  </si>
  <si>
    <t>Reducción abierta de fractura de  maxilar superior (lefort II y III) incluye inmovilización intermaxilar y osteosíntesis</t>
  </si>
  <si>
    <t>Reducción abierta de fractura de maxilar inferior;</t>
  </si>
  <si>
    <t>Reducción abierta de  fractura de arco cigomático</t>
  </si>
  <si>
    <t>Reducción abierta de fractura malar</t>
  </si>
  <si>
    <t>Cirugía ginecológica laparoscópica ambulatoria de II nivel</t>
  </si>
  <si>
    <t>Cirugía ginecológica laparoscópica ambulatoria de I nivel</t>
  </si>
  <si>
    <t>Cirugía artroscópica de rodilla, primer nivel</t>
  </si>
  <si>
    <r>
      <rPr>
        <sz val="10"/>
        <rFont val="Calibri"/>
        <family val="2"/>
        <scheme val="minor"/>
      </rPr>
      <t>Test de alergias, estudio completo de prueba por escarificación, intradérmica, puntura o parche, de eroalergenos
o alimentos</t>
    </r>
  </si>
  <si>
    <r>
      <rPr>
        <sz val="10"/>
        <rFont val="Calibri"/>
        <family val="2"/>
        <scheme val="minor"/>
      </rPr>
      <t>Tratamiento mensual inmunoterapéutico completo (hipo sensibilización) Incluye: preparación, suministro y
aplicación de antígenos con uno o más extractos alergénicos y controles médicos</t>
    </r>
  </si>
  <si>
    <r>
      <rPr>
        <sz val="10"/>
        <rFont val="Calibri"/>
        <family val="2"/>
        <scheme val="minor"/>
      </rPr>
      <t>Tratamiento inmunoterapéutico completo (hipo-sensibilización), de alergia en menores de  6  años por picadura
de pulga</t>
    </r>
  </si>
  <si>
    <r>
      <rPr>
        <sz val="10"/>
        <rFont val="Calibri"/>
        <family val="2"/>
        <scheme val="minor"/>
      </rPr>
      <t>Tratamiento inmunoterapéutico completo (hipo-sensibilización), de alergia en mayores de  6  años por picadura
de pulga</t>
    </r>
  </si>
  <si>
    <r>
      <rPr>
        <sz val="10"/>
        <rFont val="Calibri"/>
        <family val="2"/>
        <scheme val="minor"/>
      </rPr>
      <t>Tratamiento de conductos en dientes birradiculares con radiografía previa y de control; no incluye valor de
RX(cada conducto)</t>
    </r>
  </si>
  <si>
    <r>
      <rPr>
        <sz val="10"/>
        <rFont val="Calibri"/>
        <family val="2"/>
        <scheme val="minor"/>
      </rPr>
      <t>Tratamiento de conductos en dientes multirradiculares con radiografía previa y de control; no incluye valor de RX
(cada conducto)</t>
    </r>
  </si>
  <si>
    <r>
      <rPr>
        <sz val="10"/>
        <rFont val="Calibri"/>
        <family val="2"/>
        <scheme val="minor"/>
      </rPr>
      <t>Escleroterapia venosa; tratamiento completo uni o bilateral por paciente, en varices  grado I o II; incluye las
soluciones veno esclerosantes</t>
    </r>
  </si>
  <si>
    <r>
      <rPr>
        <sz val="10"/>
        <rFont val="Calibri"/>
        <family val="2"/>
        <scheme val="minor"/>
      </rPr>
      <t>Interconsulta de soporte nutricional especializado, en paciente hospitalizado que requiera nutrición parenteral o
soporte enteral especial</t>
    </r>
  </si>
  <si>
    <r>
      <rPr>
        <sz val="10"/>
        <rFont val="Calibri"/>
        <family val="2"/>
        <scheme val="minor"/>
      </rPr>
      <t>j. Servicios y recursos de la Institución Prestadora de Servicio para comodidad del paciente (ascensores, calderas, llamado de
enfermeras, teléfono local, aire acondicionado, etc.,)</t>
    </r>
  </si>
  <si>
    <r>
      <rPr>
        <sz val="10"/>
        <rFont val="Calibri"/>
        <family val="2"/>
        <scheme val="minor"/>
      </rPr>
      <t>a.  Pacientes que en el postoperatorio se complican con fascitis necrosante, fístulas, osteomielitis y abscesos de pared abdominal, o se
les realice curación en abdomen abierto</t>
    </r>
  </si>
  <si>
    <r>
      <rPr>
        <sz val="10"/>
        <rFont val="Calibri"/>
        <family val="2"/>
        <scheme val="minor"/>
      </rPr>
      <t>Valoración inicial intrahospitalaria, por el especialista tratante, del paciente ingresado para estudio y/o tratamiento
no quirúrgico u obstétrico</t>
    </r>
  </si>
  <si>
    <r>
      <rPr>
        <sz val="10"/>
        <rFont val="Calibri"/>
        <family val="2"/>
        <scheme val="minor"/>
      </rPr>
      <t>Valoración inicial intrahospitalaria, por el médico general tratante, del paciente ingresado para tratamiento no
quirúrgico u obstétrico</t>
    </r>
  </si>
  <si>
    <r>
      <rPr>
        <sz val="10"/>
        <rFont val="Calibri"/>
        <family val="2"/>
        <scheme val="minor"/>
      </rPr>
      <t>Valoración por el pediatra, del recién nacido y controles del sano durante toda su permanencía en el servicio de
hospitalización</t>
    </r>
  </si>
  <si>
    <r>
      <rPr>
        <sz val="10"/>
        <rFont val="Calibri"/>
        <family val="2"/>
        <scheme val="minor"/>
      </rPr>
      <t>Valoración por el médico general, del recién nacido y controles del sano durante toda su permanencia en el
servicio de hospitalización</t>
    </r>
  </si>
  <si>
    <r>
      <rPr>
        <sz val="10"/>
        <rFont val="Calibri"/>
        <family val="2"/>
        <scheme val="minor"/>
      </rPr>
      <t>Permanencia diurna, para tratamiento ambulatorio del paciente comprendidos los mismos servicios de la
estancia siquiátrica, excepto la pernoctada</t>
    </r>
  </si>
  <si>
    <r>
      <rPr>
        <sz val="10"/>
        <rFont val="Calibri"/>
        <family val="2"/>
        <scheme val="minor"/>
      </rPr>
      <t>Permanencia diurna, para tratamiento ambulatorio del paciente, comprendidos los mismos servicios de la
estancia siquiátrica, excepto la pernoctada</t>
    </r>
  </si>
  <si>
    <r>
      <rPr>
        <sz val="10"/>
        <rFont val="Calibri"/>
        <family val="2"/>
        <scheme val="minor"/>
      </rPr>
      <t>Atención médica y de salud oral, incluídas las acciones de promoción de la salud, prevención de la enfermedad y
protección específica. Por sesion.</t>
    </r>
  </si>
  <si>
    <r>
      <rPr>
        <sz val="10"/>
        <rFont val="Calibri"/>
        <family val="2"/>
        <scheme val="minor"/>
      </rPr>
      <t>Acciones de promoción de la salud, prevención de la enfermedad y protección Departamentos de : Amazonas, Arauca, Casanare, Caquetá, Chocó, Guajira, Guainía, Guaviare, Meta, Putumayo, San Andrés y Providencia, Sucre, Vaupés, Vichada y Región de Urabá. Se exceptúan los municipios de Arauca, Florencia, Rioacha,
Sincelejo, Villavicencio y Yopal</t>
    </r>
  </si>
  <si>
    <r>
      <rPr>
        <sz val="10"/>
        <rFont val="Calibri"/>
        <family val="2"/>
        <scheme val="minor"/>
      </rPr>
      <t>Atención médica y de salud oral, incluídas las acciones de promoción de la salud, prevención de la y protección
específica. Por sesion.</t>
    </r>
  </si>
  <si>
    <t>SERVICIOS INTRAHOSPITALARIOS Y AMBULATORIOS ESTANCIAS, SERVICIOS PROFESIONALES, DERECHOS DE SALA, MATERIALES, SUMINISTROS Y EQUIPOS, CONTENIDO Y TARIFAS</t>
  </si>
  <si>
    <t>De este concepto se excluyen, los elementos y materiales utilizados en la administración de medicamentos por vía parenteral y la realización de limpieza y curación de heridas.</t>
  </si>
  <si>
    <r>
      <t>I</t>
    </r>
    <r>
      <rPr>
        <b/>
        <sz val="10"/>
        <rFont val="Calibri"/>
        <family val="2"/>
        <scheme val="minor"/>
      </rPr>
      <t>NSTITUCIONES DE SEGUNDO NIVEL DEDICADAS A LA ATENCIÓN DE VARIAS ESPECIALIDADES INCLUÍDA LA PSIQUIATRÍA</t>
    </r>
  </si>
  <si>
    <t>Por sesión, que incluye: La dotación y servicio de enfermería, la utilización de los equipos y elementos propios de la Unidad, servicios públicos y de aseo</t>
  </si>
  <si>
    <t>Atención diaria en la Unidad de Nefrología, que incluye: la dotación y servicio de enfermería, la utilización de los equipos y elementos propios de la Unidad, servicios públicos y de aseo</t>
  </si>
  <si>
    <t>Atención de hemodiálisis por insuficiencia renal aguda, incluído el procedimiento y los controles intrahospitalarios requeridos</t>
  </si>
  <si>
    <t>Atención diaria de diálisis peritoneal por insuficiencia renal aguda, incluído el procedimiento y los controles intrahospitalarios</t>
  </si>
  <si>
    <t>Entrenamiento previo necesario de cada paciente que ingrese al programa de diálisis peritoneal ambulatoria, por insuficiencia renal crónica (actividades del equipo médico y paramédico de la Unidad)</t>
  </si>
  <si>
    <t>Atención mensual integral por paciente en díalisis peritoneal ambulatoria por insuficiencia renal crónica (incluye:  controles médicos, cambios de equipo de infusión y adiestramiento)</t>
  </si>
  <si>
    <t>En los procedimientos que se encuentran detallados como conjuntos integrales de atención solo se reconocerá esta tarifa como pago por la prestación del servicio. En términos generales no se reconocerá el pago por servicios discriminados por los procedimientos que se encuentren como conjuntos integrales de atención. En circunstancias excepcionales, cuando el proveedor del servicio no dispone del recurso médico necesario o éste lo ofrece en forma parcial, cuando no haya otra oferta alternativa,  el servicio podrá cobrarse parcialmente.</t>
  </si>
  <si>
    <t>Se considera la intervención mayor y consecuentemente en la liquidación se tendrá en cuenta el ciento por ciento (100%) de su tarifa; las demás cirugías se pagarán de acuerdo con los    porcentajes, sobre el valor de cada una, definidos en los Artículos 49, 55, 71, 72 y 73, de este decreto para los derechos de sala, materiales de sutura,  curación  y servicios profesionales, según las cirugías adicionales se  practiquen por igual o diferente vía de acceso con respecto a la de Conjunto y la realice un mismo especialista o de diferente especialidad.</t>
  </si>
  <si>
    <t>Si las realiza el mismo especialista por igual vía de acceso, la cirugía de Conjunto con tarifa superior se considera la principal y se liquida con el ciento por ciento (100%) de ésta  y se adiciona en el  veinticinco   por ciento ( 25%) sobre el valor del Conjunto que le preceda según la cuantía.</t>
  </si>
  <si>
    <t>El valor de la intervención principal, definida bajo los parámetros establecidos en el inciso anterior, se incrementa en el setenta  por ciento  (70%)  de cada una de las demás consideradas por Conjunto, cuando el mismo especialista utiliza diferente vía de acceso o las practican médicos de distinta especialidad.</t>
  </si>
  <si>
    <t>Los porcentajes de incremento  determinados en este literal únicamente se aplican si el servicio se presta en la forma integral prevista en los Conjuntos; en la atención parcial considerada en el Parágrafo 6 de este Artículo, el servicio profesional, objeto del contrato,  se reajusta en el sesenta por ciento (60%) cuando el  especialista practica las cirugías por la misma vía de acceso o del ciento por ciento (100%) cuando  utiliza distintas vías o se trata de cirugías que en acto único  efectúan médicos de distinta especialidad.</t>
  </si>
  <si>
    <t>A manera de guía, en algunos Conjuntos se relacionan las complicaciones más usuales y se indica el respectivo tratamiento cuando el mismo está definido en el Manual bajo otro Conjunto. Estos hacen parte de este Decreto</t>
  </si>
  <si>
    <t>El fallecimiento del paciente durante  el  período post- quirúrgico de recuperación u hospitalario, es otra de las causales  que da lugar a la no facturación por la tarifa del Conjunto correspondiente al procedimiento efectuado; en este caso  los servicios que fueron objeto de la atención se liquidarán al valor fijado en el Manual para cada actividad causada.</t>
  </si>
  <si>
    <t>En Donante vivo: Los servicios de salud que se causen por valoración general del dador, y específicos del órgano o componente anatómico a donar y el manejo pre, intra y post-operatorio del procedimiento quirúrgico de la ablación, a las tarifas establecidas en este Decreto.</t>
  </si>
  <si>
    <t>En Donante cadáver: exclusivamente los que se originen a partir del momento en que se diagnostique la muerte cerebral, sin que en ningún caso se contabilicen gastos correspondientes a servicios causados con anterioridad a veinticuatro (24) horas de la práctica de la ablación, a las tarifas autorizadas por el Ministerio de Salud, conforme lo dispone el Artículo 16 del Decreto No.
1172 de 1.989.</t>
  </si>
  <si>
    <t>La tarifa de los servicios profesionales en la atención del parto (normal, intervenido o cesárea), incluye además de la consulta preanestésica, los controles médicos preparto ambulatorios a partir del octavo mes y de trabajo de parto</t>
  </si>
  <si>
    <t>Si hubiere necesidad de controles por la misma causa en un lapso mayor, se reconocerán los servicios profesionales correspondientes, de acuerdo con la tarifa establecida bajo el Código  39149 cuando se trate de paciente hospitalizado, y a los códigos  39143 o 39157, según el caso, cuando el paciente sea ambulatorio.</t>
  </si>
  <si>
    <t>Para procedimiento y exámenes , en el Artículo correspondiente a su definición, se hacen excepciones con respecto a elementos que son objeto de reconocimiento adicional a su tarifa .</t>
  </si>
  <si>
    <t>La obligatoriedad de la atención inicial de urgencias estará de acuerdo con el Nivel de Atención de la Institución respectiva .También existirá en la forma de contra referencia, es decir las Instituciones de menor complejidad, estarán obligadas a recibir y  a atender  los pacientes enviados desde las Instituciones de mayor complejidad y deberá estar de acuerdo con los recursos disponibles a su nivel de atención.</t>
  </si>
  <si>
    <t>COMUNÍQUESE, PUBLÍQUESE Y CÚMPLASE</t>
  </si>
  <si>
    <r>
      <rPr>
        <b/>
        <sz val="10"/>
        <color rgb="FF000000"/>
        <rFont val="Calibri"/>
        <family val="2"/>
        <scheme val="minor"/>
      </rPr>
      <t xml:space="preserve">b) </t>
    </r>
    <r>
      <rPr>
        <sz val="10"/>
        <color rgb="FF000000"/>
        <rFont val="Calibri"/>
        <family val="2"/>
        <scheme val="minor"/>
      </rPr>
      <t>Más de una cirugía de Conjunto</t>
    </r>
  </si>
  <si>
    <r>
      <rPr>
        <b/>
        <sz val="10"/>
        <color rgb="FF000000"/>
        <rFont val="Calibri"/>
        <family val="2"/>
        <scheme val="minor"/>
      </rPr>
      <t xml:space="preserve">a) </t>
    </r>
    <r>
      <rPr>
        <sz val="10"/>
        <color rgb="FF000000"/>
        <rFont val="Calibri"/>
        <family val="2"/>
        <scheme val="minor"/>
      </rPr>
      <t>Una cirugía de Conjunto</t>
    </r>
  </si>
  <si>
    <t>CAPÍTULO I</t>
  </si>
  <si>
    <t>MANUAL TARIFARIO SOAT ACTUALIZADO 2023 VS DECRETO 2644 2022</t>
  </si>
  <si>
    <r>
      <rPr>
        <b/>
        <sz val="10"/>
        <color rgb="FF000000"/>
        <rFont val="Calibri"/>
        <family val="2"/>
        <scheme val="minor"/>
      </rPr>
      <t>ARTÍCULO 1:</t>
    </r>
    <r>
      <rPr>
        <sz val="10"/>
        <color rgb="FF000000"/>
        <rFont val="Calibri"/>
        <family val="2"/>
        <scheme val="minor"/>
      </rPr>
      <t xml:space="preserve">- CAMPO DE APLICACIÓN: El Anexo Técnico 1 del decreto 780 2016, será de obligatorio cumplimiento en los casos originados por accidente de tránsito, desastres naturales, atentados terroristas y los demás eventos catastróficos definidos por el Ministerio de Salud y Protección Social; también en la </t>
    </r>
    <r>
      <rPr>
        <sz val="10"/>
        <color rgb="FFFF0000"/>
        <rFont val="Calibri"/>
        <family val="2"/>
        <scheme val="minor"/>
      </rPr>
      <t>atención inicial de urgencias de otra naturaleza, si no hay acuerdo entre las partes.</t>
    </r>
  </si>
  <si>
    <r>
      <rPr>
        <b/>
        <sz val="10"/>
        <color rgb="FF000000"/>
        <rFont val="Calibri"/>
        <family val="2"/>
        <scheme val="minor"/>
      </rPr>
      <t xml:space="preserve">Parágrafo. </t>
    </r>
    <r>
      <rPr>
        <sz val="10"/>
        <color rgb="FF000000"/>
        <rFont val="Calibri"/>
        <family val="2"/>
        <scheme val="minor"/>
      </rPr>
      <t>Los contratos para la prestación de otros servicios de salud, por parte de las instituciones prestadoras de servicios de salud, públicas o privadas, se pagarán de acuerdo con las tarifas acordadas, para lo cual se tendrán como referencia las establecidas en el Anexo Técnico 1 del presente decreto.</t>
    </r>
  </si>
  <si>
    <t>CAPÍTULO II</t>
  </si>
  <si>
    <r>
      <rPr>
        <b/>
        <sz val="10"/>
        <color rgb="FF000000"/>
        <rFont val="Calibri"/>
        <family val="2"/>
        <scheme val="minor"/>
      </rPr>
      <t>ARTÍCULO 2: DEFINICIONES:</t>
    </r>
    <r>
      <rPr>
        <sz val="10"/>
        <color rgb="FF000000"/>
        <rFont val="Calibri"/>
        <family val="2"/>
        <scheme val="minor"/>
      </rPr>
      <t xml:space="preserve"> Para efectos del presente decreto, se deberán tener en cuenta además de las definiciones consagradas en los Decretos 1938 de 1994 y 2174 de 1996, Resolución 5261 de 1994 las siguientes:</t>
    </r>
  </si>
  <si>
    <r>
      <rPr>
        <b/>
        <sz val="10"/>
        <color rgb="FF000000"/>
        <rFont val="Calibri"/>
        <family val="2"/>
        <scheme val="minor"/>
      </rPr>
      <t xml:space="preserve">CIRUGIA PLÁSTICA O REPARADORA </t>
    </r>
    <r>
      <rPr>
        <sz val="10"/>
        <color rgb="FF000000"/>
        <rFont val="Calibri"/>
        <family val="2"/>
        <scheme val="minor"/>
      </rPr>
      <t>: Es la que se practica sobre órganos o tejidos con la finalidad de mejorar o restaurar la función de los mismos, o para evitar alteraciones orgánicas o funcionales en otros órganos relacionados entre si.</t>
    </r>
  </si>
  <si>
    <r>
      <rPr>
        <b/>
        <sz val="10"/>
        <color rgb="FF000000"/>
        <rFont val="Calibri"/>
        <family val="2"/>
        <scheme val="minor"/>
      </rPr>
      <t xml:space="preserve">HABITACIÓN UNIPERSONAL: </t>
    </r>
    <r>
      <rPr>
        <sz val="10"/>
        <color rgb="FF000000"/>
        <rFont val="Calibri"/>
        <family val="2"/>
        <scheme val="minor"/>
      </rPr>
      <t>Es la que requiere que dentro de su área se disponga de lavado y cuarto de aseo para uso exclusivo del paciente e individualizada con muros.</t>
    </r>
  </si>
  <si>
    <r>
      <rPr>
        <b/>
        <sz val="10"/>
        <color rgb="FF000000"/>
        <rFont val="Calibri"/>
        <family val="2"/>
        <scheme val="minor"/>
      </rPr>
      <t xml:space="preserve">HABITACIÓN BIPERSONAL: </t>
    </r>
    <r>
      <rPr>
        <sz val="10"/>
        <color rgb="FF000000"/>
        <rFont val="Calibri"/>
        <family val="2"/>
        <scheme val="minor"/>
      </rPr>
      <t>Es la que está individualizada con muros y el servicio de lavado y cuarto de aseo está integrado a la habitación, para uso exclusivo de los pacientes que en ella se hospitalicen o compartida máximo con otra habitación del mismo tipo o de una cama. En ese caso, la pieza individual clasifica como bipersonal.</t>
    </r>
  </si>
  <si>
    <r>
      <rPr>
        <b/>
        <sz val="10"/>
        <color rgb="FF000000"/>
        <rFont val="Calibri"/>
        <family val="2"/>
        <scheme val="minor"/>
      </rPr>
      <t>HABITACIÓN DE TRES (3) CAMAS:</t>
    </r>
    <r>
      <rPr>
        <sz val="10"/>
        <color rgb="FF000000"/>
        <rFont val="Calibri"/>
        <family val="2"/>
        <scheme val="minor"/>
      </rPr>
      <t xml:space="preserve"> Es aquella en que las camas están localizadas dentro de una misma área, sin ningún tipo de división o individualizadas por cancel, cortina o cualquier otro medio. El servicio de lavado y cuarto de aseo está localizado dentro del área de la habitación o aledaño para uso exclusivo o compartido con otra habitación hasta de tres (3) camas.</t>
    </r>
  </si>
  <si>
    <r>
      <rPr>
        <b/>
        <sz val="10"/>
        <color rgb="FF000000"/>
        <rFont val="Calibri"/>
        <family val="2"/>
        <scheme val="minor"/>
      </rPr>
      <t xml:space="preserve">HABITACIÓN DE CUATRO (4) O MÁS CAMAS: </t>
    </r>
    <r>
      <rPr>
        <sz val="10"/>
        <color rgb="FF000000"/>
        <rFont val="Calibri"/>
        <family val="2"/>
        <scheme val="minor"/>
      </rPr>
      <t>Es aquella en que las camas están dentro de una misma área sin ningún tipo de división o individualizadas por cancel, cortina o cualquier otro medio. El servicio de lavado y cuarto de aseo está localizado dentro del área de la habitación o aledaño para uso exclusivo o compartido con otras habitaciones .</t>
    </r>
  </si>
  <si>
    <r>
      <rPr>
        <b/>
        <sz val="10"/>
        <color rgb="FF000000"/>
        <rFont val="Calibri"/>
        <family val="2"/>
        <scheme val="minor"/>
      </rPr>
      <t xml:space="preserve">EXAMEN ODONTOLÓGICO DE PRIMERA VEZ: </t>
    </r>
    <r>
      <rPr>
        <sz val="10"/>
        <color rgb="FF000000"/>
        <rFont val="Calibri"/>
        <family val="2"/>
        <scheme val="minor"/>
      </rPr>
      <t>Es la actividad clínica que incluye un diagnóstico sobre el sistema estomatognático, la identificación de la placa bacteriana y el plan integral del tratamiento</t>
    </r>
  </si>
  <si>
    <r>
      <rPr>
        <b/>
        <sz val="10"/>
        <color rgb="FF000000"/>
        <rFont val="Calibri"/>
        <family val="2"/>
        <scheme val="minor"/>
      </rPr>
      <t xml:space="preserve">CONTROL DE PLACA BACTERIANA: </t>
    </r>
    <r>
      <rPr>
        <sz val="10"/>
        <color rgb="FF000000"/>
        <rFont val="Calibri"/>
        <family val="2"/>
        <scheme val="minor"/>
      </rPr>
      <t>Es la identificación y eliminación de la placa, así como la medición y comprobación del índice de higiene oral</t>
    </r>
  </si>
  <si>
    <r>
      <rPr>
        <b/>
        <sz val="10"/>
        <color rgb="FF000000"/>
        <rFont val="Calibri"/>
        <family val="2"/>
        <scheme val="minor"/>
      </rPr>
      <t>INSTRUCCIÓN DE HIGIENE ORAL:</t>
    </r>
    <r>
      <rPr>
        <sz val="10"/>
        <color rgb="FF000000"/>
        <rFont val="Calibri"/>
        <family val="2"/>
        <scheme val="minor"/>
      </rPr>
      <t xml:space="preserve"> Es la metodología didáctica integral sobre el control de riesgos y el mantenimiento de la salud oral con la finalidad de estimular el autocuidado</t>
    </r>
  </si>
  <si>
    <r>
      <rPr>
        <b/>
        <sz val="10"/>
        <color rgb="FF000000"/>
        <rFont val="Calibri"/>
        <family val="2"/>
        <scheme val="minor"/>
      </rPr>
      <t>TERAPIA DE MANTENIMIENTO:</t>
    </r>
    <r>
      <rPr>
        <sz val="10"/>
        <color rgb="FF000000"/>
        <rFont val="Calibri"/>
        <family val="2"/>
        <scheme val="minor"/>
      </rPr>
      <t xml:space="preserve"> Son las actividades clínicas que se desarrollan, tanto en adultos como en niños, para mantener las estructuras orales, en el nivel adecuado de fisiología.</t>
    </r>
  </si>
  <si>
    <r>
      <rPr>
        <b/>
        <sz val="10"/>
        <color rgb="FF000000"/>
        <rFont val="Calibri"/>
        <family val="2"/>
        <scheme val="minor"/>
      </rPr>
      <t>CONTROL ODONTOLÓGICO DE CRECIMIENTO Y DESARROLLO</t>
    </r>
    <r>
      <rPr>
        <sz val="10"/>
        <color rgb="FF000000"/>
        <rFont val="Calibri"/>
        <family val="2"/>
        <scheme val="minor"/>
      </rPr>
      <t>: Son las actividades clínicas que se deben ejecutar para evaluar la relación óseo dentaria y la ubicación de sus estructuras.</t>
    </r>
  </si>
  <si>
    <r>
      <rPr>
        <b/>
        <sz val="10"/>
        <color rgb="FF000000"/>
        <rFont val="Calibri"/>
        <family val="2"/>
        <scheme val="minor"/>
      </rPr>
      <t xml:space="preserve">ATENCIÓN DE URGENCIA DE TIPO PREHOSPITALARIO Y APOYO TERAPÉUTICO EN UNIDADES MÓVILES: </t>
    </r>
    <r>
      <rPr>
        <sz val="10"/>
        <color rgb="FF000000"/>
        <rFont val="Calibri"/>
        <family val="2"/>
        <scheme val="minor"/>
      </rPr>
      <t>Es el conjunto de recursos técnicos como equipamiento de cuidado intensivo, instrumental, materiales, equipo de radio, etc. y de recursos humanos capacitados en el manejo de emergencias, disponibles para desplazarse en forma oportuna al lugar ocurrencia de una emergencia, prestar la atención inicial por cualquier afección, mantener estabilizado el paciente durante su traslado a un Centro Hospitalario y a orientar respecto de las conductas provisionales que se deben asumir mientras se produce el contacto de la unidad con el paciente.</t>
    </r>
  </si>
  <si>
    <r>
      <rPr>
        <b/>
        <sz val="10"/>
        <color rgb="FF000000"/>
        <rFont val="Calibri"/>
        <family val="2"/>
        <scheme val="minor"/>
      </rPr>
      <t>SERVICIO DE URGENCIAS:</t>
    </r>
    <r>
      <rPr>
        <sz val="10"/>
        <color rgb="FF000000"/>
        <rFont val="Calibri"/>
        <family val="2"/>
        <scheme val="minor"/>
      </rPr>
      <t xml:space="preserve"> Es la Unidad que en forma independiente o dentro de una Entidad que preste servicios de salud, cuente con los recursos adecuados tanto humanos como físicos y de dotación que permitan la atención de personas con patología de urgencia, acorde con el nivel de atención y grado de complejidad, previamente definido por el Ministerio de Salud, para esa Unidad.</t>
    </r>
  </si>
  <si>
    <r>
      <rPr>
        <b/>
        <sz val="10"/>
        <color rgb="FF000000"/>
        <rFont val="Calibri"/>
        <family val="2"/>
        <scheme val="minor"/>
      </rPr>
      <t>PARÁGRAFO:</t>
    </r>
    <r>
      <rPr>
        <sz val="10"/>
        <color rgb="FF000000"/>
        <rFont val="Calibri"/>
        <family val="2"/>
        <scheme val="minor"/>
      </rPr>
      <t xml:space="preserve"> Este Manual, no define contenidos del Plan Obligatorio de Salud. Se refiere a tarifas aplicables a todas las actividades y procedimientos en general, incluidos aquellos del POS.</t>
    </r>
  </si>
  <si>
    <t>CAPITULO III</t>
  </si>
  <si>
    <r>
      <rPr>
        <b/>
        <sz val="10"/>
        <color rgb="FF000000"/>
        <rFont val="Calibri"/>
        <family val="2"/>
        <scheme val="minor"/>
      </rPr>
      <t xml:space="preserve">ARTÍCULO 3: </t>
    </r>
    <r>
      <rPr>
        <sz val="10"/>
        <color rgb="FF000000"/>
        <rFont val="Calibri"/>
        <family val="2"/>
        <scheme val="minor"/>
      </rPr>
      <t>- Establézcase para las intervenciones quirúrgicas en la especialidad de neurocirugía (01), la siguiente nomenclatura y clasificación:</t>
    </r>
  </si>
  <si>
    <t>DESCRIPCION</t>
  </si>
  <si>
    <t>Código</t>
  </si>
  <si>
    <t>GRUPO QUIRURGICO</t>
  </si>
  <si>
    <t>CRANEOTOMÍAS PARA TRATAMIENTO DE LESIÓNES VASCULARES
CONGÉNITAS O ADQUIRIDAS</t>
  </si>
  <si>
    <t>Tratamiento de malformaciones arterio venosas supratentoriales</t>
  </si>
  <si>
    <t>Tratamiento de malformaciones arterio venosas infratentoriales</t>
  </si>
  <si>
    <t>Tratamiento de malformaciones arterio venosas de línea media e intraventricular</t>
  </si>
  <si>
    <t>CRANEOTOMÍAS PARA TRATAMIENTO QUIRÚRGICO DE TUMORES
INTRACRANEALES</t>
  </si>
  <si>
    <t>Craneotomía para extirpación adenomas hipofisiarios</t>
  </si>
  <si>
    <t>Craneotomía para extirpación adenomas hipofisiarios (vía transesfenoidal)</t>
  </si>
  <si>
    <t>Craneotomía para resección de Cráneofaringioma</t>
  </si>
  <si>
    <t>Craneotomía para drenaje y extracción de tumores intraventriculares (Incluye: quiste coloide del tercer ventrículo)</t>
  </si>
  <si>
    <t>Craneotomía para pinealectomía</t>
  </si>
  <si>
    <t>Craneotomía para resección de tumores de fosa anterior</t>
  </si>
  <si>
    <t>Craneotomía para resección de tumores de fosa media</t>
  </si>
  <si>
    <t>Craneotomía para resección de tumores de fosa posterior</t>
  </si>
  <si>
    <t>Craneotomía para tumores del ángulo ponto cerebeloso</t>
  </si>
  <si>
    <t>TRATAMIENTOS QUIRÚRGICOS DE OTROS TUMORES INTRACRANEALES</t>
  </si>
  <si>
    <t>Tratamiento por vía anterior para tumores de clivus</t>
  </si>
  <si>
    <t>Craneotomía para tumores de hoz de cerebro</t>
  </si>
  <si>
    <t>Craneotomía para tumores de cuerpo calloso</t>
  </si>
  <si>
    <t>Descripción</t>
  </si>
  <si>
    <t>Grupo Quirúrgico</t>
  </si>
  <si>
    <t>Craneotomía para extracción cuerpo extraño; incluye esquirlectomía.</t>
  </si>
  <si>
    <t>Craneotomía para drenaje hematoma epidural o subdural.</t>
  </si>
  <si>
    <t>Craneotomía para extracción secuestro.</t>
  </si>
  <si>
    <t>Craneotomía para drenaje de hematoma de fosa posterior.</t>
  </si>
  <si>
    <t>Craneotomía para reparación de fractura con o sin hundimiento; incluye desbridamiento.</t>
  </si>
  <si>
    <t>Craneotomía para ruptura de senos de duramadre.</t>
  </si>
  <si>
    <t>Trepanación para monitoreo de presión intracraneana.</t>
  </si>
  <si>
    <t>Craneotomía para drenaje hematoma intracerebral.</t>
  </si>
  <si>
    <t>Craneotomía para lobectomía temporal; incluye amigdalohipocampectomía.</t>
  </si>
  <si>
    <t>Embolización para cateterismo de arterias intracraneanas.</t>
  </si>
  <si>
    <t>Angioplastia intraluminal.</t>
  </si>
  <si>
    <t>Aneurismectomía con clipaje o ligadura de carótida intracavernosa.</t>
  </si>
  <si>
    <t>Aneurismectomía con clipaje o ligadura de aneurisma cerebral.</t>
  </si>
  <si>
    <t>Tratamiento quirúrgico de fístulas arterio venosas.</t>
  </si>
  <si>
    <t>Craneotomía para resección o extirpación de malformaciones o tumores vasculares.</t>
  </si>
  <si>
    <t>Craneotomía para resección tumores del tronco cerebral.</t>
  </si>
  <si>
    <t>Resección tumores intramedulares.</t>
  </si>
  <si>
    <t>Extracción de tumor del foramen magnum por vía anterior.</t>
  </si>
  <si>
    <t>Extracción de tumor del foramen magnum por vía posterior.</t>
  </si>
  <si>
    <t>Craneotomía para hemisferectomía.</t>
  </si>
  <si>
    <t>Craneotomía para lobectomía.</t>
  </si>
  <si>
    <t>Craneotomía para amigdalectomía.</t>
  </si>
  <si>
    <t>Craneotomía para extirpación de lesiones subcorticales.</t>
  </si>
  <si>
    <t>Craneotomía para biopsia cerebral estereotáxica.</t>
  </si>
  <si>
    <t>Craneotomía para biopsia cerebral a cielo abierto.</t>
  </si>
  <si>
    <t>Craneotomía para descompresión de fosa posterior.</t>
  </si>
  <si>
    <t>Craneotomía para descompresión orbitaria.</t>
  </si>
  <si>
    <t>Extirpación de lesión y/o tejido de las meninges cerebrales.</t>
  </si>
  <si>
    <t>Ventriculostomía.</t>
  </si>
  <si>
    <t>Derivación ventrículo atrial o ventrículo peritoneal.</t>
  </si>
  <si>
    <t>Revisión de derivación ventrículo atrial o ventrículo peritoneal.</t>
  </si>
  <si>
    <t>Derivación externa de líquido cefalorraquídeo.</t>
  </si>
  <si>
    <t>Ventriculocisternostomía (Stoore).</t>
  </si>
  <si>
    <t>Punción estereotáxica de quistes, abscesos y hematomas intracraneanos.</t>
  </si>
  <si>
    <t>Punción de ventrículos cerebrales a través de craneotomía.</t>
  </si>
  <si>
    <t>Biopsia estereotáxica de lesiones cerebrales.</t>
  </si>
  <si>
    <t>Colocación de catéter ventricular para infusión.</t>
  </si>
  <si>
    <t>Craneotomía para fenestración o resección de quiste aracnoideo.</t>
  </si>
  <si>
    <t>Craneotomía para tratamiento de enfermedades por movimientos anormales.</t>
  </si>
  <si>
    <t>Estimulación cerebral profunda.</t>
  </si>
  <si>
    <t>Estimulación crónica de la corteza cerebral.</t>
  </si>
  <si>
    <t>Estimulación del nervio vago.</t>
  </si>
  <si>
    <t>Colocación de electrodos para monitoreo.</t>
  </si>
  <si>
    <t>Tratamiento de epilepsia por resección o ablación de lesiones.</t>
  </si>
  <si>
    <t>Hemisferectomía funcional.</t>
  </si>
  <si>
    <t>Callosotomía.</t>
  </si>
  <si>
    <t>Multiple subpial transection.</t>
  </si>
  <si>
    <t>Craneotomía para corticotomía o estimulación cerebral profunda.</t>
  </si>
  <si>
    <t>Craneotomía para estimulación cerebral profunda con electrodo permanente.</t>
  </si>
  <si>
    <t>Drenaje absceso cerebral a cielo abierto.</t>
  </si>
  <si>
    <t>Extracción de lesiones cerebrales por vía endoscópica.</t>
  </si>
  <si>
    <t>Fenestración del piso del tercer ventrículo por vía endoscópica.</t>
  </si>
  <si>
    <t>Biopsia cerebral por vía endoscópica.</t>
  </si>
  <si>
    <t>Colocación de sistema de derivación de líquido cefalorraquídeo.</t>
  </si>
  <si>
    <t>Cambio de sistema de derivación de líquido cefalorraquídeo.</t>
  </si>
  <si>
    <t>Remoción de sistema de derivación de líquido cefalorraquídeo.</t>
  </si>
  <si>
    <t>Reparación de fístula de líquido cefalorraquídeo.</t>
  </si>
  <si>
    <t>Craneotomía para tratamiento de fístula de líquido cefalorraquídeo.</t>
  </si>
  <si>
    <t>Craniectomía para drenaje de fístula de líquido cefalorraquídeo.</t>
  </si>
  <si>
    <t>Craneotomía para drenaje de seroma o higroma.</t>
  </si>
  <si>
    <t>Reparación de defectos óseos craneales (injerto óseo).</t>
  </si>
  <si>
    <t>Reparación de defectos óseos craneales (placas).</t>
  </si>
  <si>
    <t>Descompresión orbitaria para exoftalmos.</t>
  </si>
  <si>
    <t>Extracción de cuerpo extraño intraorbitario.</t>
  </si>
  <si>
    <t>Exploración orbitaria.</t>
  </si>
  <si>
    <t>Biopsia de lesión orbitaria.</t>
  </si>
  <si>
    <t>Extirpación de tumor orbitario.</t>
  </si>
  <si>
    <t>Craneoplastia con injerto de hueso (autólogo o heterólogo).</t>
  </si>
  <si>
    <t>Craneoplastia con material protésico (malla, acrílico).</t>
  </si>
  <si>
    <t>Reconstrucción craneofacial compleja.</t>
  </si>
  <si>
    <t>Descompresión del nervio óptico.</t>
  </si>
  <si>
    <t>Reparación de fractura de órbita.</t>
  </si>
  <si>
    <t>Drenaje de absceso o hematoma orbitario.</t>
  </si>
  <si>
    <t>Corrección de craneosinostosis.</t>
  </si>
  <si>
    <t>Craneotomía para corrección de disostosis craneofacial.</t>
  </si>
  <si>
    <t>Craneotomía para corrección de plagiocefalia.</t>
  </si>
  <si>
    <t>Craneotomía para corrección de trigonocefalia.</t>
  </si>
  <si>
    <t>Craneotomía para corrección de escafocefalia.</t>
  </si>
  <si>
    <t>Craneotomía para remodelación craneal en síndromes complejos.</t>
  </si>
  <si>
    <t>Craneotomía para extirpación de quiste dermoide o epidermoide intracraneal.</t>
  </si>
  <si>
    <t>Craneotomía para marsupialización de quiste aracnoideo.</t>
  </si>
  <si>
    <t>Craneotomía para coagulación de plexo coroideo.</t>
  </si>
  <si>
    <t>Craneotomía para implante de electrodos subcorticales.</t>
  </si>
  <si>
    <t>Craneotomía para lobotomía o tractotomía cerebral.</t>
  </si>
  <si>
    <t>Craneotomía para cingulotomía.</t>
  </si>
  <si>
    <t>Craneotomía para capsulotomía.</t>
  </si>
  <si>
    <t>Craneotomía para palidotomía.</t>
  </si>
  <si>
    <t>Craneotomía para talamotomía.</t>
  </si>
  <si>
    <t>Craneotomía para hipofisectomía.</t>
  </si>
  <si>
    <t>Craneotomía para rizotomía trigeminal.</t>
  </si>
  <si>
    <t>Descompresión microvascular del nervio trigémino.</t>
  </si>
  <si>
    <t>Descompresión microvascular del nervio facial.</t>
  </si>
  <si>
    <t>Descompresión microvascular del nervio glosofaríngeo.</t>
  </si>
  <si>
    <t>Descompresión microvascular de otros nervios craneales.</t>
  </si>
  <si>
    <t>Neurotomía del nervio glosofaríngeo.</t>
  </si>
  <si>
    <t>Neurotomía del nervio hipogloso.</t>
  </si>
  <si>
    <t>Neurotomía del nervio trigémino (ganglio de Gasser).</t>
  </si>
  <si>
    <t>Bloqueo de nervios craneales.</t>
  </si>
  <si>
    <t>Infiltración de ganglio de Gasser.</t>
  </si>
  <si>
    <t>Termocoagulación del ganglio de Gasser.</t>
  </si>
  <si>
    <t>Rizotomía por radiofrecuencia del ganglio de Gasser.</t>
  </si>
  <si>
    <t>Radiocirugía estereotáxica de lesiones intracraneales.</t>
  </si>
  <si>
    <t>Radiocirugía estereotáxica para neuralgia del trigémino.</t>
  </si>
  <si>
    <t>Radiocirugía estereotáxica de tumores cerebrales.</t>
  </si>
  <si>
    <t>Radiocirugía estereotáxica de malformaciones arteriovenosas.</t>
  </si>
  <si>
    <t>Radiocirugía estereotáxica de lesiones funcionales.</t>
  </si>
  <si>
    <t>Exploración del nervio facial.</t>
  </si>
  <si>
    <t>Descompresión del nervio facial.</t>
  </si>
  <si>
    <t>Anastomosis nervio facial.</t>
  </si>
  <si>
    <t>Injerto de nervio facial.</t>
  </si>
  <si>
    <t>Extirpación de neuroma acústico.</t>
  </si>
  <si>
    <t>Implante coclear (cuando se realiza por Neurocirugía).</t>
  </si>
  <si>
    <t>Descompresión vascular de tronco encefálico.</t>
  </si>
  <si>
    <t>Implante de electrodos para estimulación cerebral profunda.</t>
  </si>
  <si>
    <t>Revisión o reposición de electrodos de estimulación cerebral profunda.</t>
  </si>
  <si>
    <t>Implante de generador de pulso para estimulación cerebral profunda.</t>
  </si>
  <si>
    <t>Cambio de generador de pulso para estimulación cerebral profunda.</t>
  </si>
  <si>
    <t>Extracción de electrodos o generador de estimulación cerebral profunda.</t>
  </si>
  <si>
    <t>Tratamiento quirúrgico de la espasticidad (rizotomía dorsal selectiva).</t>
  </si>
  <si>
    <t>Implante de bomba intratecal.</t>
  </si>
  <si>
    <t>Revisión o reposición de bomba intratecal.</t>
  </si>
  <si>
    <t>Recarga de bomba intratecal.</t>
  </si>
  <si>
    <t>Extracción de bomba intratecal.</t>
  </si>
  <si>
    <t>Mielotomía.</t>
  </si>
  <si>
    <t>Cordotomía.</t>
  </si>
  <si>
    <t>Rizotomía.</t>
  </si>
  <si>
    <t>Estimulación de la médula espinal (implante de electrodos).</t>
  </si>
  <si>
    <t>Revisión o reposición de electrodos de estimulación medular.</t>
  </si>
  <si>
    <t>Implante de generador de pulso para estimulación medular.</t>
  </si>
  <si>
    <t>Cambio de generador de pulso para estimulación medular.</t>
  </si>
  <si>
    <t>Extracción de electrodos o generador de estimulación medular.</t>
  </si>
  <si>
    <t>Tratamiento quirúrgico de malformaciones vasculares medulares.</t>
  </si>
  <si>
    <t>Tratamiento quirúrgico de tumores intramedulares.</t>
  </si>
  <si>
    <t>Tratamiento quirúrgico de siringomielia.</t>
  </si>
  <si>
    <t>Tratamiento quirúrgico de mielopatía por espondilosis.</t>
  </si>
  <si>
    <t>Laminectomía cervical para descompresión medular.</t>
  </si>
  <si>
    <t>Laminectomía torácica para descompresión medular.</t>
  </si>
  <si>
    <t>Laminectomía lumbar para descompresión medular.</t>
  </si>
  <si>
    <t>Laminoplastia cervical.</t>
  </si>
  <si>
    <t>Laminoplastia torácica.</t>
  </si>
  <si>
    <t>Laminoplastia lumbar.</t>
  </si>
  <si>
    <t>Discectomía cervical anterior.</t>
  </si>
  <si>
    <t>Discectomía cervical posterior.</t>
  </si>
  <si>
    <t>Discectomía torácica.</t>
  </si>
  <si>
    <t>Discectomía lumbar.</t>
  </si>
  <si>
    <t>Fusión intersomática cervical (vía anterior o posterior).</t>
  </si>
  <si>
    <t>Fusión intersomática torácica.</t>
  </si>
  <si>
    <t>Fusión intersomática lumbar (PLIF, TLIF, ALIF).</t>
  </si>
  <si>
    <t>Instrumentación de columna cervical.</t>
  </si>
  <si>
    <t>Instrumentación de columna torácica.</t>
  </si>
  <si>
    <t>Instrumentación de columna lumbar.</t>
  </si>
  <si>
    <t>Vertebrectomía cervical.</t>
  </si>
  <si>
    <t>Vertebrectomía torácica.</t>
  </si>
  <si>
    <t>Vertebrectomía lumbar.</t>
  </si>
  <si>
    <t>Corrección quirúrgica de escoliosis.</t>
  </si>
  <si>
    <t>Corrección quirúrgica de cifosis.</t>
  </si>
  <si>
    <t>Drenaje de absceso epidural espinal.</t>
  </si>
  <si>
    <t>Extirpación de quiste sinovial espinal.</t>
  </si>
  <si>
    <t>Extirpación de quiste meníngeo espinal.</t>
  </si>
  <si>
    <t>Extracción de cuerpo extraño intrarraquídeo.</t>
  </si>
  <si>
    <t>Biopsia de lesión espinal.</t>
  </si>
  <si>
    <t>Reparación de fístula de líquido cefalorraquídeo espinal.</t>
  </si>
  <si>
    <t>Implante de barra de distracción posterior.</t>
  </si>
  <si>
    <t>Descompresión de médula espinal por vía endoscópica.</t>
  </si>
  <si>
    <t>Discectomía lumbar por vía endoscópica.</t>
  </si>
  <si>
    <t>Foraminotomía endoscópica.</t>
  </si>
  <si>
    <t>Vertebroplastia.</t>
  </si>
  <si>
    <t>Cifoplastia.</t>
  </si>
  <si>
    <t>Infiltración epidural.</t>
  </si>
  <si>
    <t>Bloqueo facetario.</t>
  </si>
  <si>
    <t>Bloqueo de raíces nerviosas.</t>
  </si>
  <si>
    <t>Rizotomía percutánea.</t>
  </si>
  <si>
    <t>Nucleoplastia.</t>
  </si>
  <si>
    <t>Ozonoterapia intradiscal.</t>
  </si>
  <si>
    <t>Extirpación de tumor de nervio periférico.</t>
  </si>
  <si>
    <t>Neurolisis de nervio periférico.</t>
  </si>
  <si>
    <t>Sutura de nervio periférico.</t>
  </si>
  <si>
    <t>Injerto de nervio periférico.</t>
  </si>
  <si>
    <t>Transposición de nervio periférico.</t>
  </si>
  <si>
    <t>Descompresión de nervio periférico (Ej. Síndrome del túnel carpiano).</t>
  </si>
  <si>
    <t>Biopsia de nervio periférico.</t>
  </si>
  <si>
    <t>Liberación de nervio atrapado.</t>
  </si>
  <si>
    <t>Reparación de lesión de plexo braquial.</t>
  </si>
  <si>
    <t>Injerto de plexo braquial.</t>
  </si>
  <si>
    <t>Neurotización de plexo braquial.</t>
  </si>
  <si>
    <t>Simpatectomía cervical.</t>
  </si>
  <si>
    <t>Simpatectomía lumbar.</t>
  </si>
  <si>
    <t>Ganglionectomía simpática.</t>
  </si>
  <si>
    <t>Bloqueo de ganglio simpático.</t>
  </si>
  <si>
    <t>Denervación por radiofrecuencia de rama medial.</t>
  </si>
  <si>
    <t>Drenaje de absceso de partes blandas con compromiso nervioso.</t>
  </si>
  <si>
    <t>Exploración de lesión traumática de nervio periférico.</t>
  </si>
  <si>
    <t>Extracción de cuerpo extraño en nervio periférico.</t>
  </si>
  <si>
    <t>Neuroplastia.</t>
  </si>
  <si>
    <t>Injerto de nervio a distancia.</t>
  </si>
  <si>
    <t>Reanimación facial con injerto nervioso.</t>
  </si>
  <si>
    <t>Resección de schwannoma periférico.</t>
  </si>
  <si>
    <t>Resección de neurofibroma periférico.</t>
  </si>
  <si>
    <t>Resección de ganglioneuroma periférico.</t>
  </si>
  <si>
    <t>Liberación del nervio mediano en el túnel del carpo.</t>
  </si>
  <si>
    <t>Liberación del nervio cubital en el codo.</t>
  </si>
  <si>
    <t>Liberación del nervio peroneo en la cabeza del peroné.</t>
  </si>
  <si>
    <t>Tratamiento quirúrgico de malformaciones congénitas de columna y médula.</t>
  </si>
  <si>
    <t>Corrección de mielomeningocele.</t>
  </si>
  <si>
    <t>Corrección de meningocele.</t>
  </si>
  <si>
    <t>Liberación de médula anclada.</t>
  </si>
  <si>
    <t>Tratamiento de diastematomielia.</t>
  </si>
  <si>
    <t>Tratamiento de quiste dermoide o epidermoide espinal.</t>
  </si>
  <si>
    <t>Tratamiento de seno dérmico.</t>
  </si>
  <si>
    <t>Infiltración de puntos gatillo.</t>
  </si>
  <si>
    <t>Bloqueo de plexo.</t>
  </si>
  <si>
    <t>Inyección para quimionucleolisis.</t>
  </si>
  <si>
    <t>Ablación por radiofrecuencia de nervios periféricos.</t>
  </si>
  <si>
    <t>Infiltración con toxina botulínica para espasticidad (guiada).</t>
  </si>
  <si>
    <t>Infiltración con toxina botulínica para distonía (guiada).</t>
  </si>
  <si>
    <t>Implantación de sistema de infusión intratecal para manejo de espasticidad.</t>
  </si>
  <si>
    <t>Cambio de catéter intratecal.</t>
  </si>
  <si>
    <t>Recarga de reservorio intratecal.</t>
  </si>
  <si>
    <t>Exploración de la base del cráneo.</t>
  </si>
  <si>
    <t>Resección de tumores de base del cráneo (abordaje anterior).</t>
  </si>
  <si>
    <t>Resección de tumores de base del cráneo (abordaje lateral).</t>
  </si>
  <si>
    <t>Resección de tumores de base del cráneo (abordaje transoral).</t>
  </si>
  <si>
    <t>Reparación de fístula de líquido cefalorraquídeo de base del cráneo.</t>
  </si>
  <si>
    <t>Cierre de defecto de base del cráneo.</t>
  </si>
  <si>
    <t>Drenaje de absceso intracraneal por vía endoscópica.</t>
  </si>
  <si>
    <t>Extracción de cuerpo extraño intracraneal por vía endoscópica.</t>
  </si>
  <si>
    <t>Fenestración de quiste intracraneal por vía endoscópica.</t>
  </si>
  <si>
    <t>Tratamiento de hidrocefalia por tercera ventriculostomía endoscópica.</t>
  </si>
  <si>
    <t>Tratamiento de aracnoidocele por endoscopia.</t>
  </si>
  <si>
    <t>Colocación de monitor de presión intracraneal.</t>
  </si>
  <si>
    <t>Colocación de drenaje ventricular externo.</t>
  </si>
  <si>
    <t>Revisión de craneoplastia.</t>
  </si>
  <si>
    <t>Retiro de material de osteosíntesis craneal.</t>
  </si>
  <si>
    <t>Desbridamiento de osteomielitis craneal.</t>
  </si>
  <si>
    <t>Biopsia de hueso craneal.</t>
  </si>
  <si>
    <t>Extirpación de tumor óseo craneal.</t>
  </si>
  <si>
    <t>Craneotomía descompresiva.</t>
  </si>
  <si>
    <t>Craniotomía con resección de hueso tumoral.</t>
  </si>
  <si>
    <t>Craniotomía con injerto de hueso vascularizado.</t>
  </si>
  <si>
    <t>Microcirugía de tumor intracraneal (general).</t>
  </si>
  <si>
    <t>Microcirugía de malformación arteriovenosa (general).</t>
  </si>
  <si>
    <t>Microcirugía de aneurisma cerebral (general).</t>
  </si>
  <si>
    <t>Microcirugía de fístula arteriovenosa (general).</t>
  </si>
  <si>
    <t>Microcirugía de tumor espinal (general).</t>
  </si>
  <si>
    <t>Microcirugía de malformación vascular espinal (general).</t>
  </si>
  <si>
    <t>Microcirugía de hernia discal (general).</t>
  </si>
  <si>
    <t>Microcirugía de descompresión radicular (general).</t>
  </si>
  <si>
    <t>Microcirugía para descompresión microvascular de nervios craneales.</t>
  </si>
  <si>
    <t>Microcirugía para resección de neuroma acústico.</t>
  </si>
  <si>
    <t>Microcirugía para resección de schwannoma vestibular.</t>
  </si>
  <si>
    <t>Microcirugía para colocación de electrodos de estimulación cerebral profunda.</t>
  </si>
  <si>
    <t>Microcirugía para estimulación medular.</t>
  </si>
  <si>
    <t>Cirugía estereotáxica para biopsia.</t>
  </si>
  <si>
    <t>Cirugía estereotáxica para aspiración.</t>
  </si>
  <si>
    <t>Cirugía estereotáxica para colocación de catéter.</t>
  </si>
  <si>
    <t>Cirugía estereotáxica para radiocirugía.</t>
  </si>
  <si>
    <t>Cirugía estereotáxica para estimulación cerebral profunda.</t>
  </si>
  <si>
    <t>Cirugía estereotáxica para lesión ablación.</t>
  </si>
  <si>
    <t>Implante de electrodo subdural para monitoreo de epilepsia.</t>
  </si>
  <si>
    <t>Extracción de electrodos subdurales.</t>
  </si>
  <si>
    <t>Implante de electrodos profundos para monitoreo de epilepsia.</t>
  </si>
  <si>
    <t>Extracción de electrodos profundos.</t>
  </si>
  <si>
    <t>Implante de estimulador de nervio vago.</t>
  </si>
  <si>
    <t>Cambio de estimulador de nervio vago.</t>
  </si>
  <si>
    <t>Extracción de estimulador de nervio vago.</t>
  </si>
  <si>
    <t>Hemisferectomía total.</t>
  </si>
  <si>
    <t>Hemisferectomía subtotal.</t>
  </si>
  <si>
    <t>Resección lobar extendida para epilepsia.</t>
  </si>
  <si>
    <t>Tratamiento quirúrgico de malformaciones capilares.</t>
  </si>
  <si>
    <t>Tratamiento quirúrgico de cavernomas.</t>
  </si>
  <si>
    <t>Tratamiento quirúrgico de telangiectasias.</t>
  </si>
  <si>
    <t>Tratamiento quirúrgico de fístulas durales.</t>
  </si>
  <si>
    <t>Descompresión orbitaria para tratamiento de enfermedad de Graves.</t>
  </si>
  <si>
    <t>Drenaje de absceso subgaleal.</t>
  </si>
  <si>
    <t>Drenaje de absceso cerebral por punción.</t>
  </si>
  <si>
    <t>Colocación de derivación ventrículo-pleural.</t>
  </si>
  <si>
    <t>Colocación de derivación ventrículo-gallbladder.</t>
  </si>
  <si>
    <t>Ventriculoscopia para fenestración de quistes o membranas.</t>
  </si>
  <si>
    <t>Ventriculoscopia para biopsia intraventricular.</t>
  </si>
  <si>
    <t>Craniectomía para extirpación de quiste coloide.</t>
  </si>
  <si>
    <t>Craniotomía para resección de hamartoma.</t>
  </si>
  <si>
    <t>Craniotomía para resección de ganglioglioma.</t>
  </si>
  <si>
    <t>Craniotomía para resección de dysembryoplastic neuroepithelial tumor (DNET).</t>
  </si>
  <si>
    <t>Craniotomía para resección de tumor ependimario.</t>
  </si>
  <si>
    <t>Craniotomía para resección de tumor oligodendroglioma.</t>
  </si>
  <si>
    <t>Craniotomía para resección de tumor astrocitoma.</t>
  </si>
  <si>
    <t>Craniotomía para resección de tumor glioblastoma multiforme.</t>
  </si>
  <si>
    <t>Craniotomía para resección de tumor meningioma.</t>
  </si>
  <si>
    <t>Craniotomía para resección de tumor schwannoma.</t>
  </si>
  <si>
    <t>Craniotomía para resección de tumor meduloblastoma.</t>
  </si>
  <si>
    <t>Craniotomía para resección de tumor pinealoma.</t>
  </si>
  <si>
    <t>Craniotomía para resección de tumor germinoma.</t>
  </si>
  <si>
    <t>Craniotomía para resección de tumor teratoma.</t>
  </si>
  <si>
    <t>Craniotomía para resección de tumor de plexo coroideo.</t>
  </si>
  <si>
    <t>Craniotomía para resección de tumor de células germinales.</t>
  </si>
  <si>
    <t>Craniotomía para resección de tumor de pituitaria.</t>
  </si>
  <si>
    <t>Craniotomía para resección de tumor craneofaríngeo.</t>
  </si>
  <si>
    <t>Craniotomía para resección de tumor de clivus.</t>
  </si>
  <si>
    <t>Craniotomía para resección de cordoma.</t>
  </si>
  <si>
    <t>Craniotomía para resección de condrosarcoma.</t>
  </si>
  <si>
    <t>Craniotomía para resección de osteosarcoma.</t>
  </si>
  <si>
    <t>Craniotomía para resección de hemangioblastoma.</t>
  </si>
  <si>
    <t>Craniotomía para resección de craneofaringioma residual.</t>
  </si>
  <si>
    <t>Craniotomía para resección de quiste dermoide o epidermoide en cualquier localización intracraneal.</t>
  </si>
  <si>
    <t>Craneotomía para reparación de encefalocele.</t>
  </si>
  <si>
    <t>Craneotomía para reparación de meningoencefalocele.</t>
  </si>
  <si>
    <t>Reconstrucción de órbita por trauma.</t>
  </si>
  <si>
    <t>Reconstrucción de órbita por tumor.</t>
  </si>
  <si>
    <t>Descompresión de nervio óptico por trauma.</t>
  </si>
  <si>
    <t>Descompresión de nervio óptico por tumor.</t>
  </si>
  <si>
    <t>Exploración y descompresión de nervio facial por trauma.</t>
  </si>
  <si>
    <t>Exploración y descompresión de nervio facial por parálisis de Bell.</t>
  </si>
  <si>
    <t>Anastomosis hipogloso-facial.</t>
  </si>
  <si>
    <t>Anastomosis espinal-facial.</t>
  </si>
  <si>
    <t>Anastomosis facial-facial.</t>
  </si>
  <si>
    <t>Injerto de nervio sural en parálisis facial.</t>
  </si>
  <si>
    <t>Liberación de adherencias de médula espinal.</t>
  </si>
  <si>
    <t>Tratamiento de médula anclada con resección de filum terminale.</t>
  </si>
  <si>
    <t>Cirugía para disrafismo espinal oculto.</t>
  </si>
  <si>
    <t>Drenaje de quiste espinal.</t>
  </si>
  <si>
    <t>Tratamiento de siringobulbia.</t>
  </si>
  <si>
    <t>Resección de lipoma espinal.</t>
  </si>
  <si>
    <t>Extirpación de teratoma espinal.</t>
  </si>
  <si>
    <t>Extirpación de quiste sacro coccígeo.</t>
  </si>
  <si>
    <t>Fusión espinal cervical anterior.</t>
  </si>
  <si>
    <t>Fusión espinal cervical posterior.</t>
  </si>
  <si>
    <t>Fusión espinal torácica anterior.</t>
  </si>
  <si>
    <t>Fusión espinal torácica posterior.</t>
  </si>
  <si>
    <t>Fusión espinal lumbar anterior.</t>
  </si>
  <si>
    <t>Fusión espinal lumbar posterior.</t>
  </si>
  <si>
    <t>Fusión espinal sacro-ilíaca.</t>
  </si>
  <si>
    <t>Fusión atlanto-axial.</t>
  </si>
  <si>
    <t>Fusión occipito-cervical.</t>
  </si>
  <si>
    <t>Osteotomía vertebral.</t>
  </si>
  <si>
    <t>Descompresión medular anterior.</t>
  </si>
  <si>
    <t>Descompresión medular posterior.</t>
  </si>
  <si>
    <t>Abordaje transpedicular para lesiones espinales.</t>
  </si>
  <si>
    <t>Abordaje retroperitoneal para lesiones espinales.</t>
  </si>
  <si>
    <t>Abordaje toracoscópico para lesiones espinales.</t>
  </si>
  <si>
    <t>Abordaje laparoscópico para lesiones espinales.</t>
  </si>
  <si>
    <t>Extracción de material de osteosíntesis espinal.</t>
  </si>
  <si>
    <t>Biopsia vertebral.</t>
  </si>
  <si>
    <t>Tratamiento de espondilolistesis.</t>
  </si>
  <si>
    <t>Fijación transpedicular.</t>
  </si>
  <si>
    <t>Fijación con placas y tornillos.</t>
  </si>
  <si>
    <t>Reemplazo discal cervical.</t>
  </si>
  <si>
    <t>Reemplazo discal lumbar.</t>
  </si>
  <si>
    <t>Colocación de espaciador interespinoso.</t>
  </si>
  <si>
    <t>Colocación de sistema de estabilización dinámica.</t>
  </si>
  <si>
    <t>Inyección epidural de esteroides.</t>
  </si>
  <si>
    <t>Inyección epidural de anestésico local.</t>
  </si>
  <si>
    <t>Inyección en articulación facetaria.</t>
  </si>
  <si>
    <t>Inyección en punto de dolor.</t>
  </si>
  <si>
    <t>Termocoagulación de facetas.</t>
  </si>
  <si>
    <t>Neurotomía por radiofrecuencia de raíces nerviosas.</t>
  </si>
  <si>
    <t>Bloqueo de plexo celiaco.</t>
  </si>
  <si>
    <t>Bloqueo de ganglio estrellado.</t>
  </si>
  <si>
    <t>Bloqueo de nervio pudendo.</t>
  </si>
  <si>
    <t>Bloqueo de nervio sacro.</t>
  </si>
  <si>
    <t>Bloqueo de nervio occipital.</t>
  </si>
  <si>
    <t>Bloqueo de nervio supraorbitario.</t>
  </si>
  <si>
    <t>Bloqueo de nervio infraorbitario.</t>
  </si>
  <si>
    <t>Bloqueo de nervio mentoniano.</t>
  </si>
  <si>
    <t>Bloqueo de nervio alveolar inferior.</t>
  </si>
  <si>
    <t>Bloqueo de nervio maxilar.</t>
  </si>
  <si>
    <t>Bloqueo de nervio mandibular.</t>
  </si>
  <si>
    <t>Bloqueo de nervio trigémino.</t>
  </si>
  <si>
    <t>Bloqueo de nervio glosofaríngeo.</t>
  </si>
  <si>
    <t>Bloqueo de nervio vago.</t>
  </si>
  <si>
    <t>Bloqueo de nervio espinal accesorio.</t>
  </si>
  <si>
    <t>Bloqueo de nervio frénico.</t>
  </si>
  <si>
    <t>Bloqueo de nervio supraclavicular.</t>
  </si>
  <si>
    <t>Bloqueo de nervio intercostal.</t>
  </si>
  <si>
    <t>Bloqueo de nervio ilioinguinal.</t>
  </si>
  <si>
    <t>Bloqueo de nervio genitofemoral.</t>
  </si>
  <si>
    <t>Bloqueo de nervio cutáneo femoral lateral.</t>
  </si>
  <si>
    <t>Bloqueo de nervio femoral.</t>
  </si>
  <si>
    <t>Bloqueo de nervio ciático.</t>
  </si>
  <si>
    <t>Bloqueo de nervio tibial.</t>
  </si>
  <si>
    <t>Bloqueo de nervio peroneo.</t>
  </si>
  <si>
    <t>Bloqueo de nervio sural.</t>
  </si>
  <si>
    <t>Bloqueo de nervio safeno.</t>
  </si>
  <si>
    <t>Bloqueo de nervio plantar.</t>
  </si>
  <si>
    <t>Descompresión nerviosa de la extremidad superior.</t>
  </si>
  <si>
    <t>Descompresión nerviosa de la extremidad inferior.</t>
  </si>
  <si>
    <t>Exploración de lesión nerviosa traumática.</t>
  </si>
  <si>
    <t>Neurografía (estudio de conducción nerviosa).</t>
  </si>
  <si>
    <t>Electromiografía.</t>
  </si>
  <si>
    <t>Estudios de potenciales evocados.</t>
  </si>
  <si>
    <t>Monitorización neurofisiológica intraoperatoria.</t>
  </si>
  <si>
    <t>Inyección de bótox en espasticidad.</t>
  </si>
  <si>
    <t>Inyección de bótox en distonía.</t>
  </si>
  <si>
    <t>Inyección de bótox en migraña crónica.</t>
  </si>
  <si>
    <t>Inyección de bótox para neuralgia del trigémino.</t>
  </si>
  <si>
    <t>Inyección de bótox para hiperhidrosis.</t>
  </si>
  <si>
    <t>Inyección de anestésicos locales en puntos dolorosos.</t>
  </si>
  <si>
    <t>Drenaje de absceso espinal.</t>
  </si>
  <si>
    <t>Drenaje de hematoma espinal.</t>
  </si>
  <si>
    <t>Biopsia percutánea de lesión espinal.</t>
  </si>
  <si>
    <t>Biopsia por aguja fina de lesión espinal.</t>
  </si>
  <si>
    <t>Biopsia abierta de lesión espinal.</t>
  </si>
  <si>
    <t>Tratamiento de herida de columna vertebral.</t>
  </si>
  <si>
    <t>Reparación de fractura vertebral sin instrumentación.</t>
  </si>
  <si>
    <t>Reparación de fractura vertebral con instrumentación.</t>
  </si>
  <si>
    <t>Disectomía percutánea.</t>
  </si>
  <si>
    <t>Endoscopia espinal diagnóstica.</t>
  </si>
  <si>
    <t>Endoscopia espinal terapéutica.</t>
  </si>
  <si>
    <t>Denervación por radiofrecuencia de rama medial lumbar.</t>
  </si>
  <si>
    <t>Denervación por radiofrecuencia de rama medial cervical.</t>
  </si>
  <si>
    <t>Denervación por radiofrecuencia de rama medial torácica.</t>
  </si>
  <si>
    <t>Neuroplastia con láser.</t>
  </si>
  <si>
    <t>Descompresión de nervio pudendo.</t>
  </si>
  <si>
    <t>Implante de electrodo de estimulación del nervio pudendo.</t>
  </si>
  <si>
    <t>Extracción de electrodo de estimulación del nervio pudendo.</t>
  </si>
  <si>
    <t>Cambio de generador de estimulación del nervio pudendo.</t>
  </si>
  <si>
    <t>Exploración de nervio periférico por atrapamiento.</t>
  </si>
  <si>
    <t>Reconstrucción de plexo sacro.</t>
  </si>
  <si>
    <t>Injerto de plexo sacro.</t>
  </si>
  <si>
    <t>Resección de schwannoma espinal.</t>
  </si>
  <si>
    <t>Resección de neurofibroma espinal.</t>
  </si>
  <si>
    <t>Resección de meningioma espinal.</t>
  </si>
  <si>
    <t>Resección de ependimoma espinal.</t>
  </si>
  <si>
    <t>Resección de astrocitoma espinal.</t>
  </si>
  <si>
    <t>Resección de metástasis espinal.</t>
  </si>
  <si>
    <t>Especialidad: 01 - NEUROCIRUGÍA</t>
  </si>
  <si>
    <t>Sección: INTERVENCIONES SOBRE MENINGES Y CEREBRO</t>
  </si>
  <si>
    <t>Subsección: CRANEOTOMÍAS PARA TRATAMIENTO QUIRÚRGICO DE LESIONES INTRACRANEALES</t>
  </si>
  <si>
    <t>OTROS PROCEDIMIENTOS SOBRE MENINGES Y CEREBRO</t>
  </si>
  <si>
    <t>Exportar a Hojas de cálculo</t>
  </si>
  <si>
    <t>INTERVENCIONES PARA MANEJO DE LÍQUIDO CEFALORRAQUÍDEO (LCR) Y OTROS PROCEDIMIENTOS RELACIONADOS</t>
  </si>
  <si>
    <t>Código de procedimiento, descripción y grupo quirúrgico sigue siendo el Decreto 2423 de 1996</t>
  </si>
  <si>
    <t xml:space="preserve"> Aneurismectomía con clipaje o ligadura de aneurisma de fosa posterior.</t>
  </si>
  <si>
    <t>INTERVENCIONES PARA ENFERMEDADES POR MOVIMIENTOS ANORMALES Y EPILEPSIA</t>
  </si>
  <si>
    <t>PROCEDIMIENTOS ENDOSCÓPICOS Y OTROS ENCEFÁLICOS</t>
  </si>
  <si>
    <t>PROCEDIMIENTOS DE CRANEOPLASTIA Y ÓRBITA</t>
  </si>
  <si>
    <t>CIRUGÍA DE CRANEOSINOSTOSIS Y MALFORMACIONES CRANEOFACIALES</t>
  </si>
  <si>
    <t>CIRUGÍA FUNCIONAL Y PROCEDIMIENTOS EN NERVIOS CRANEALES</t>
  </si>
  <si>
    <t>RADIOCIRUGÍA ESTEREOTÁXICA</t>
  </si>
  <si>
    <t>INTERVENCIONES EN NERVIO FACIAL Y CÓCLEA</t>
  </si>
  <si>
    <t>ESTIMULACIÓN CEREBRAL PROFUNDA Y OTRAS INTERVENCIONES FUNCIONALES</t>
  </si>
  <si>
    <t>PROCEDIMIENTOS SOBRE MÉDULA ESPINAL Y COLUMNA VERTEBRAL</t>
  </si>
  <si>
    <t>PROCEDIMIENTOS SOBRE NERVIOS PERIFÉRICOS</t>
  </si>
  <si>
    <t>PROCEDIMIENTOS SOBRE SISTEMA NERVIOSO AUTÓNOMO Y OTROS</t>
  </si>
  <si>
    <t>PROCEDIMIENTOS COMPLEMENTARIOS EN COLUMNA Y NEUROCIRUGÍA FUNCIONAL (CONTINUACIÓN)</t>
  </si>
  <si>
    <t>PROCEDIMIENTOS NEUROCIRÚRGICOS ENDOSCÓPICOS (ADICIONALES) Y DE MONITORIZACIÓN</t>
  </si>
  <si>
    <t>MICROCIRUGÍA Y CIRUGÍA ESTEREOTÁXICA (DEFINICIONES GENERALES)</t>
  </si>
  <si>
    <t>PROCEDIMIENTOS ADICIONALES PARA EPILEPSIA Y ESTIMULACIÓN</t>
  </si>
  <si>
    <t>TRATAMIENTO DE MALFORMACIONES VASCULARES NO ANEURISMÁTICAS Y OTROS</t>
  </si>
  <si>
    <t>RESECCIÓN DE TUMORES INTRACRANEALES ESPECÍFICOS (CONTINUACIÓN)</t>
  </si>
  <si>
    <t>REPARACIÓN DE MALFORMACIONES, TRAUMA Y OTROS PROCEDIMIENTOS CRANEALES</t>
  </si>
  <si>
    <t>PROCEDIMIENTOS DE MÉDULA ESPINAL Y COLUMNA VERTEBRAL (CONTINUACIÓN)</t>
  </si>
  <si>
    <t>FUSIÓN Y FIJACIÓN ESPINAL</t>
  </si>
  <si>
    <t>Artrodesis intersomática.</t>
  </si>
  <si>
    <t>PROCEDIMIENTOS COMPLEMENTARIOS EN COLUMNA Y NERVIOS PERIFÉRICOS</t>
  </si>
  <si>
    <t>ESTUDIOS DIAGNÓSTICOS Y TERAPIAS NO QUIRÚRGICAS (EN NEUROCIRUGÍA)</t>
  </si>
  <si>
    <t>PROCEDIMIENTOS SOBRE COLUMNA VERTEBRAL (CONTINUACIÓN)</t>
  </si>
  <si>
    <t>Especialidad 02 - OFTALMOLOGÍA</t>
  </si>
  <si>
    <t>PROCEDIMIENTOS SOBRE PÁRPADOS</t>
  </si>
  <si>
    <t>Blefaroplastia (corrección de exceso de piel en párpados).</t>
  </si>
  <si>
    <t>Corrección de entropión.</t>
  </si>
  <si>
    <t>Corrección de ectropión.</t>
  </si>
  <si>
    <t>Corrección de ptosis palpebral.</t>
  </si>
  <si>
    <t>Resección de chalazión o quiste de Meibomio.</t>
  </si>
  <si>
    <t>Resección de orzuelo.</t>
  </si>
  <si>
    <t>Resección de tumor de párpado (pequeño).</t>
  </si>
  <si>
    <t>Resección de tumor de párpado (grande con reconstrucción).</t>
  </si>
  <si>
    <t>Reparación de herida de párpado.</t>
  </si>
  <si>
    <t>Tarsorrafia.</t>
  </si>
  <si>
    <t>Cantoplastia.</t>
  </si>
  <si>
    <t>Corrección de lagoftalmos.</t>
  </si>
  <si>
    <t>Epicanthoplastia.</t>
  </si>
  <si>
    <t>Extirpación de xantelasma.</t>
  </si>
  <si>
    <t>Corrección de triquiasis o distiquiasis (electrólisis o crioterapia).</t>
  </si>
  <si>
    <t>PROCEDIMIENTOS SOBRE APARATO LAGRIMAL</t>
  </si>
  <si>
    <t>Drenaje de absceso de saco lagrimal.</t>
  </si>
  <si>
    <t>Dacriocistorrinostomía.</t>
  </si>
  <si>
    <t>Sonda de vía lagrimal.</t>
  </si>
  <si>
    <t>Irrigación de vía lagrimal.</t>
  </si>
  <si>
    <t>Extirpación de glándula lagrimal.</t>
  </si>
  <si>
    <t>Biopsia de glándula lagrimal.</t>
  </si>
  <si>
    <t>Reparación de canalículo lagrimal.</t>
  </si>
  <si>
    <t>Dacriocistectomía.</t>
  </si>
  <si>
    <t>PROCEDIMIENTOS SOBRE ÓRBITA</t>
  </si>
  <si>
    <t>Enucleación ocular.</t>
  </si>
  <si>
    <t>Evisceración ocular.</t>
  </si>
  <si>
    <t>Exenteración orbitaria.</t>
  </si>
  <si>
    <t>Drenaje de absceso orbitario.</t>
  </si>
  <si>
    <t>Extirpación de tumor orbitario (anterior).</t>
  </si>
  <si>
    <t>Extirpación de tumor orbitario (posterior o profundo).</t>
  </si>
  <si>
    <t>Reparación de fractura orbitaria.</t>
  </si>
  <si>
    <t>Descompresión orbitaria.</t>
  </si>
  <si>
    <t>Implante de prótesis ocular (primario).</t>
  </si>
  <si>
    <t>Revisión o cambio de prótesis ocular.</t>
  </si>
  <si>
    <t>Biopsia de órbita.</t>
  </si>
  <si>
    <t>PROCEDIMIENTOS SOBRE CONJUNTIVA Y CÓRNEA</t>
  </si>
  <si>
    <t>Extirpación de pterigión con o sin injerto.</t>
  </si>
  <si>
    <t>Extirpación de quiste conjuntival.</t>
  </si>
  <si>
    <t>Extirpación de tumor conjuntival.</t>
  </si>
  <si>
    <t>Sutura de conjuntiva.</t>
  </si>
  <si>
    <t>Cauterización de conjuntiva.</t>
  </si>
  <si>
    <t>Trasplante de córnea (queratoplastia penetrante).</t>
  </si>
  <si>
    <t>Trasplante de córnea (queratoplastia lamelar).</t>
  </si>
  <si>
    <t>Sutura de herida corneal.</t>
  </si>
  <si>
    <t>Extracción de cuerpo extraño corneal.</t>
  </si>
  <si>
    <t>Cauterización de úlcera corneal.</t>
  </si>
  <si>
    <t>Raspado corneal para diagnóstico.</t>
  </si>
  <si>
    <t>Queratectomía superficial.</t>
  </si>
  <si>
    <t>Corrección de astigmatismo (incisiones relajantes).</t>
  </si>
  <si>
    <t>Corrección de queratocono (cross-linking).</t>
  </si>
  <si>
    <t>PROCEDIMIENTOS SOBRE CRISTALINO Y CÁMARA ANTERIOR</t>
  </si>
  <si>
    <t>Extracción de catarata por facoemulsificación con implante de lente intraocular.</t>
  </si>
  <si>
    <t>Extracción de catarata por técnica extracapsular con implante de lente intraocular.</t>
  </si>
  <si>
    <t>Extracción de catarata por técnica intracapsular con implante de lente intraocular.</t>
  </si>
  <si>
    <t>Extracción de lente intraocular luxado.</t>
  </si>
  <si>
    <t>Capsulotomía posterior con láser (YAG láser).</t>
  </si>
  <si>
    <t>Iridotomía con láser.</t>
  </si>
  <si>
    <t>Corrección de aniridia con implante de iris artificial.</t>
  </si>
  <si>
    <t>Punción de cámara anterior (paracentesis).</t>
  </si>
  <si>
    <t>Drenaje de hifema o hipopión de cámara anterior.</t>
  </si>
  <si>
    <t>Sinequiotomía.</t>
  </si>
  <si>
    <t>Gonioscopía quirúrgica.</t>
  </si>
  <si>
    <t>PROCEDIMIENTOS SOBRE IRIS Y CUERPO CILIAR (GLAUCOMA)</t>
  </si>
  <si>
    <t>Trabeculectomía.</t>
  </si>
  <si>
    <t>Iridectomía.</t>
  </si>
  <si>
    <t>Ciclocriocoagulación.</t>
  </si>
  <si>
    <t>Ciclofotocoagulación con láser (diodo).</t>
  </si>
  <si>
    <t>Implante de válvula o dispositivo de drenaje para glaucoma.</t>
  </si>
  <si>
    <t>Goniofotocoagulación con láser.</t>
  </si>
  <si>
    <t>Trabeculoplastia con láser.</t>
  </si>
  <si>
    <t>Viscocanalostomía.</t>
  </si>
  <si>
    <t>PROCEDIMIENTOS SOBRE RETINA Y CUERPO VÍTREO</t>
  </si>
  <si>
    <t>Vitrectomía anterior.</t>
  </si>
  <si>
    <t>Vitrectomía posterior con o sin endoláser.</t>
  </si>
  <si>
    <t>Vitrectomía posterior con remoción de membrana epirretiniana.</t>
  </si>
  <si>
    <t>Retinopexia con indentación escleral (cirugía de banda).</t>
  </si>
  <si>
    <t>Fotocoagulación de retina con láser (panfotocoagulación o focal).</t>
  </si>
  <si>
    <t>Drenaje de absceso subretiniano.</t>
  </si>
  <si>
    <t>Criocoagulación de retina.</t>
  </si>
  <si>
    <t>Extracción de cuerpo extraño intraocular (segmento posterior).</t>
  </si>
  <si>
    <t>Inyección intravítrea (ej. anti-VEGF).</t>
  </si>
  <si>
    <t>Endoláser para desprendimiento de retina.</t>
  </si>
  <si>
    <t>Aplicación de gas o aceite de silicón en vitrectomía.</t>
  </si>
  <si>
    <t>PROCEDIMIENTOS SOBRE MÚSCULOS EXTRAOCULARES (ESTRABISMO)</t>
  </si>
  <si>
    <t>Cirugía de estrabismo de un músculo.</t>
  </si>
  <si>
    <t>Cirugía de estrabismo de dos músculos.</t>
  </si>
  <si>
    <t>Cirugía de estrabismo de tres o más músculos.</t>
  </si>
  <si>
    <t>Revisión de cirugía de estrabismo.</t>
  </si>
  <si>
    <t>OTROS PROCEDIMIENTOS OCULARES Y DIAGNÓSTICOS</t>
  </si>
  <si>
    <t>Biopsia de segmento anterior.</t>
  </si>
  <si>
    <t>Biopsia de segmento posterior.</t>
  </si>
  <si>
    <t>Tonometría (diagnóstica).</t>
  </si>
  <si>
    <t>Perimetría o campo visual.</t>
  </si>
  <si>
    <t>Oftalmoscopia directa o indirecta.</t>
  </si>
  <si>
    <t>Angiografía fluoresceínica.</t>
  </si>
  <si>
    <t>Ecografía ocular (modo A y/o B).</t>
  </si>
  <si>
    <t>Tomografía de coherencia óptica (OCT).</t>
  </si>
  <si>
    <t>Electrorretinografía (ERG).</t>
  </si>
  <si>
    <t>Electrooculografía (EOG).</t>
  </si>
  <si>
    <t>Potenciales evocados visuales (PEV).</t>
  </si>
  <si>
    <t>Refracción y queratometría.</t>
  </si>
  <si>
    <t>Medida de agudeza visual.</t>
  </si>
  <si>
    <t>Examen de fondo de ojo con pupilas dilatadas.</t>
  </si>
  <si>
    <t>Adaptación de lentes de contacto (terapéuticos).</t>
  </si>
  <si>
    <t>Sutura de esclera (por ruptura o herida).</t>
  </si>
  <si>
    <t>Resección de estafiloma escleral.</t>
  </si>
  <si>
    <t>Corrección de anoftalmia con injerto.</t>
  </si>
  <si>
    <t>Implantación de inyección retrobulbar o peribulbar.</t>
  </si>
  <si>
    <t>Vitreolisis con láser YAG.</t>
  </si>
  <si>
    <t>Fotocoagulación con láser de diodo (para lesiones vasculares, etc.).</t>
  </si>
  <si>
    <t>Ciclocrióterapia para glaucoma refractario.</t>
  </si>
  <si>
    <t>Inyección subconjuntival.</t>
  </si>
  <si>
    <t>Extirpación de cuerpo extraño subconjuntival.</t>
  </si>
  <si>
    <t>Trasplante de membrana amniótica.</t>
  </si>
  <si>
    <t>Injerto escleral.</t>
  </si>
  <si>
    <t>Corrección de nistagmo (cirugía).</t>
  </si>
  <si>
    <t>Cirugía para parálisis de III, IV o VI par craneal (cuando aplica).</t>
  </si>
  <si>
    <t>ESPECIALIDAD: 03 - OTORRINOLARINGOLOGÍA</t>
  </si>
  <si>
    <t>PROCEDIMIENTOS SOBRE OÍDO EXTERNO</t>
  </si>
  <si>
    <t>Resección de apéndice preauricular.</t>
  </si>
  <si>
    <t>Corrección de oreja en asa u oreja prominente (otoplastia).</t>
  </si>
  <si>
    <t>Resección de quiste o fístula preauricular.</t>
  </si>
  <si>
    <t>Resección de tumor de pabellón auricular.</t>
  </si>
  <si>
    <t>Reparación de desgarro de pabellón auricular.</t>
  </si>
  <si>
    <t>Drenaje de otohematoma.</t>
  </si>
  <si>
    <t>Atresia de conducto auditivo externo (corrección quirúrgica).</t>
  </si>
  <si>
    <t>Extracción de cuerpo extraño de conducto auditivo externo.</t>
  </si>
  <si>
    <t>Meatoplastia.</t>
  </si>
  <si>
    <t>Exostosis de conducto auditivo externo (resección).</t>
  </si>
  <si>
    <t>PROCEDIMIENTOS SOBRE OÍDO MEDIO</t>
  </si>
  <si>
    <t>Miringotomía con o sin inserción de tubo de ventilación (timpanostomía).</t>
  </si>
  <si>
    <t>Timpanoplastia tipo I (miringoplastia).</t>
  </si>
  <si>
    <t>Timpanoplastia tipo II.</t>
  </si>
  <si>
    <t>Timpanoplastia tipo III.</t>
  </si>
  <si>
    <t>Timpanoplastia tipo IV.</t>
  </si>
  <si>
    <t>Timpanoplastia tipo V.</t>
  </si>
  <si>
    <t>Estapedectomía o estapedotomía.</t>
  </si>
  <si>
    <t>Miringoplastia.</t>
  </si>
  <si>
    <t>Extirpación de colesteatoma del oído medio.</t>
  </si>
  <si>
    <t>Osiculoplastia.</t>
  </si>
  <si>
    <t>Exploración del oído medio (timpanotomía).</t>
  </si>
  <si>
    <t>Drenaje de absceso mastoideo.</t>
  </si>
  <si>
    <t>Mastoidectomía simple.</t>
  </si>
  <si>
    <t>Mastoidectomía radical modificada.</t>
  </si>
  <si>
    <t>Mastoidectomía radical.</t>
  </si>
  <si>
    <t>Injerto de tímpano.</t>
  </si>
  <si>
    <t>PROCEDIMIENTOS SOBRE OÍDO INTERNO</t>
  </si>
  <si>
    <t>Laceración de laberinto (reparación).</t>
  </si>
  <si>
    <t>Descompresión del saco endolinfático.</t>
  </si>
  <si>
    <t>Laberintectomía (quirúrgica).</t>
  </si>
  <si>
    <t>Implante coclear (por Otorrinolaringología).</t>
  </si>
  <si>
    <t>Implante de audífono de conducción ósea (BAHA).</t>
  </si>
  <si>
    <t>Neurectomía vestibular (vía translaberíntica).</t>
  </si>
  <si>
    <t>Neurectomía vestibular (vía retrolaberíntica).</t>
  </si>
  <si>
    <t>Neurectomía vestibular (vía retrosigmoidea).</t>
  </si>
  <si>
    <t>PROCEDIMIENTOS SOBRE NARIZ Y SENOS PARANASALES</t>
  </si>
  <si>
    <t>Reducción de fractura de huesos propios de la nariz (cerrada).</t>
  </si>
  <si>
    <t>Reducción de fractura de huesos propios de la nariz (abierta).</t>
  </si>
  <si>
    <t>Septoplastia.</t>
  </si>
  <si>
    <t>Rinoplastia (funcional).</t>
  </si>
  <si>
    <t>Resección de pólipo nasal.</t>
  </si>
  <si>
    <t>Turbinectomía (total o parcial).</t>
  </si>
  <si>
    <t>Cauterización de cornetes.</t>
  </si>
  <si>
    <t>Extracción de cuerpo extraño nasal.</t>
  </si>
  <si>
    <t>Drenaje de absceso nasal.</t>
  </si>
  <si>
    <t>Biopsia de nariz.</t>
  </si>
  <si>
    <t>Cirugía de seno maxilar (antrospicía o Caldwell-Luc).</t>
  </si>
  <si>
    <t>Cirugía de seno frontal (externa).</t>
  </si>
  <si>
    <t>Cirugía de seno esfenoidal (externa).</t>
  </si>
  <si>
    <t>Cirugía de senos etmoidales (externa).</t>
  </si>
  <si>
    <t>Polipectomía de senos paranasales (endoscópica o abierta).</t>
  </si>
  <si>
    <t>Cirugía endoscópica de senos paranasales (FESS - funcional).</t>
  </si>
  <si>
    <t>Drenaje de mucoceles de senos paranasales.</t>
  </si>
  <si>
    <t>Resección de tumor de senos paranasales (abordaje externo).</t>
  </si>
  <si>
    <t>Resección de tumor de senos paranasales (abordaje endoscópico).</t>
  </si>
  <si>
    <t>Reparación de fístula de líquido cefalorraquídeo nasal (por ORL).</t>
  </si>
  <si>
    <t>Septorinoplastia (funcional).</t>
  </si>
  <si>
    <t>Control de epistaxis (cauterización o taponamiento).</t>
  </si>
  <si>
    <t>Laceración de nariz (reparación).</t>
  </si>
  <si>
    <t>PROCEDIMIENTOS SOBRE FARINGE Y AMÍGDALAS</t>
  </si>
  <si>
    <t>Amigdalectomía.</t>
  </si>
  <si>
    <t>Adenoidectomía.</t>
  </si>
  <si>
    <t>Amigdalectomía y adenoidectomía.</t>
  </si>
  <si>
    <t>Drenaje de absceso periamigdalino.</t>
  </si>
  <si>
    <t>Drenaje de absceso retrofaríngeo.</t>
  </si>
  <si>
    <t>Uvulopalatofaringoplastia (UPPP).</t>
  </si>
  <si>
    <t>Biopsia de faringe.</t>
  </si>
  <si>
    <t>Resección de tumor de faringe (pequeño).</t>
  </si>
  <si>
    <t>Resección de tumor de faringe (grande con reconstrucción).</t>
  </si>
  <si>
    <t>PROCEDIMIENTOS SOBRE LARINGE</t>
  </si>
  <si>
    <t>Laringoscopia directa.</t>
  </si>
  <si>
    <t>Laringoscopia directa con toma de biopsia.</t>
  </si>
  <si>
    <t>Extirpación de nódulos o pólipos de cuerdas vocales (microcirugía).</t>
  </si>
  <si>
    <t>Traqueostomía.</t>
  </si>
  <si>
    <t>Cierre de traqueostomía.</t>
  </si>
  <si>
    <t>Laringectomía total.</t>
  </si>
  <si>
    <t>Laringectomía parcial.</t>
  </si>
  <si>
    <t>Reparación de estenosis laríngea o traqueal.</t>
  </si>
  <si>
    <t>Biopsia de laringe.</t>
  </si>
  <si>
    <t>Resección de tumor de laringe (por laringoscopia directa).</t>
  </si>
  <si>
    <t>Dilatación traqueal.</t>
  </si>
  <si>
    <t>ESPECIALIDAD: 04 - CIRUGÍA DE CUELLO Y CABEZA</t>
  </si>
  <si>
    <t>PROCEDIMIENTOS SOBRE CUELLO</t>
  </si>
  <si>
    <t>Resección de quiste tirogloso.</t>
  </si>
  <si>
    <t>Resección de quiste branquial.</t>
  </si>
  <si>
    <t>Drenaje de absceso de cuello.</t>
  </si>
  <si>
    <t>Linfadenectomía cervical (extirpación de ganglios linfáticos del cuello).</t>
  </si>
  <si>
    <t>Biopsia de ganglio linfático de cuello.</t>
  </si>
  <si>
    <t>Resección de tumor de cuello (pequeño).</t>
  </si>
  <si>
    <t>Resección de tumor de cuello (grande).</t>
  </si>
  <si>
    <t>Disección radical de cuello (con vaciamiento ganglionar).</t>
  </si>
  <si>
    <t>Esplenectomía cervical.</t>
  </si>
  <si>
    <t>Reparación de herida de cuello (con compromiso de estructuras vitales).</t>
  </si>
  <si>
    <t>Reparación de herida de cuello (sin compromiso de estructuras vitales).</t>
  </si>
  <si>
    <t>Drenaje de seroma o hematoma cervical.</t>
  </si>
  <si>
    <t>Extracción de cuerpo extraño de cuello.</t>
  </si>
  <si>
    <t>PROCEDIMIENTOS SOBRE GLÁNDULAS SALIVALES</t>
  </si>
  <si>
    <t>Resección de glándula submaxilar (submaxilectomía).</t>
  </si>
  <si>
    <t>Resección de glándula parótida (parotidectomía superficial).</t>
  </si>
  <si>
    <t>Resección de glándula parótida (parotidectomía total con conservación de nervio facial).</t>
  </si>
  <si>
    <t>Resección de glándula parótida (parotidectomía total con sacrificio de nervio facial).</t>
  </si>
  <si>
    <t>Drenaje de absceso de glándula salival.</t>
  </si>
  <si>
    <t>Extirpación de cálculo de conducto salival.</t>
  </si>
  <si>
    <t>Biopsia de glándula salival.</t>
  </si>
  <si>
    <t>Resección de ranula.</t>
  </si>
  <si>
    <t>OTROS PROCEDIMIENTOS EN CABEZA (NO CLASIFICADOS EN OTRAS ESPECIALIDADES)</t>
  </si>
  <si>
    <t>Biopsia de lesión de cuero cabelludo.</t>
  </si>
  <si>
    <t>Resección de tumor de cuero cabelludo (pequeño).</t>
  </si>
  <si>
    <t>Resección de tumor de cuero cabelludo (grande con injerto/colgajo).</t>
  </si>
  <si>
    <t>Reparación de herida de cuero cabelludo.</t>
  </si>
  <si>
    <t>Drenaje de absceso de cuero cabelludo.</t>
  </si>
  <si>
    <t>Cierre de fístula oroantral.</t>
  </si>
  <si>
    <t>Resección de osteoma o fibroma de cabeza.</t>
  </si>
  <si>
    <t>Especialidad 05 - CIRUGÍA CARDIOVASCULAR</t>
  </si>
  <si>
    <t>PROCEDIMIENTOS SOBRE CORAZÓN (A CIELO ABIERTO)</t>
  </si>
  <si>
    <t>Corrección de comunicación interauricular (CIA).</t>
  </si>
  <si>
    <t>Corrección de comunicación interventricular (CIV).</t>
  </si>
  <si>
    <t>Corrección de tetralogía de Fallot.</t>
  </si>
  <si>
    <t>Corrección de transposición de grandes vasos.</t>
  </si>
  <si>
    <t>Corrección de conducto arterioso persistente (ligadura o sección).</t>
  </si>
  <si>
    <t>Valvulotomía mitral a cielo abierto.</t>
  </si>
  <si>
    <t>Reemplazo valvular mitral.</t>
  </si>
  <si>
    <t>Reemplazo valvular aórtico.</t>
  </si>
  <si>
    <t>Reemplazo valvular tricúspide.</t>
  </si>
  <si>
    <t>Valvuloplastia (reparación) de válvula cardíaca (cualquier válvula).</t>
  </si>
  <si>
    <t>Cirugía de revascularización miocárdica (bypass coronario) con un injerto.</t>
  </si>
  <si>
    <t>Cirugía de revascularización miocárdica (bypass coronario) con dos injertos.</t>
  </si>
  <si>
    <t>Cirugía de revascularización miocárdica (bypass coronario) con tres o más injertos.</t>
  </si>
  <si>
    <t>Resección de aneurisma ventricular.</t>
  </si>
  <si>
    <t>Resección de tumor cardíaco.</t>
  </si>
  <si>
    <t>Reparación de defecto septal (adquirido).</t>
  </si>
  <si>
    <t>Pericardiectomía.</t>
  </si>
  <si>
    <t>Drenaje de taponamiento cardíaco.</t>
  </si>
  <si>
    <t>Pericardiocentesis.</t>
  </si>
  <si>
    <t>Cirugía para aneurisma de aorta ascendente.</t>
  </si>
  <si>
    <t>Cirugía para aneurisma de arco aórtico.</t>
  </si>
  <si>
    <t>Cirugía para disección aórtica.</t>
  </si>
  <si>
    <t>PROCEDIMIENTOS SOBRE ARTERIAS (EXCLUYENDO CORONARIAS)</t>
  </si>
  <si>
    <t>Endarterectomía carotídea.</t>
  </si>
  <si>
    <t>Revascularización de extremidad inferior (bypass femoral-poplíteo).</t>
  </si>
  <si>
    <t>Revascularización de extremidad superior (bypass axilo-braquial).</t>
  </si>
  <si>
    <t>Resección de aneurisma periférico (ej. femoral, poplíteo).</t>
  </si>
  <si>
    <t>Reparación de fístula arteriovenosa (adquirida).</t>
  </si>
  <si>
    <t>Embolectomía o trombectomía arterial.</t>
  </si>
  <si>
    <t>Laceración arterial (reparación).</t>
  </si>
  <si>
    <t>Angioplastia arterial percutánea (con o sin stent) - de grandes vasos (ej. renal, ilíaca).</t>
  </si>
  <si>
    <t>Colocación de stent arterial periférico.</t>
  </si>
  <si>
    <t>Amputación de extremidad por isquemia vascular (mayor).</t>
  </si>
  <si>
    <t>Simpatectomía lumbar (para enfermedad vascular periférica).</t>
  </si>
  <si>
    <t>Bypass aorto-bifemoral.</t>
  </si>
  <si>
    <t>Endarterectomía de arteria subclavia.</t>
  </si>
  <si>
    <t>Resección de aneurisma aórtico abdominal.</t>
  </si>
  <si>
    <t>Reparación de coartación de aorta.</t>
  </si>
  <si>
    <t>Implante de marcapasos temporal.</t>
  </si>
  <si>
    <t>Implante de marcapasos definitivo (generador).</t>
  </si>
  <si>
    <t>Implante de marcapasos definitivo (electrodo/cable).</t>
  </si>
  <si>
    <t>Cambio de generador de marcapasos.</t>
  </si>
  <si>
    <t>Revisión o reposición de electrodo de marcapasos.</t>
  </si>
  <si>
    <t>Implante de desfibrilador automático implantable (DAI).</t>
  </si>
  <si>
    <t>Cambio de generador de DAI.</t>
  </si>
  <si>
    <t>Revisión o reposición de electrodo de DAI.</t>
  </si>
  <si>
    <t>Ablación por radiofrecuencia (cardíaca).</t>
  </si>
  <si>
    <t>Estudio electrofisiológico (EEF).</t>
  </si>
  <si>
    <t>Cardioversión eléctrica.</t>
  </si>
  <si>
    <t>Implante de anillo de anuloplastia.</t>
  </si>
  <si>
    <t>PROCEDIMIENTOS SOBRE VENAS</t>
  </si>
  <si>
    <t>Ligadura y/o extracción de venas varicosas (flebectomía).</t>
  </si>
  <si>
    <t>Ligadura alta de safena.</t>
  </si>
  <si>
    <t>Trombectomía venosa.</t>
  </si>
  <si>
    <t>Ligadura de vena cava.</t>
  </si>
  <si>
    <t>Implante de filtro de vena cava.</t>
  </si>
  <si>
    <t>Flebografía (diagnóstica).</t>
  </si>
  <si>
    <t>Escleroterapia de venas varicosas.</t>
  </si>
  <si>
    <t>Reparación de fístula arteriovenosa (creación para diálisis).</t>
  </si>
  <si>
    <t>Creación de acceso vascular para hemodiálisis (fístula arteriovenosa nativa).</t>
  </si>
  <si>
    <t>Creación de acceso vascular para hemodiálisis (injerto arteriovenoso).</t>
  </si>
  <si>
    <t>Reparación de fístula arteriovenosa para hemodiálisis.</t>
  </si>
  <si>
    <t>Remoción de acceso vascular para hemodiálisis.</t>
  </si>
  <si>
    <t>Embolectomía o trombectomía venosa.</t>
  </si>
  <si>
    <t>OTROS PROCEDIMIENTOS CARDIOVASCULARES (ESPECÍFICOS Y COMPLEMENTARIOS)</t>
  </si>
  <si>
    <t>Corrección de anomalías congénitas de grandes vasos (no cardíacas directas).</t>
  </si>
  <si>
    <t>Resección de tumor de grandes vasos (ej. aorta, arteria pulmonar).</t>
  </si>
  <si>
    <t>Biopsia de arteria (ej. temporal).</t>
  </si>
  <si>
    <t>Biopsia de vena.</t>
  </si>
  <si>
    <t>Angiografía diagnóstica (aorta y sus ramas, pulmonar).</t>
  </si>
  <si>
    <t>Cateterismo cardíaco (derecho e izquierdo).</t>
  </si>
  <si>
    <t>Cateterismo cardíaco con angiografía coronaria.</t>
  </si>
  <si>
    <t>Angioplastia coronaria (con o sin stent).</t>
  </si>
  <si>
    <t>Valvuloplastia percutánea (ej. mitral, aórtica).</t>
  </si>
  <si>
    <t>Cierre percutáneo de comunicación interauricular (CIA).</t>
  </si>
  <si>
    <t>Cierre percutáneo de conducto arterioso persistente (DAP).</t>
  </si>
  <si>
    <t>Implante de sistema de asistencia ventricular (dispositivo de soporte cardíaco).</t>
  </si>
  <si>
    <t>Trasplante cardíaco.</t>
  </si>
  <si>
    <t>Trasplante cardiopulmonar.</t>
  </si>
  <si>
    <t>Extirpación de cuerpos extraños cardíacos o vasculares (por cateterismo).</t>
  </si>
  <si>
    <t>Recambio valvular percutáneo (TAVI, Mitraclip, etc.).</t>
  </si>
  <si>
    <t>Mapeo cardíaco electroanatómico.</t>
  </si>
  <si>
    <t>Intervención para aneurisma de vena (resección).</t>
  </si>
  <si>
    <t>Flebectomía por segmento.</t>
  </si>
  <si>
    <t>Ligadura de perforantes.</t>
  </si>
  <si>
    <t>Cirugía de fístula arterio-venosa para diálisis (revisión).</t>
  </si>
  <si>
    <t>Angioplastia percutánea de fístula para diálisis.</t>
  </si>
  <si>
    <t>Implante de acceso para quimioterapia (reservorio, catéter).</t>
  </si>
  <si>
    <t>Retiro de acceso para quimioterapia.</t>
  </si>
  <si>
    <t>Pericardiotomía.</t>
  </si>
  <si>
    <t>Cierre de comunicación interventricular (adquirida).</t>
  </si>
  <si>
    <t>Anastomosis portocava (quirúrgica).</t>
  </si>
  <si>
    <t>Esplenorrenal (quirúrgica).</t>
  </si>
  <si>
    <t>Especialidad 06 - CIRUGÍA DE TÓRAX</t>
  </si>
  <si>
    <t>PROCEDIMIENTOS SOBRE PARED TORÁCICA, PLEURA Y DIAFRAGMA</t>
  </si>
  <si>
    <t>Toracotomía exploradora.</t>
  </si>
  <si>
    <t>Resección de costilla.</t>
  </si>
  <si>
    <t>Resección de esternón.</t>
  </si>
  <si>
    <t>Reparación de fractura de costilla o esternón (quirúrgica).</t>
  </si>
  <si>
    <t>Toracoplastia.</t>
  </si>
  <si>
    <t>Drenaje de empiema (toracotomía abierta).</t>
  </si>
  <si>
    <t>Drenaje de empiema (tubo de tórax).</t>
  </si>
  <si>
    <t>Biopsia de pleura (abierta).</t>
  </si>
  <si>
    <t>Biopsia de pleura (por punción).</t>
  </si>
  <si>
    <t>Decorticación pulmonar.</t>
  </si>
  <si>
    <t>Pleurectomía.</t>
  </si>
  <si>
    <t>Reparación de hernia diafragmática.</t>
  </si>
  <si>
    <t>Plicatura diafragmática.</t>
  </si>
  <si>
    <t>Resección de tumor de pared torácica.</t>
  </si>
  <si>
    <t>Toracoscopia diagnóstica.</t>
  </si>
  <si>
    <t>Toracoscopia terapéutica (ej. pleurodesis, resección de bullas).</t>
  </si>
  <si>
    <t>Drenaje de hematoma o seroma torácico.</t>
  </si>
  <si>
    <t>Extracción de cuerpo extraño de pared torácica.</t>
  </si>
  <si>
    <t>Drenaje de neumotórax (tubo de tórax).</t>
  </si>
  <si>
    <t>Resección de tumor de pleura.</t>
  </si>
  <si>
    <t>PROCEDIMIENTOS SOBRE PULMÓN Y BRONQUIOS</t>
  </si>
  <si>
    <t>Neumonectomía.</t>
  </si>
  <si>
    <t>Lobectomía pulmonar.</t>
  </si>
  <si>
    <t>Segmentectomía pulmonar.</t>
  </si>
  <si>
    <t>Biopsia pulmonar (cuña o abierta).</t>
  </si>
  <si>
    <t>Biopsia pulmonar (transbronquial).</t>
  </si>
  <si>
    <t>Broncoscopia con biopsia o lavado broncoalveolar.</t>
  </si>
  <si>
    <t>Drenaje de absceso pulmonar.</t>
  </si>
  <si>
    <t>Resección de bullas enfisematosas.</t>
  </si>
  <si>
    <t>Resección de nódulo pulmonar (por toracotomía).</t>
  </si>
  <si>
    <t>Resección de quiste pulmonar.</t>
  </si>
  <si>
    <t>Sutura de laceración pulmonar.</t>
  </si>
  <si>
    <t>Trasplante pulmonar.</t>
  </si>
  <si>
    <t>Neumonectomía radical con linfadenectomía.</t>
  </si>
  <si>
    <t>Broncoplastia.</t>
  </si>
  <si>
    <t>Traqueobroncoplastia.</t>
  </si>
  <si>
    <t>PROCEDIMIENTOS SOBRE MEDIASTINO</t>
  </si>
  <si>
    <t>Mediastinoscopia.</t>
  </si>
  <si>
    <t>Biopsia de mediastino (abierta).</t>
  </si>
  <si>
    <t>Drenaje de absceso mediastinal.</t>
  </si>
  <si>
    <t>Resección de tumor mediastinal (anterior).</t>
  </si>
  <si>
    <t>Resección de tumor mediastinal (posterior o medio).</t>
  </si>
  <si>
    <t>Timectomía.</t>
  </si>
  <si>
    <t>Pericardiotomía (vía torácica).</t>
  </si>
  <si>
    <t>Pericardiectomía (vía torácica).</t>
  </si>
  <si>
    <t>Reparación de hernia de hiato (diafragmática).</t>
  </si>
  <si>
    <t>Drenaje de quiste mediastinal.</t>
  </si>
  <si>
    <t>Biopsia de ganglio mediastinal (por videotoracoscopia).</t>
  </si>
  <si>
    <t>Extracción de cuerpo extraño mediastinal.</t>
  </si>
  <si>
    <t>Especialidad 07 - CIRUGÍA GENERAL</t>
  </si>
  <si>
    <t>PROCEDIMIENTOS SOBRE ESÓFAGO</t>
  </si>
  <si>
    <t>Esofagoscopia.</t>
  </si>
  <si>
    <t>Esofagoscopia con toma de biopsia.</t>
  </si>
  <si>
    <t>Dilatación esofágica.</t>
  </si>
  <si>
    <t>Resección de divertículo esofágico.</t>
  </si>
  <si>
    <t>Miotomía de Heller (para acalasia).</t>
  </si>
  <si>
    <t>Esofagolaringectomía con o sin reconstrucción.</t>
  </si>
  <si>
    <t>Esofagectomía parcial.</t>
  </si>
  <si>
    <t>Esfinteroplastia esofágica.</t>
  </si>
  <si>
    <t>Laceración de esófago (reparación).</t>
  </si>
  <si>
    <t>Gastrostomía (para alimentación).</t>
  </si>
  <si>
    <t>Yeyunostomía (para alimentación).</t>
  </si>
  <si>
    <t>Reparación de fístula esofágica.</t>
  </si>
  <si>
    <t>Resección de tumor esofágico (endoscópica).</t>
  </si>
  <si>
    <t>PROCEDIMIENTOS SOBRE ESTÓMAGO Y DUODENO</t>
  </si>
  <si>
    <t>Gastroscopia (endoscopia digestiva alta).</t>
  </si>
  <si>
    <t>Gastroscopia con toma de biopsia.</t>
  </si>
  <si>
    <t>Polipectomía gástrica (endoscópica).</t>
  </si>
  <si>
    <t>Gastrectomía parcial.</t>
  </si>
  <si>
    <t>Gastrectomía total.</t>
  </si>
  <si>
    <t>Piloroplastia.</t>
  </si>
  <si>
    <t>Vagotomía.</t>
  </si>
  <si>
    <t>Sutura de úlcera péptica perforada.</t>
  </si>
  <si>
    <t>Sutura de herida de estómago o duodeno.</t>
  </si>
  <si>
    <t>Gastroyeyunostomía.</t>
  </si>
  <si>
    <t>Cierre de fístula gastrocólica.</t>
  </si>
  <si>
    <t>Gastrectomía en manga (sleeve gastrectomy).</t>
  </si>
  <si>
    <t>Bypass gástrico (laparoscópico o abierto).</t>
  </si>
  <si>
    <t>Bandaje gástrico.</t>
  </si>
  <si>
    <t>Extracción de cuerpo extraño gástrico (endoscópica).</t>
  </si>
  <si>
    <t>Drenaje de absceso gástrico.</t>
  </si>
  <si>
    <t>PROCEDIMIENTOS SOBRE INTESTINO DELGADO Y GRUESO</t>
  </si>
  <si>
    <t>Apendicectomía.</t>
  </si>
  <si>
    <t>Resección de divertículo de Meckel.</t>
  </si>
  <si>
    <t>Enterectomía (resección de segmento de intestino delgado).</t>
  </si>
  <si>
    <t>Enteroanastomosis.</t>
  </si>
  <si>
    <t>Ileostomía.</t>
  </si>
  <si>
    <t>Colostomía.</t>
  </si>
  <si>
    <t>Cierre de ileostomía o colostomía.</t>
  </si>
  <si>
    <t>Colectomía parcial.</t>
  </si>
  <si>
    <t>Colectomía total.</t>
  </si>
  <si>
    <t>Hemicolectomía (derecha o izquierda).</t>
  </si>
  <si>
    <t>Resección anterior baja de recto.</t>
  </si>
  <si>
    <t>Resección abdominoperineal de recto.</t>
  </si>
  <si>
    <t>Resección de pólipo de intestino (endoscópica).</t>
  </si>
  <si>
    <t>Drenaje de absceso intraabdominal (por intestino).</t>
  </si>
  <si>
    <t>Reparación de perforación intestinal.</t>
  </si>
  <si>
    <t>Lisis de adherencias intestinales (laparotomía).</t>
  </si>
  <si>
    <t>Cirugía de fístula intestinal.</t>
  </si>
  <si>
    <t>Cirugía de enfermedad de Crohn o colitis ulcerosa.</t>
  </si>
  <si>
    <t>Resección de divertículos colónicos (diverticulectomía).</t>
  </si>
  <si>
    <t>Resección de tumor de intestino (laparoscópica).</t>
  </si>
  <si>
    <t>Apendicectomía laparoscópica.</t>
  </si>
  <si>
    <t>Colectomía laparoscópica.</t>
  </si>
  <si>
    <t>PROCEDIMIENTOS SOBRE HÍGADO Y VÍAS BILIARES</t>
  </si>
  <si>
    <t>Colecistectomía.</t>
  </si>
  <si>
    <t>Colecistectomía laparoscópica.</t>
  </si>
  <si>
    <t>Colecistectomía con colangiografía.</t>
  </si>
  <si>
    <t>Coledocotomía.</t>
  </si>
  <si>
    <t>Coledocostomía.</t>
  </si>
  <si>
    <t>Esfinterotomía de Oddi (quirúrgica).</t>
  </si>
  <si>
    <t>Hepatectomía parcial (resección de segmento hepático).</t>
  </si>
  <si>
    <t>Hepatectomía total (trasplante hepático).</t>
  </si>
  <si>
    <t>Drenaje de absceso hepático.</t>
  </si>
  <si>
    <t>Biopsia hepática (abierta).</t>
  </si>
  <si>
    <t>Biopsia hepática (por punción o laparoscópica).</t>
  </si>
  <si>
    <t>Derivación biliodigestiva (ej. hepaticoyeyunostomía).</t>
  </si>
  <si>
    <t>Coledocolitotomía.</t>
  </si>
  <si>
    <t>Resección de quiste hepático.</t>
  </si>
  <si>
    <t>Resección de tumor hepático (primario o metastásico).</t>
  </si>
  <si>
    <t>Reparación de laceración hepática.</t>
  </si>
  <si>
    <t>Colecistostomía.</t>
  </si>
  <si>
    <t>PROCEDIMIENTOS SOBRE PÁNCREAS Y BAZO</t>
  </si>
  <si>
    <t>Pancreatomía parcial (ej. resección de cuerpo o cola).</t>
  </si>
  <si>
    <t>Duodenopancreatectomía (operación de Whipple).</t>
  </si>
  <si>
    <t>Drenaje de pseudoquiste pancreático.</t>
  </si>
  <si>
    <t>Pancreatomía total.</t>
  </si>
  <si>
    <t>Esplenectomía.</t>
  </si>
  <si>
    <t>Reparación de laceración esplénica.</t>
  </si>
  <si>
    <t>Biopsia de páncreas.</t>
  </si>
  <si>
    <t>Biopsia de bazo.</t>
  </si>
  <si>
    <t>Resección de tumor de páncreas.</t>
  </si>
  <si>
    <t>Esplenorrafia.</t>
  </si>
  <si>
    <t>PROCEDIMIENTOS SOBRE HERNIAS Y PARED ABDOMINAL</t>
  </si>
  <si>
    <t>Herniorrafia inguinal (unilateral).</t>
  </si>
  <si>
    <t>Herniorrafia inguinal (bilateral).</t>
  </si>
  <si>
    <t>Herniorrafia umbilical.</t>
  </si>
  <si>
    <t>Herniorrafia epigástrica.</t>
  </si>
  <si>
    <t>Herniorrafia incisional o eventración.</t>
  </si>
  <si>
    <t>Herniorrafia femoral.</t>
  </si>
  <si>
    <t>Herniorrafia de Spigel.</t>
  </si>
  <si>
    <t>Herniorrafia diafragmática (adquirida).</t>
  </si>
  <si>
    <t>Lisis de adherencias abdominales (por laparotomía).</t>
  </si>
  <si>
    <t>Drenaje de absceso intraabdominal (general).</t>
  </si>
  <si>
    <t>Laparotomía exploratoria.</t>
  </si>
  <si>
    <t>Cierre de laparostomía.</t>
  </si>
  <si>
    <t>Extracción de cuerpo extraño abdominal.</t>
  </si>
  <si>
    <t>Reparación de evisceración.</t>
  </si>
  <si>
    <t>Reparación de eventración con malla.</t>
  </si>
  <si>
    <t>Laparoscopia diagnóstica.</t>
  </si>
  <si>
    <t>Laparoscopia con biopsia.</t>
  </si>
  <si>
    <t>Herniorrafia laparoscópica (cualquier tipo).</t>
  </si>
  <si>
    <t>PROCEDIMIENTOS SOBRE REGIÓN PERINEAL Y ANAL</t>
  </si>
  <si>
    <t>Hemorroidectomía (interna o externa).</t>
  </si>
  <si>
    <t>Fisurectomía anal.</t>
  </si>
  <si>
    <t>Fistulotomía o fistulectomía anal.</t>
  </si>
  <si>
    <t>Drenaje de absceso perianal.</t>
  </si>
  <si>
    <t>Esfinterotomía anal.</t>
  </si>
  <si>
    <t>Resección de condilomas perianales.</t>
  </si>
  <si>
    <t>Biopsia de recto o ano.</t>
  </si>
  <si>
    <t>Resección de pólipo anal o rectal (vía transanal).</t>
  </si>
  <si>
    <t>Rectopexia.</t>
  </si>
  <si>
    <t>Resección de quiste pilonidal.</t>
  </si>
  <si>
    <t>Drenaje de quiste pilonidal.</t>
  </si>
  <si>
    <t>PROCEDIMIENTOS SOBRE GLÁNDULAS SUPRARRENALES</t>
  </si>
  <si>
    <t>Adrenalectomía (unilateral).</t>
  </si>
  <si>
    <t>Adrenalectomía (bilateral).</t>
  </si>
  <si>
    <t>Adrenalectomía (laparoscópica).</t>
  </si>
  <si>
    <t>Biopsia de glándula suprarrenal.</t>
  </si>
  <si>
    <t>OTROS PROCEDIMIENTOS DE CIRUGÍA GENERAL (CONTINUACIÓN)</t>
  </si>
  <si>
    <t>Drenaje de absceso de pared abdominal.</t>
  </si>
  <si>
    <t>Extracción de cuerpo extraño de abdomen (superficial).</t>
  </si>
  <si>
    <t>Reparación de ostomía (revisión).</t>
  </si>
  <si>
    <t>Biopsia de piel y tejido celular subcutáneo.</t>
  </si>
  <si>
    <t>Resección de lipoma, quiste sebáceo u otro tumor benigno de piel/TSC.</t>
  </si>
  <si>
    <t>Resección de tumor maligno de piel/TSC (incluye márgenes).</t>
  </si>
  <si>
    <t>Desbridamiento de herida compleja (amplio).</t>
  </si>
  <si>
    <t>Drenaje de hematoma o seroma (superficial).</t>
  </si>
  <si>
    <t>Colocación de catéter central (subclavia, yugular, femoral).</t>
  </si>
  <si>
    <t>Retiro de catéter central.</t>
  </si>
  <si>
    <t>Venodisección.</t>
  </si>
  <si>
    <t>Punción de vena central (para acceso).</t>
  </si>
  <si>
    <t>Biopsia de músculo.</t>
  </si>
  <si>
    <t>Biopsia de fascia.</t>
  </si>
  <si>
    <t>Fasciotomía (en extremidad, para síndrome compartimental).</t>
  </si>
  <si>
    <t>Desbridamiento de úlcera por presión.</t>
  </si>
  <si>
    <t>Amputación de dedo.</t>
  </si>
  <si>
    <t>Amputación de extremidad (menor, ej. pie).</t>
  </si>
  <si>
    <t>Amputación de extremidad (mayor, ej. muslo o brazo).</t>
  </si>
  <si>
    <t>Desarticulación (de articulación mayor).</t>
  </si>
  <si>
    <t>Cirugía de absceso de partes blandas (profundo).</t>
  </si>
  <si>
    <t>Extracción de cuerpo extraño (profundo en partes blandas).</t>
  </si>
  <si>
    <t>Drenaje de colección intraabdominal (guiado por imagen o percutáneo).</t>
  </si>
  <si>
    <t>Laparostomía (creación de abdomen abierto).</t>
  </si>
  <si>
    <t>Especialidad 08 - CIRUGÍA DE MAMA</t>
  </si>
  <si>
    <t>PROCEDIMIENTOS SOBRE MAMA</t>
  </si>
  <si>
    <t>Biopsia de mama (incisional o excisional).</t>
  </si>
  <si>
    <t>Biopsia de mama (por aguja gruesa o Tru-Cut).</t>
  </si>
  <si>
    <t>Drenaje de absceso mamario.</t>
  </si>
  <si>
    <t>Extirpación de nódulo mamario benigno (fibroadenoma, quiste).</t>
  </si>
  <si>
    <t>Mastectomía simple (total).</t>
  </si>
  <si>
    <t>Mastectomía radical modificada (incluye linfadenectomía axilar).</t>
  </si>
  <si>
    <t>Mastectomía radical (incluye linfadenectomía axilar y músculos pectorales).</t>
  </si>
  <si>
    <t>Lumpectomía o cuadrantectomía mamaria (resección local amplia).</t>
  </si>
  <si>
    <t>Linfadenectomía axilar (solo).</t>
  </si>
  <si>
    <t>Resección de ginecomastia.</t>
  </si>
  <si>
    <t>Resección de mama supernumeraria.</t>
  </si>
  <si>
    <t>Reconstrucción mamaria con colgajo (ej. TRAM, Latissimus dorsi).</t>
  </si>
  <si>
    <t>Reconstrucción mamaria con implante/expansor.</t>
  </si>
  <si>
    <t>Colocación de marcador tumoral en mama (arpón).</t>
  </si>
  <si>
    <t>Biopsia de ganglio centinela (mamario).</t>
  </si>
  <si>
    <t>Extracción de implante mamario.</t>
  </si>
  <si>
    <t>ESPECIALIDAD: 09 - CIRUGÍA DE TIROIDES Y PARATIROIDES</t>
  </si>
  <si>
    <t>PROCEDIMIENTOS SOBRE TIROIDES</t>
  </si>
  <si>
    <t>Tiroidectomía subtotal (hemitiroidectomía).</t>
  </si>
  <si>
    <t>Tiroidectomía total.</t>
  </si>
  <si>
    <t>Tiroidectomía radical (con vaciamiento ganglionar cervical).</t>
  </si>
  <si>
    <t>Resección de nódulo tiroideo solitario.</t>
  </si>
  <si>
    <t>Drenaje de quiste tiroideo.</t>
  </si>
  <si>
    <t>Biopsia de tiroides (abierta).</t>
  </si>
  <si>
    <t>Biopsia de tiroides (por punción o aguja fina).</t>
  </si>
  <si>
    <t>Lobectomía tiroidea.</t>
  </si>
  <si>
    <t>Istmectomía tiroidea.</t>
  </si>
  <si>
    <t>PROCEDIMIENTOS SOBRE PARATIROIDES</t>
  </si>
  <si>
    <t>Paratiroidectomía (resección de glándulas paratiroides).</t>
  </si>
  <si>
    <t>Exploración de glándulas paratiroides.</t>
  </si>
  <si>
    <t>Resección de adenoma de paratiroides.</t>
  </si>
  <si>
    <t>Tratamiento quirúrgico de peritonitis.</t>
  </si>
  <si>
    <t>Lavado peritoneal.</t>
  </si>
  <si>
    <t>Exploración laparoscópica.</t>
  </si>
  <si>
    <t>Drenaje percutáneo de colección abdominal (guiado por imagen).</t>
  </si>
  <si>
    <t>Gastrostomía endoscópica percutánea (PEG).</t>
  </si>
  <si>
    <t>Yeyunostomía endoscópica percutánea.</t>
  </si>
  <si>
    <t>Biopsia de epiplón.</t>
  </si>
  <si>
    <t>Omentectomía.</t>
  </si>
  <si>
    <t>Extracción de catéter peritoneal.</t>
  </si>
  <si>
    <t>Colocación de catéter de diálisis peritoneal.</t>
  </si>
  <si>
    <t>Retiro de catéter de diálisis peritoneal.</t>
  </si>
  <si>
    <t>Exploración de la cavidad peritoneal.</t>
  </si>
  <si>
    <t>PROCEDIMIENTOS SOBRE RETROPERITONEO</t>
  </si>
  <si>
    <t>Exploración de retroperitoneo.</t>
  </si>
  <si>
    <t>Drenaje de absceso retroperitoneal.</t>
  </si>
  <si>
    <t>Resección de tumor retroperitoneal.</t>
  </si>
  <si>
    <t>Biopsia de retroperitoneo.</t>
  </si>
  <si>
    <t>PROCEDIMIENTOS DE MÚSCULOS, TENDONES Y FASCIA (GENERAL)</t>
  </si>
  <si>
    <t>Biopsia de tendón.</t>
  </si>
  <si>
    <t>Drenaje de absceso muscular.</t>
  </si>
  <si>
    <t>Resección de tumor de músculo.</t>
  </si>
  <si>
    <t>Resección de tumor de tendón.</t>
  </si>
  <si>
    <t>Tenorrafia (sutura de tendón).</t>
  </si>
  <si>
    <t>Fasciotomía (en extremidades para síndrome compartimental).</t>
  </si>
  <si>
    <t>Resección de ganglión tendinoso.</t>
  </si>
  <si>
    <t>PROCEDIMIENTOS DE PIEL Y TEJIDO CELULAR SUBCUTÁNEO (GENERAL)</t>
  </si>
  <si>
    <t>Resección de quiste sebáceo, lipoma o fibroma de piel.</t>
  </si>
  <si>
    <t>Resección de nevus o lunar.</t>
  </si>
  <si>
    <t>Resección de granuloma piógeno.</t>
  </si>
  <si>
    <t>Resección de tumor maligno de piel (incluye márgenes).</t>
  </si>
  <si>
    <t>Drenaje de absceso de piel o tejido celular subcutáneo.</t>
  </si>
  <si>
    <t>Desbridamiento de úlcera o herida (pequeña).</t>
  </si>
  <si>
    <t>Desbridamiento de úlcera o herida (grande o infectada).</t>
  </si>
  <si>
    <t>Extracción de cuerpo extraño superficial.</t>
  </si>
  <si>
    <t>Reparación de laceración simple de piel.</t>
  </si>
  <si>
    <t>Reparación de laceración compleja de piel (con colgajos/injertos menores).</t>
  </si>
  <si>
    <t>Injerto de piel (parcial o total).</t>
  </si>
  <si>
    <t>Colgajo de piel (simple).</t>
  </si>
  <si>
    <t>Colgajo de piel (complejo).</t>
  </si>
  <si>
    <t>Escarectomía.</t>
  </si>
  <si>
    <t>Dermolipectomía (resección de exceso de piel y grasa).</t>
  </si>
  <si>
    <t>Liposucción (con fines reconstructivos/terapéuticos).</t>
  </si>
  <si>
    <t>PROCEDIMIENTOS DE VASOS LINFÁTICOS Y GANGLIOS LINFÁTICOS (GENERAL)</t>
  </si>
  <si>
    <t>Biopsia de ganglio linfático (periférico).</t>
  </si>
  <si>
    <t>Linfadenectomía (resección de ganglios linfáticos aislados).</t>
  </si>
  <si>
    <t>Drenaje de linfocele.</t>
  </si>
  <si>
    <t>Linfadenectomía regional (ej. inguinal, axilar, no radical).</t>
  </si>
  <si>
    <t>Reparación de vaso linfático.</t>
  </si>
  <si>
    <t>PROCEDIMIENTOS SOBRE LA ESPALDA Y COLUMNA (NO NEUROCIRUGÍA)</t>
  </si>
  <si>
    <t>Resección de lipoma o tumor benigno de espalda.</t>
  </si>
  <si>
    <t>Drenaje de absceso de espalda.</t>
  </si>
  <si>
    <t>Extracción de cuerpo extraño de espalda.</t>
  </si>
  <si>
    <t>Biopsia de lesión de espalda.</t>
  </si>
  <si>
    <t>PROCEDIMIENTOS SOBRE EXTREMIDADES (GENERAL)</t>
  </si>
  <si>
    <t>Resección de tumor de partes blandas de extremidad.</t>
  </si>
  <si>
    <t>Drenaje de absceso de extremidad.</t>
  </si>
  <si>
    <t>Extracción de cuerpo extraño de extremidad.</t>
  </si>
  <si>
    <t>Fasciectomía (ej. para contractura de Dupuytren).</t>
  </si>
  <si>
    <t>Tenosinovectomía.</t>
  </si>
  <si>
    <t>Resección de quiste sinovial.</t>
  </si>
  <si>
    <t>PROCEDIMIENTOS SOBRE ABDOMEN</t>
  </si>
  <si>
    <t>ESPECIALIDAD: 10 - UROLOGÍA</t>
  </si>
  <si>
    <t>PROCEDIMIENTOS SOBRE RIÑÓN</t>
  </si>
  <si>
    <t>Nefrectomía total.</t>
  </si>
  <si>
    <t>Nefrectomía parcial.</t>
  </si>
  <si>
    <t>Pielolitotomía (extracción de cálculo de pelvis renal).</t>
  </si>
  <si>
    <t>Nefrolitotomía (extracción de cálculo de parénquima renal).</t>
  </si>
  <si>
    <t>Nefrostomía (abierta).</t>
  </si>
  <si>
    <t>Nefrostomía percutánea.</t>
  </si>
  <si>
    <t>Biopsia renal (abierta).</t>
  </si>
  <si>
    <t>Biopsia renal (por punción).</t>
  </si>
  <si>
    <t>Drenaje de absceso perirrenal.</t>
  </si>
  <si>
    <t>Pieloplastia (corrección de estenosis ureteropiélica).</t>
  </si>
  <si>
    <t>Resección de quiste renal.</t>
  </si>
  <si>
    <t>Reparación de laceración renal.</t>
  </si>
  <si>
    <t>Nefroureterectomía.</t>
  </si>
  <si>
    <t>Nefrolitotomía percutánea.</t>
  </si>
  <si>
    <t>Ureterorrenoscopia con extracción de cálculo.</t>
  </si>
  <si>
    <t>Litotricia extracorpórea (LEOC) para cálculos renales.</t>
  </si>
  <si>
    <t>Nefrectomía laparoscópica.</t>
  </si>
  <si>
    <t>Nefrectomía radical (con linfadenectomía).</t>
  </si>
  <si>
    <t>PROCEDIMIENTOS SOBRE URÉTER</t>
  </si>
  <si>
    <t>Ureterolitotomía (extracción de cálculo ureteral).</t>
  </si>
  <si>
    <t>Ureterotomía (incisión del uréter).</t>
  </si>
  <si>
    <t>Ureterostomía (creación de apertura).</t>
  </si>
  <si>
    <t>Reimplante ureteral.</t>
  </si>
  <si>
    <t>Ureteroscopia diagnóstica.</t>
  </si>
  <si>
    <t>Ureteroscopia con toma de biopsia.</t>
  </si>
  <si>
    <t>Ureteroscopia con fulguración de tumor.</t>
  </si>
  <si>
    <t>Reparación de fístula ureteral.</t>
  </si>
  <si>
    <t>Colocación de catéter doble J (stent ureteral).</t>
  </si>
  <si>
    <t>Retiro de catéter doble J (stent ureteral).</t>
  </si>
  <si>
    <t>Litotricia ureteral (endoscópica o extracorpórea).</t>
  </si>
  <si>
    <t>PROCEDIMIENTOS SOBRE VEJIGA</t>
  </si>
  <si>
    <t>Cistostomía (abierta o suprapúbica).</t>
  </si>
  <si>
    <t>Resección transuretral de tumor vesical (RTU-V).</t>
  </si>
  <si>
    <t>Cistoscopia diagnóstica.</t>
  </si>
  <si>
    <t>Cistoscopia con toma de biopsia.</t>
  </si>
  <si>
    <t>Cistolitotomía (extracción de cálculo vesical).</t>
  </si>
  <si>
    <t>Cistectomía parcial.</t>
  </si>
  <si>
    <t>Cistectomía total (con derivación urinaria).</t>
  </si>
  <si>
    <t>Reparación de laceración vesical.</t>
  </si>
  <si>
    <t>Reparación de fístula vesical.</t>
  </si>
  <si>
    <t>Diverticulectomía vesical.</t>
  </si>
  <si>
    <t>Cistografía (diagnóstica).</t>
  </si>
  <si>
    <t>PROCEDIMIENTOS SOBRE URETRA Y PRÓSTATA</t>
  </si>
  <si>
    <t>Uretrotomía interna (por estenosis).</t>
  </si>
  <si>
    <t>Uretroplastia.</t>
  </si>
  <si>
    <t>Reparación de fístula uretra-cutánea.</t>
  </si>
  <si>
    <t>Extracción de cuerpo extraño uretral.</t>
  </si>
  <si>
    <t>Cistouretroscopia diagnóstica.</t>
  </si>
  <si>
    <t>Cistouretroscopia con toma de biopsia.</t>
  </si>
  <si>
    <t>Resección transuretral de próstata (RTU-P).</t>
  </si>
  <si>
    <t>Prostatoseminalvesiculectomía radical (prostatectomía radical).</t>
  </si>
  <si>
    <t>Prostatectomía suprapúbica (adenomectomía).</t>
  </si>
  <si>
    <t>Drenaje de absceso prostático.</t>
  </si>
  <si>
    <t>Biopsia de próstata (transrectal o transperineal).</t>
  </si>
  <si>
    <t>Implante de prótesis de pene.</t>
  </si>
  <si>
    <t>Dilatación uretral.</t>
  </si>
  <si>
    <t>Colocación de catéter uretral.</t>
  </si>
  <si>
    <t>Esfinterotomía externa de uretra.</t>
  </si>
  <si>
    <t>Biopsia de uretra.</t>
  </si>
  <si>
    <t>Resección de pólipo o tumor uretral.</t>
  </si>
  <si>
    <t>PROCEDIMIENTOS SOBRE TESTÍCULO Y EPIDÍDIMO</t>
  </si>
  <si>
    <t>Orquiectomía (unilateral).</t>
  </si>
  <si>
    <t>Orquiectomía (bilateral).</t>
  </si>
  <si>
    <t>Orquidopexia (corrección de testículo no descendido).</t>
  </si>
  <si>
    <t>Drenaje de hidrocele.</t>
  </si>
  <si>
    <t>Epididimectomía.</t>
  </si>
  <si>
    <t>Vasectomía (bilateral).</t>
  </si>
  <si>
    <t>Vasovasostomía (recanalización de conductos deferentes).</t>
  </si>
  <si>
    <t>Espermatocelectomía.</t>
  </si>
  <si>
    <t>Biopsia de testículo.</t>
  </si>
  <si>
    <t>Ligadura de varicocele.</t>
  </si>
  <si>
    <t>PROCEDIMIENTOS SOBRE PENE Y ESCROTO</t>
  </si>
  <si>
    <t>Circuncisión (post-puberal).</t>
  </si>
  <si>
    <t>Resección de tumor de pene.</t>
  </si>
  <si>
    <t>Amputación de pene.</t>
  </si>
  <si>
    <t>Reparación de priapismo.</t>
  </si>
  <si>
    <t>Corrección de enfermedad de Peyronie.</t>
  </si>
  <si>
    <t>Drenaje de absceso de escroto.</t>
  </si>
  <si>
    <t>Escrotectomía.</t>
  </si>
  <si>
    <t>Biopsia de pene.</t>
  </si>
  <si>
    <t>Biopsia de escroto.</t>
  </si>
  <si>
    <t>OTROS PROCEDIMIENTOS UROLÓGICOS</t>
  </si>
  <si>
    <t>Cistoscopia con fulguración de tumor.</t>
  </si>
  <si>
    <t>Cistoscopia con litotricia intravesical.</t>
  </si>
  <si>
    <t>Biopsia de vejiga (transuretral).</t>
  </si>
  <si>
    <t>Manejo quirúrgico de incontinencia urinaria masculina.</t>
  </si>
  <si>
    <t>Esfinter artificial urinario (implante).</t>
  </si>
  <si>
    <t>Drenaje de urinoma.</t>
  </si>
  <si>
    <t>Trasplante renal.</t>
  </si>
  <si>
    <t>Extracción de cálculo vesical (endoscópica).</t>
  </si>
  <si>
    <t>Extracción de catéter de cistostomía.</t>
  </si>
  <si>
    <t>Reparación de rotura de vejiga (intraperitoneal o extraperitoneal).</t>
  </si>
  <si>
    <t>Ureterolisis.</t>
  </si>
  <si>
    <t>Especialidad 11 - GINECOLOGÍA Y OBSTETRICIA</t>
  </si>
  <si>
    <t>PROCEDIMIENTOS SOBRE VULVA Y PERINÉ</t>
  </si>
  <si>
    <t>Himenectomía.</t>
  </si>
  <si>
    <t>Resección de quiste de Bartholin o absceso.</t>
  </si>
  <si>
    <t>Marsupialización de quiste de Bartholin.</t>
  </si>
  <si>
    <t>Resección de condilomas vulvares.</t>
  </si>
  <si>
    <t>Biopsia de vulva.</t>
  </si>
  <si>
    <t>Vulvectomía simple.</t>
  </si>
  <si>
    <t>Vulvectomía radical.</t>
  </si>
  <si>
    <t>Reparación de desgarro perineal (grado I-II).</t>
  </si>
  <si>
    <t>Reparación de desgarro perineal (grado III-IV).</t>
  </si>
  <si>
    <t>Perineorrafia.</t>
  </si>
  <si>
    <t>PROCEDIMIENTOS SOBRE VAGINA</t>
  </si>
  <si>
    <t>Colporrafia anterior (corrección de cistocele).</t>
  </si>
  <si>
    <t>Colporrafia posterior (corrección de rectocele).</t>
  </si>
  <si>
    <t>Colporrafia anterior y posterior.</t>
  </si>
  <si>
    <t>Vaginoplastia (reconstrucción vaginal).</t>
  </si>
  <si>
    <t>Resección de tumor vaginal.</t>
  </si>
  <si>
    <t>Drenaje de absceso vaginal.</t>
  </si>
  <si>
    <t>Biopsia de vagina.</t>
  </si>
  <si>
    <t>Extracción de cuerpo extraño vaginal.</t>
  </si>
  <si>
    <t>Cierre de fístula vesico-vaginal.</t>
  </si>
  <si>
    <t>Cierre de fístula recto-vaginal.</t>
  </si>
  <si>
    <t>Resección de tabique vaginal.</t>
  </si>
  <si>
    <t>PROCEDIMIENTOS SOBRE CUELLO UTERINO (CÉRVIX)</t>
  </si>
  <si>
    <t>Biopsia de cérvix (conización).</t>
  </si>
  <si>
    <t>Biopsia de cérvix (sacabocados).</t>
  </si>
  <si>
    <t>Cauterización o crioterapia de cérvix.</t>
  </si>
  <si>
    <t>Amputación de cérvix (tracuelectomía).</t>
  </si>
  <si>
    <t>Cerclaje cervical (profiláctico o terapéutico).</t>
  </si>
  <si>
    <t>Extracción de pólipo cervical.</t>
  </si>
  <si>
    <t>PROCEDIMIENTOS SOBRE ÚTERO</t>
  </si>
  <si>
    <t>Dilatación y curetaje (legrado uterino diagnóstico o terapéutico).</t>
  </si>
  <si>
    <t>Histerectomía abdominal total.</t>
  </si>
  <si>
    <t>Histerectomía vaginal total.</t>
  </si>
  <si>
    <t>Histerectomía abdominal subtotal.</t>
  </si>
  <si>
    <t>Histerectomía radical (Wertheim).</t>
  </si>
  <si>
    <t>Miomectomía (extirpación de miomas uterinos).</t>
  </si>
  <si>
    <t>Histeroscopia diagnóstica.</t>
  </si>
  <si>
    <t>Histeroscopia con resección de pólipo o mioma.</t>
  </si>
  <si>
    <t>Histeroscopia con ablación endometrial.</t>
  </si>
  <si>
    <t>Reparación de perforación uterina.</t>
  </si>
  <si>
    <t>Metroplastia (corrección de malformaciones uterinas).</t>
  </si>
  <si>
    <t>Resección de útero rudimentario.</t>
  </si>
  <si>
    <t>PROCEDIMIENTOS SOBRE OVARIOS Y TROMPAS DE FALOPIO</t>
  </si>
  <si>
    <t>Ovariectomía (unilateral).</t>
  </si>
  <si>
    <t>Ovariectomía (bilateral).</t>
  </si>
  <si>
    <t>Salpingectomía (extirpación de trompa de Falopio, unilateral).</t>
  </si>
  <si>
    <t>Salpingectomía (bilateral).</t>
  </si>
  <si>
    <t>Salpingooforectomía (extirpación de ovario y trompa, unilateral).</t>
  </si>
  <si>
    <t>Salpingooforectomía (bilateral).</t>
  </si>
  <si>
    <t>Cistectomía ovárica (extirpación de quiste ovárico).</t>
  </si>
  <si>
    <t>Salpingostomía o fimbrioplastia (para infertilidad).</t>
  </si>
  <si>
    <t>Ligadura de trompas de Falopio (ligadura tubárica).</t>
  </si>
  <si>
    <t>Lisis de adherencias tubo-ováricas.</t>
  </si>
  <si>
    <t>Biopsia de ovario.</t>
  </si>
  <si>
    <t>Resección de tumor ovárico.</t>
  </si>
  <si>
    <t>Ooforoplastia.</t>
  </si>
  <si>
    <t>Salpingolisis.</t>
  </si>
  <si>
    <t>PROCEDIMIENTOS LAPAROSCÓPICOS (GINECOLÓGICOS)</t>
  </si>
  <si>
    <t>Laparoscopia diagnóstica (ginecológica).</t>
  </si>
  <si>
    <t>Laparoscopia con lisis de adherencias.</t>
  </si>
  <si>
    <t>Laparoscopia para extirpación de quiste ovárico.</t>
  </si>
  <si>
    <t>Laparoscopia para salpingectomía (ej. embarazo ectópico).</t>
  </si>
  <si>
    <t>Laparoscopia para ligadura de trompas.</t>
  </si>
  <si>
    <t>Laparoscopia para miomectomía.</t>
  </si>
  <si>
    <t>Laparoscopia para histerectomía (total o subtotal).</t>
  </si>
  <si>
    <t>Laparoscopia para salpingooforectomía.</t>
  </si>
  <si>
    <t>Laparoscopia con fulguración de endometriosis.</t>
  </si>
  <si>
    <t>Laparoscopia para drenaje de absceso pélvico.</t>
  </si>
  <si>
    <t>Laparoscopia para manejo de embarazo ectópico.</t>
  </si>
  <si>
    <t>PROCEDIMIENTOS OBSTÉTRICOS (RELACIONADOS CON EL EMBARAZO Y PARTO)</t>
  </si>
  <si>
    <t>Cesárea.</t>
  </si>
  <si>
    <t>Reparación de desgarro cervical postparto.</t>
  </si>
  <si>
    <t>Legrado uterino postparto o postaborto.</t>
  </si>
  <si>
    <t>Cerclaje cervical (durante el embarazo).</t>
  </si>
  <si>
    <t>Amniocentesis (terapéutica o diagnóstica).</t>
  </si>
  <si>
    <t>Biopsia de vellosidades coriónicas (BVC).</t>
  </si>
  <si>
    <t>Extracción manual de placenta.</t>
  </si>
  <si>
    <t>Episiotomía y episiorrafia.</t>
  </si>
  <si>
    <t>Cierre de desgarro vaginal postparto.</t>
  </si>
  <si>
    <t>Versión cefálica externa.</t>
  </si>
  <si>
    <t>Parto vaginal (no quirúrgico).</t>
  </si>
  <si>
    <t>No Aplica (Tarifa Integral)</t>
  </si>
  <si>
    <t>Parto vaginal con fórceps o vacuum.</t>
  </si>
  <si>
    <t>Histerectomía obstétrica (postparto).</t>
  </si>
  <si>
    <t>Laparotomía por embarazo ectópico.</t>
  </si>
  <si>
    <t>Corrección de prolapso uterino (histeropexia).</t>
  </si>
  <si>
    <t>Manejo quirúrgico de aborto incompleto (distinto de legrado).</t>
  </si>
  <si>
    <t>Extracción de restos ovulares (manual).</t>
  </si>
  <si>
    <t>Especialidad 12 - ORTOPEDIA Y TRAUMATOLOGÍA</t>
  </si>
  <si>
    <t>PROCEDIMIENTOS SOBRE HUESOS LARGOS Y ARTICULACIONES (GENERAL)</t>
  </si>
  <si>
    <t>Reducción cerrada de fractura simple (sin fijación).</t>
  </si>
  <si>
    <t>Reducción abierta de fractura simple con fijación interna (placa, tornillo).</t>
  </si>
  <si>
    <t>Reducción abierta de fractura compleja con fijación interna.</t>
  </si>
  <si>
    <t>Fijación externa de fractura.</t>
  </si>
  <si>
    <t>Reducción cerrada de luxación.</t>
  </si>
  <si>
    <t>Reducción abierta de luxación.</t>
  </si>
  <si>
    <t>Artrotomía (exploración de articulación).</t>
  </si>
  <si>
    <t>Artrodesis (fusión de articulación).</t>
  </si>
  <si>
    <t>Osteotomía (corte de hueso).</t>
  </si>
  <si>
    <t>Secuestrectomía (extracción de hueso necrótico).</t>
  </si>
  <si>
    <t>Biopsia ósea (abierta).</t>
  </si>
  <si>
    <t>Biopsia ósea (por punción).</t>
  </si>
  <si>
    <t>Drenaje de absceso óseo (osteomielitis).</t>
  </si>
  <si>
    <t>Extracción de material de osteosíntesis (placas, tornillos, clavos).</t>
  </si>
  <si>
    <t>Injerto óseo (autólogo o heterólogo).</t>
  </si>
  <si>
    <t>Resección de tumor óseo (benigno).</t>
  </si>
  <si>
    <t>Resección de tumor óseo (maligno).</t>
  </si>
  <si>
    <t>Reemplazo articular (artroplastia total) de cadera.</t>
  </si>
  <si>
    <t>Reemplazo articular (artroplastia total) de rodilla.</t>
  </si>
  <si>
    <t>Reemplazo articular (artroplastia total) de hombro.</t>
  </si>
  <si>
    <t>Reemplazo articular (artroplastia total) de codo.</t>
  </si>
  <si>
    <t>Artroscopia diagnóstica (de articulación mayor).</t>
  </si>
  <si>
    <t>Artroscopia terapéutica (ej. menisectomía, reparación de ligamentos).</t>
  </si>
  <si>
    <t>Desbridamiento de herida ósea o articular.</t>
  </si>
  <si>
    <t>PROCEDIMIENTOS SOBRE CINTURA ESCAPULAR Y BRAZO (HOMBRO Y HUMERO)</t>
  </si>
  <si>
    <t>Reducción de fractura de clavícula (abierta).</t>
  </si>
  <si>
    <t>Reducción de fractura de escápula (abierta).</t>
  </si>
  <si>
    <t>Reducción de fractura de húmero (abierta).</t>
  </si>
  <si>
    <t>Reducción de luxación de hombro (abierta).</t>
  </si>
  <si>
    <t>Reparación de manguito rotador.</t>
  </si>
  <si>
    <t>Acromioplastia.</t>
  </si>
  <si>
    <t>Bursectomía subacromial.</t>
  </si>
  <si>
    <t>Descompresión del nervio supraescapular.</t>
  </si>
  <si>
    <t>Artrodesis de hombro.</t>
  </si>
  <si>
    <t>Resección de tumor de húmero.</t>
  </si>
  <si>
    <t>Artroscopia de hombro (diagnóstica).</t>
  </si>
  <si>
    <t>Artroscopia de hombro (terapéutica).</t>
  </si>
  <si>
    <t>PROCEDIMIENTOS SOBRE ANTEBRAZO Y CODO (RADIO, CÚBITO)</t>
  </si>
  <si>
    <t>Reducción de fractura de radio y/o cúbito (abierta).</t>
  </si>
  <si>
    <t>Reducción de luxación de codo (abierta).</t>
  </si>
  <si>
    <t>Resección de cabeza del radio.</t>
  </si>
  <si>
    <t>Reparación de epicondilitis (codo de tenista/golfista).</t>
  </si>
  <si>
    <t>Artrodesis de codo.</t>
  </si>
  <si>
    <t>Artroscopia de codo.</t>
  </si>
  <si>
    <t>PROCEDIMIENTOS SOBRE MUÑECA Y MANO (CARPO, METACARPO, FALANGES)</t>
  </si>
  <si>
    <t>Reducción de fractura de carpo o metacarpo (abierta).</t>
  </si>
  <si>
    <t>Reducción de fractura de falange (abierta).</t>
  </si>
  <si>
    <t>Reducción de luxación de muñeca o dedo (abierta).</t>
  </si>
  <si>
    <t>Liberación del túnel del carpo (síndrome del túnel carpiano).</t>
  </si>
  <si>
    <t>Drenaje de infección de mano.</t>
  </si>
  <si>
    <t>Tenosinovectomía de mano (ej. Dedo en gatillo).</t>
  </si>
  <si>
    <t>Artrodesis de muñeca.</t>
  </si>
  <si>
    <t>Artrodesis de dedo.</t>
  </si>
  <si>
    <t>Resección de quiste sinovial de muñeca o mano (ganglión).</t>
  </si>
  <si>
    <t>Reparación de tendones flexores o extensores de mano.</t>
  </si>
  <si>
    <t>Reimplante de dedo o mano.</t>
  </si>
  <si>
    <t>PROCEDIMIENTOS SOBRE PELVIS Y CADERA (FÉMUR PROXIMAL)</t>
  </si>
  <si>
    <t>Reducción de fractura de pelvis (cerrada).</t>
  </si>
  <si>
    <t>Reducción de fractura de pelvis (abierta con fijación).</t>
  </si>
  <si>
    <t>Reducción de fractura de fémur proximal (cuello, intertrocantérica) abierta.</t>
  </si>
  <si>
    <t>Reducción de luxación de cadera (abierta).</t>
  </si>
  <si>
    <t>Artrodesis de cadera.</t>
  </si>
  <si>
    <t>Osteotomía de pelvis o fémur proximal (correctora).</t>
  </si>
  <si>
    <t>Resección de tumor de pelvis o fémur proximal.</t>
  </si>
  <si>
    <t>Hemiartroplastia de cadera (prótesis parcial).</t>
  </si>
  <si>
    <t>Artroscopia de cadera (diagnóstica o terapéutica).</t>
  </si>
  <si>
    <t>PROCEDIMIENTOS SOBRE MUSLO Y RODILLA (FÉMUR DISTAL, RÓTULA, TIBIA PROXIMAL)</t>
  </si>
  <si>
    <t>Reducción de fractura de diáfisis de fémur (abierta).</t>
  </si>
  <si>
    <t>Reducción de fractura de fémur distal o rótula (abierta).</t>
  </si>
  <si>
    <t>Reducción de fractura de tibia proximal (abierta).</t>
  </si>
  <si>
    <t>Reducción de luxación de rodilla (abierta).</t>
  </si>
  <si>
    <t>Menisectomía (resección de menisco, abierta).</t>
  </si>
  <si>
    <t>Reparación de ligamento cruzado anterior (LCA) o posterior (LCP).</t>
  </si>
  <si>
    <t>Reparación de ligamentos colaterales de rodilla.</t>
  </si>
  <si>
    <t>Patella alta/baja (corrección quirúrgica).</t>
  </si>
  <si>
    <t>Artrodesis de rodilla.</t>
  </si>
  <si>
    <t>Resección de tumor de fémur o tibia proximal.</t>
  </si>
  <si>
    <t>Artroscopia de rodilla (diagnóstica).</t>
  </si>
  <si>
    <t>Artroscopia de rodilla (terapéutica, ej. menisectomía artroscópica).</t>
  </si>
  <si>
    <t>Realineación patelofemoral.</t>
  </si>
  <si>
    <t>PROCEDIMIENTOS SOBRE PIERNA Y TOBILLO (TIBIA, PERONÉ, MALÉOLOS)</t>
  </si>
  <si>
    <t>Reducción de fractura de tibia y/o peroné (abierta).</t>
  </si>
  <si>
    <t>Reducción de fractura de tobillo (maleolar) (abierta).</t>
  </si>
  <si>
    <t>Reducción de luxación de tobillo (abierta).</t>
  </si>
  <si>
    <t>Artrodesis de tobillo.</t>
  </si>
  <si>
    <t>Reparación de tendón de Aquiles.</t>
  </si>
  <si>
    <t>Tenosinovectomía de tobillo.</t>
  </si>
  <si>
    <t>Artroscopia de tobillo.</t>
  </si>
  <si>
    <t>PROCEDIMIENTOS SOBRE PIE (TARSO, METATARSO, FALANGES)</t>
  </si>
  <si>
    <t>Reducción de fractura de tarso, metatarso o falange de pie (abierta).</t>
  </si>
  <si>
    <t>Reducción de luxación de pie o dedo de pie (abierta).</t>
  </si>
  <si>
    <t>Corrección de hallux valgus (juanete).</t>
  </si>
  <si>
    <t>Corrección de dedos en garra o martillo.</t>
  </si>
  <si>
    <t>Fasciotomía plantar (para fascitis plantar).</t>
  </si>
  <si>
    <t>Artrodesis de pie (triple artrodesis, etc.).</t>
  </si>
  <si>
    <t>Resección de neuroma de Morton.</t>
  </si>
  <si>
    <t>Espolón calcáneo (resección).</t>
  </si>
  <si>
    <t>Tenotomía de pie.</t>
  </si>
  <si>
    <t>Amputación de dedo del pie.</t>
  </si>
  <si>
    <t>Resección de tumor óseo de pie.</t>
  </si>
  <si>
    <t>OTROS PROCEDIMIENTOS ORTOPÉDICOS</t>
  </si>
  <si>
    <t>Alargamiento de extremidad (osteogénesis por distracción).</t>
  </si>
  <si>
    <t>Acortamiento de extremidad.</t>
  </si>
  <si>
    <t>Amputación de extremidad (cualquier nivel, no especificado anteriormente).</t>
  </si>
  <si>
    <t>Desarticulación (cualquier articulación mayor, no especificado).</t>
  </si>
  <si>
    <t>Artrolisis (liberación de articulación).</t>
  </si>
  <si>
    <t>Aspiración o inyección articular.</t>
  </si>
  <si>
    <t>Inyección de factores de crecimiento/PRP en articulación/tendón.</t>
  </si>
  <si>
    <t>Retiro de yeso o férula.</t>
  </si>
  <si>
    <t>Colocación de yeso o férula.</t>
  </si>
  <si>
    <t>Reducción de fractura por tracción (esqueletal o cutánea).</t>
  </si>
  <si>
    <t>Resección de hueso accesorio.</t>
  </si>
  <si>
    <t>Osteocondroma (resección).</t>
  </si>
  <si>
    <t>Drenaje de bursitis.</t>
  </si>
  <si>
    <t>Resección de bursitis.</t>
  </si>
  <si>
    <t>Trasplante de osteocondral (autólogo o aloinjerto).</t>
  </si>
  <si>
    <t>Artroplastia de revisión (cadera, rodilla, hombro).</t>
  </si>
  <si>
    <t>Artrodesis de columna (no incluida en neurocirugía).</t>
  </si>
  <si>
    <t>13 - CIRUGÍA PLÁSTICA, ESTÉTICA Y RECONSTRUCTIVA</t>
  </si>
  <si>
    <t>PROCEDIMIENTOS SOBRE PIEL Y TEJIDO CELULAR SUBCUTÁNEO (RECONSTRUCTIVOS)</t>
  </si>
  <si>
    <t>Injerto de piel (parcial, área menor del 5% de superficie corporal).</t>
  </si>
  <si>
    <t>Injerto de piel (parcial, área del 5% al 10% de superficie corporal).</t>
  </si>
  <si>
    <t>Injerto de piel (parcial, área mayor del 10% de superficie corporal).</t>
  </si>
  <si>
    <t>Injerto de piel (total, por unidad, ej. dedo, párpado).</t>
  </si>
  <si>
    <t>Colgajo cutáneo local (simple).</t>
  </si>
  <si>
    <t>Colgajo cutáneo local (complejo, con rotación o transposición).</t>
  </si>
  <si>
    <t>Colgajo pediculado a distancia.</t>
  </si>
  <si>
    <t>Colgajo microvascularizado (con anastomosis vascular).</t>
  </si>
  <si>
    <t>Expansión tisular (colocación de expansor).</t>
  </si>
  <si>
    <t>Expansión tisular (retiro de expansor y reconstrucción).</t>
  </si>
  <si>
    <t>Reparación de cicatriz retráctil o queloide (con Z-plastia o injerto).</t>
  </si>
  <si>
    <t>Desbridamiento de quemadura (amplio).</t>
  </si>
  <si>
    <t>Cierre de heridas complejas (amplio o con técnica especial).</t>
  </si>
  <si>
    <t>Dermabrasión (terapéutica, ej. cicatrices de acné, post-traumáticas).</t>
  </si>
  <si>
    <t>Resección de tumor cutáneo (maligno, con cierre complejo).</t>
  </si>
  <si>
    <t>Resección de lesiones por radiación (radionecrosis) con reconstrucción.</t>
  </si>
  <si>
    <t>PROCEDIMIENTOS SOBRE CABEZA Y CUELLO (RECONSTRUCTIVOS)</t>
  </si>
  <si>
    <t>Queiloplastia (reparación de labio leporino).</t>
  </si>
  <si>
    <t>Palatoplastia (reparación de paladar hendido).</t>
  </si>
  <si>
    <t>Rinoplastia (reconstructiva post-trauma o tumor).</t>
  </si>
  <si>
    <t>Otoplastia (reconstructiva, ej. oreja en copa, microtia).</t>
  </si>
  <si>
    <t>Reconstrucción de párpado.</t>
  </si>
  <si>
    <t>Reconstrucción de nariz.</t>
  </si>
  <si>
    <t>Reconstrucción de oreja.</t>
  </si>
  <si>
    <t>Reconstrucción facial compleja (post-trauma, tumor).</t>
  </si>
  <si>
    <t>Reducción de cicatriz facial (quirúrgica).</t>
  </si>
  <si>
    <t>Drenaje de absceso facial (complejo).</t>
  </si>
  <si>
    <t>Resección de tumor de cabeza o cuello (con reconstrucción compleja).</t>
  </si>
  <si>
    <t>PROCEDIMIENTOS DE TRONCO Y EXTREMIDADES (RECONSTRUCTIVOS)</t>
  </si>
  <si>
    <t>Abdominoplastia (reconstructiva post-pérdida masiva de peso).</t>
  </si>
  <si>
    <t>Lifting de brazo o muslo (braquioplastia, cruroplastia reconstructiva).</t>
  </si>
  <si>
    <t>Reconstrucción de pared torácica.</t>
  </si>
  <si>
    <t>Reconstrucción de pared abdominal (hernia incisional compleja).</t>
  </si>
  <si>
    <t>Reconstrucción de periné.</t>
  </si>
  <si>
    <t>Colgajo para cobertura de defectos óseos o tendinosos en extremidades.</t>
  </si>
  <si>
    <t>Reparación de lesiones nerviosas periféricas (no neurocirugía).</t>
  </si>
  <si>
    <t>Reimplante de extremidad (segmentos mayores).</t>
  </si>
  <si>
    <t>Cirugía de la mano (reconstructiva, tendones, nervios).</t>
  </si>
  <si>
    <t>Resección de tumor de partes blandas (profundo o maligno, con reconstrucción).</t>
  </si>
  <si>
    <t>PROCEDIMIENTOS ESTÉTICOS (APLICABLES EN CIERTOS CONTEXTOS DE SOAT/RECONSTRUCTIVOS)</t>
  </si>
  <si>
    <t>Ritidectomía (lifting facial) (si tiene componente reconstructivo post-trauma/quemadura).</t>
  </si>
  <si>
    <t>Mamoplastia de reducción (cuando es por gigantomastia y genera patología).</t>
  </si>
  <si>
    <t>Mamoplastia de aumento (si es para simetrización post-reconstrucción).</t>
  </si>
  <si>
    <t>Blefaroplastia (superior o inferior) (si es funcional o post-trauma).</t>
  </si>
  <si>
    <t>Lipoescultura (si es para corrección de lipodistrofia post-trauma/enfermedad).</t>
  </si>
  <si>
    <t>Cirugía de nariz (rinoplastia) (si es funcional o post-trauma).</t>
  </si>
  <si>
    <t>Especialidad 14 - CIRUGÍA MAXILOFACIAL</t>
  </si>
  <si>
    <t>PROCEDIMIENTOS SOBRE HUESOS FACIALES (FRACTURAS Y RECONSTRUCCIÓN)</t>
  </si>
  <si>
    <t>Reducción abierta de fractura de maxilar superior (Le Fort I, II, III).</t>
  </si>
  <si>
    <t>Reducción abierta de fractura de maxilar inferior (mandíbula).</t>
  </si>
  <si>
    <t>Reducción abierta de fractura de cigoma o malar.</t>
  </si>
  <si>
    <t>Reducción abierta de fractura de órbita (paredes o piso).</t>
  </si>
  <si>
    <t>Reducción abierta de fractura de huesos propios de la nariz (reparación ósea).</t>
  </si>
  <si>
    <t>Reducción abierta de fractura de la articulación temporomandibular (ATM).</t>
  </si>
  <si>
    <t>Osteotomía de maxilar superior (Le Fort I, II, III).</t>
  </si>
  <si>
    <t>Osteotomía de mandíbula (osteotomía sagital).</t>
  </si>
  <si>
    <t>Osteotomía de mentón (mentoplastia ósea).</t>
  </si>
  <si>
    <t>Reparación de defecto óseo facial con injerto (óseo autólogo).</t>
  </si>
  <si>
    <t>Reparación de defecto óseo facial con material aloplástico (malla, placa).</t>
  </si>
  <si>
    <t>Extracción de material de osteosíntesis facial.</t>
  </si>
  <si>
    <t>Resección de tumor óseo facial (benigno).</t>
  </si>
  <si>
    <t>Resección de tumor óseo facial (maligno, con reconstrucción).</t>
  </si>
  <si>
    <t>Resección de torus mandibular o palatino.</t>
  </si>
  <si>
    <t>PROCEDIMIENTOS SOBRE ARTICULACIÓN TEMPOROMANDIBULAR (ATM)</t>
  </si>
  <si>
    <t>Artrocentesis de ATM.</t>
  </si>
  <si>
    <t>Artroscopia de ATM (diagnóstica o terapéutica).</t>
  </si>
  <si>
    <t>Resección de cóndilo mandibular.</t>
  </si>
  <si>
    <t>Condilectomía.</t>
  </si>
  <si>
    <t>Reparación de anquilosis de ATM.</t>
  </si>
  <si>
    <t>Implante de prótesis de ATM.</t>
  </si>
  <si>
    <t>PROCEDIMIENTOS SOBRE TEJIDOS BLANDOS DE CARA Y BOCA</t>
  </si>
  <si>
    <t>Biopsia de lesión de mucosa oral.</t>
  </si>
  <si>
    <t>Resección de tumor de labio o mejilla (pequeño).</t>
  </si>
  <si>
    <t>Resección de tumor de labio o mejilla (grande con reconstrucción).</t>
  </si>
  <si>
    <t>Reparación de laceración facial (compleja).</t>
  </si>
  <si>
    <t>Frenectomía (labial o lingual).</t>
  </si>
  <si>
    <t>Extracción de cuerpo extraño de tejidos blandos orofaciales.</t>
  </si>
  <si>
    <t>Drenaje de absceso facial u oral.</t>
  </si>
  <si>
    <t>Cierre de fístula orocutánea o oronasal.</t>
  </si>
  <si>
    <t>ODONTOLOGÍA (PROCEDIMIENTOS ESPECÍFICOS DE CIRUGÍA MAXILOFACIAL)</t>
  </si>
  <si>
    <t>Extracción de tercer molar impactado.</t>
  </si>
  <si>
    <t>Quistectomía odontogénica (de quiste en maxilares).</t>
  </si>
  <si>
    <t>Implante dental (quirúrgico).</t>
  </si>
  <si>
    <t>Elevación de seno maxilar (para implantes).</t>
  </si>
  <si>
    <t>Injerto óseo alveolar.</t>
  </si>
  <si>
    <t>Apicectomía.</t>
  </si>
  <si>
    <t>Odontosección.</t>
  </si>
  <si>
    <t>Resección de tumor odontogénico.</t>
  </si>
  <si>
    <t>Especialidad 15 - ANESTESIA</t>
  </si>
  <si>
    <r>
      <t xml:space="preserve">los códigos de anestesia no representan procedimientos quirúrgicos "per se" para el paciente, sino las unidades de valoración de los servicios de anestesia prestados para una cirugía principal. El "Grupo Quirúrgico" en esta sección se refiere a las </t>
    </r>
    <r>
      <rPr>
        <b/>
        <sz val="10"/>
        <color rgb="FF000000"/>
        <rFont val="Times New Roman"/>
        <family val="1"/>
      </rPr>
      <t>Unidades de Anestesia (U.A.)</t>
    </r>
    <r>
      <rPr>
        <sz val="10"/>
        <color rgb="FF000000"/>
        <rFont val="Times New Roman"/>
        <family val="1"/>
      </rPr>
      <t xml:space="preserve"> asignadas a diferentes rangos de complejidad quirúrgica, que luego se utilizan para calcular el valor total.</t>
    </r>
  </si>
  <si>
    <t>Descripción (Grupo Quirúrgico al que aplica)</t>
  </si>
  <si>
    <t>Unidades de Anestesia (U.A.)</t>
  </si>
  <si>
    <t>Anestesia para procedimiento quirúrgico (Grupo 0 a 6).</t>
  </si>
  <si>
    <t>Anestesia para procedimiento quirúrgico (Grupo 7 a 9).</t>
  </si>
  <si>
    <t>Anestesia para procedimiento quirúrgico (Grupo 10 a 11).</t>
  </si>
  <si>
    <t>Anestesia para procedimiento quirúrgico (Grupo 12 a 13).</t>
  </si>
  <si>
    <t>Anestesia para procedimiento quirúrgico (Grupo 14 a 15).</t>
  </si>
  <si>
    <t>Anestesia para procedimiento quirúrgico (Grupo 16 a 18).</t>
  </si>
  <si>
    <t>Anestesia para procedimiento quirúrgico (Grupo 19 a 20).</t>
  </si>
  <si>
    <t>Anestesia para procedimiento quirúrgico (Grupo 21 a 22).</t>
  </si>
  <si>
    <t>Anestesia para procedimiento quirúrgico (Grupo 23).</t>
  </si>
  <si>
    <t>Anestesia para procedimientos especiales (ej. Neurocirugía compleja, Cirugía Cardiovascular).</t>
  </si>
  <si>
    <t>Variable (definido por complejidad)</t>
  </si>
  <si>
    <t>Anestesia para procedimiento obstétrico (ej. parto vaginal, no cesárea).</t>
  </si>
  <si>
    <t>8 (o según complejidad)</t>
  </si>
  <si>
    <t>Anestesia para procedimientos diagnósticos y terapéuticos menores.</t>
  </si>
  <si>
    <t>Anestesia fuera de quirófano (ej. RMN, TC, Endoscopia con sedación profunda).</t>
  </si>
  <si>
    <t>6-10 (según tiempo/complejidad)</t>
  </si>
  <si>
    <t>Anestesia para procedimientos de urgencia o con riesgo aumentado.</t>
  </si>
  <si>
    <t>+ 2 U.A. adicionales (suplemento)</t>
  </si>
  <si>
    <t>Unidades de Anestesia (U.A.): El Manual SOAT asigna un número de "Unidades de Anestesia" a cada Grupo Quirúrgico principal. Por ejemplo, si una cirugía es de Grupo Quirúrgico 12, se le asignan 12 Unidades de Anestesia.</t>
  </si>
  <si>
    <t>Valor de la Unidad de Anestesia: El valor en pesos de cada Unidad de Anestesia es el que se actualiza anualmente por decretos. Antes se usaban SMLDV, ahora se hace la conversión a UVT y se establecen topes máximos.</t>
  </si>
  <si>
    <r>
      <t>Complejidad y Suplementos:</t>
    </r>
    <r>
      <rPr>
        <sz val="10"/>
        <color rgb="FF000000"/>
        <rFont val="Times New Roman"/>
        <family val="1"/>
      </rPr>
      <t xml:space="preserve"> Algunos procedimientos anestésicos complejos o de larga duración, o aquellos con riesgo adicional, pueden tener unidades adicionales o suplementos (como el 15114).</t>
    </r>
  </si>
  <si>
    <r>
      <t>No son procedimientos "per se":</t>
    </r>
    <r>
      <rPr>
        <sz val="10"/>
        <color rgb="FF000000"/>
        <rFont val="Times New Roman"/>
        <family val="1"/>
      </rPr>
      <t xml:space="preserve"> Los códigos de la Especialidad 15 no se facturan como procedimientos quirúrgicos independientes al paciente, sino como un componente del costo total de la atención del evento quirúrgico principal.</t>
    </r>
  </si>
  <si>
    <t>Especialidad 16 - PATOLOGÍA</t>
  </si>
  <si>
    <t>PROCEDIMIENTOS DE ANATOMÍA PATOLÓGICA</t>
  </si>
  <si>
    <t>Biopsia de un órgano o tejido (examen histopatológico de tejido simple).</t>
  </si>
  <si>
    <t>Biopsia de órgano o tejido (examen histopatológico de tejido complejo, ej. resección de tumor).</t>
  </si>
  <si>
    <t>Biopsia por congelación (intraoperatoria).</t>
  </si>
  <si>
    <t>Citología exfoliativa (ej. Papanicolaou).</t>
  </si>
  <si>
    <t>Citología de líquidos corporales (ej. orina, LCR, líquido pleural, ascítico).</t>
  </si>
  <si>
    <t>Citología por punción con aguja fina (BACAF/PAAF).</t>
  </si>
  <si>
    <t>Estudio histopatológico de pieza quirúrgica simple (ej. apéndice, vesícula).</t>
  </si>
  <si>
    <t>Estudio histopatológico de pieza quirúrgica compleja (ej. colectomía, gastrectomía, tiroidectomía).</t>
  </si>
  <si>
    <t>Estudio histopatológico de pieza quirúrgica radical (ej. mastectomía radical, laringectomía).</t>
  </si>
  <si>
    <t>Estudio histopatológico de médula ósea.</t>
  </si>
  <si>
    <t>Necropsia o autopsia médico-legal.</t>
  </si>
  <si>
    <t>Necropsia o autopsia clínica.</t>
  </si>
  <si>
    <t>Estudio inmunohistoquímica (por anticuerpo).</t>
  </si>
  <si>
    <t>Estudios especiales de histoquímica.</t>
  </si>
  <si>
    <t>Microscopía electrónica (para diagnóstico).</t>
  </si>
  <si>
    <t>Examen de estudio de semen (espermatograma).</t>
  </si>
  <si>
    <t>Estudio de líquido sinovial.</t>
  </si>
  <si>
    <t>Estudio de líquido cefalorraquídeo.</t>
  </si>
  <si>
    <t>Citometría de flujo (para diagnóstico de neoplasias hematolinfoide).</t>
  </si>
  <si>
    <t>Hibridación in situ (FISH).</t>
  </si>
  <si>
    <t>Estudio citogenético (cariotipo).</t>
  </si>
  <si>
    <t>Biopsia de músculo (para estudio histoquímico o enzimático).</t>
  </si>
  <si>
    <t>Biopsia de nervio (para estudio histoquímico o enzimático).</t>
  </si>
  <si>
    <t>Revisión de placas o bloques de patología de otra institución.</t>
  </si>
  <si>
    <t>4-6 (según complejidad)</t>
  </si>
  <si>
    <t>Especialidad 17 - RADIOLOGÍA E IMÁGENES DIAGNÓSTICAS</t>
  </si>
  <si>
    <t>Es fundamental reiterar que estos códigos, descripciones y "Grupos Quirúrgicos" (que en esta especialidad se refieren a las unidades de valoración de los estudios de imágenes) conforman la nomenclatura oficial del manual y se mantienen vigentes. Los valores monetarios asociados a cada grupo se ajustan periódicamente mediante decretos gubernamentales (el más reciente significativo que hemos mencionado es el 2644 de 2022 que ajustó a UVT, pero anualmente se revisan los valores de UVT y se establecen límites).</t>
  </si>
  <si>
    <t>Nota Importante: En la sección de Patología del Manual Tarifario SOAT, los "Grupos Quirúrgicos" en realidad representan una escala de complejidad o "Unidades de Valoración" para los estudios anatomopatológicos, no se refieren a intervenciones quirúrgicas directas sobre el paciente. El "grupo" aquí indica el valor del honorario profesional y otros derechos asociados al análisis patológico</t>
  </si>
  <si>
    <r>
      <t>Nota Importante:</t>
    </r>
    <r>
      <rPr>
        <sz val="10"/>
        <color rgb="FF000000"/>
        <rFont val="Times New Roman"/>
        <family val="1"/>
      </rPr>
      <t xml:space="preserve"> Similar a Patología y Anestesia, los "Grupos Quirúrgicos" en Radiología no implican un acto quirúrgico del radiólogo, sino que son la base para el cálculo de los honorarios profesionales y derechos de sala (cuando aplican) por la realización e interpretación del estudio de imagen.</t>
    </r>
  </si>
  <si>
    <t>RADIOGRAFÍA CONVENCIONAL</t>
  </si>
  <si>
    <t>Radiografía de cráneo (AP y lateral).</t>
  </si>
  <si>
    <t>Radiografía de senos paranasales.</t>
  </si>
  <si>
    <t>Radiografía de silla turca.</t>
  </si>
  <si>
    <t>Radiografía de órbitas.</t>
  </si>
  <si>
    <t>Radiografía de huesos nasales.</t>
  </si>
  <si>
    <t>Radiografía de mandíbula (AP y lateral).</t>
  </si>
  <si>
    <t>Radiografía de articulación temporomandibular (ATM).</t>
  </si>
  <si>
    <t>Radiografía de columna cervical (AP, lateral, oblicuas).</t>
  </si>
  <si>
    <t>Radiografía de columna torácica (AP y lateral).</t>
  </si>
  <si>
    <t>Radiografía de columna lumbosacra (AP y lateral).</t>
  </si>
  <si>
    <t>Radiografía de sacro-cóccix.</t>
  </si>
  <si>
    <t>Radiografía de tórax (PA y lateral).</t>
  </si>
  <si>
    <t>Radiografía de costillas.</t>
  </si>
  <si>
    <t>Radiografía de esternón.</t>
  </si>
  <si>
    <t>Radiografía de clavícula.</t>
  </si>
  <si>
    <t>Radiografía de escápula.</t>
  </si>
  <si>
    <t>Radiografía de hombro (AP y lateral).</t>
  </si>
  <si>
    <t>Radiografía de brazo (húmero).</t>
  </si>
  <si>
    <t>Radiografía de codo.</t>
  </si>
  <si>
    <t>Radiografía de antebrazo (radio y cúbito).</t>
  </si>
  <si>
    <t>Radiografía de muñeca.</t>
  </si>
  <si>
    <t>Radiografía de mano (incluye dedos).</t>
  </si>
  <si>
    <t>Radiografía de pelvis.</t>
  </si>
  <si>
    <t>Radiografía de cadera (unilateral).</t>
  </si>
  <si>
    <t>Radiografía de fémur.</t>
  </si>
  <si>
    <t>Radiografía de rodilla (AP y lateral).</t>
  </si>
  <si>
    <t>Radiografía de pierna (tibia y peroné).</t>
  </si>
  <si>
    <t>Radiografía de tobillo.</t>
  </si>
  <si>
    <t>Radiografía de pie (incluye dedos).</t>
  </si>
  <si>
    <t>Serie ósea metabólica.</t>
  </si>
  <si>
    <t>Ortopantomografía (radiografía panorámica dental).</t>
  </si>
  <si>
    <t>Telerradiografía de cráneo.</t>
  </si>
  <si>
    <t>Radiografía de abdomen simple (AP).</t>
  </si>
  <si>
    <t>Serie esofagogastroduodenal (con medio de contraste).</t>
  </si>
  <si>
    <t>Tránsito intestinal (con medio de contraste).</t>
  </si>
  <si>
    <t>Colon por enema (con medio de contraste).</t>
  </si>
  <si>
    <t>Urografía excretora (pielografía intravenosa).</t>
  </si>
  <si>
    <t>Cistografía.</t>
  </si>
  <si>
    <t>Uretrocistografía miccional.</t>
  </si>
  <si>
    <t>Fistulografía.</t>
  </si>
  <si>
    <t>Colangiografía percutánea o intraoperatoria.</t>
  </si>
  <si>
    <t>Histerosalpingografía.</t>
  </si>
  <si>
    <t>Dacriocistografía.</t>
  </si>
  <si>
    <t>Sialografía.</t>
  </si>
  <si>
    <t>Mielografía.</t>
  </si>
  <si>
    <t>Artrografía.</t>
  </si>
  <si>
    <t>Flebografía.</t>
  </si>
  <si>
    <t>Angiografía periférica.</t>
  </si>
  <si>
    <t>Angiografía cerebral.</t>
  </si>
  <si>
    <t>Angiografía abdominal (aorta y ramas).</t>
  </si>
  <si>
    <t>Angiografía pulmonar.</t>
  </si>
  <si>
    <t>Arteriografía coronaria (angiografía coronaria).</t>
  </si>
  <si>
    <t>ECOGRAFÍA (ULTRASONIDO)</t>
  </si>
  <si>
    <t>Ecografía abdominal total.</t>
  </si>
  <si>
    <t>Ecografía de hígado y vías biliares.</t>
  </si>
  <si>
    <t>Ecografía de páncreas.</t>
  </si>
  <si>
    <t>Ecografía de bazo.</t>
  </si>
  <si>
    <t>Ecografía de riñones y vejiga.</t>
  </si>
  <si>
    <t>Ecografía pélvica (ginecológica o masculina).</t>
  </si>
  <si>
    <t>Ecografía transvaginal.</t>
  </si>
  <si>
    <t>Ecografía transrectal (próstata).</t>
  </si>
  <si>
    <t>Ecografía de tiroides.</t>
  </si>
  <si>
    <t>Ecografía de mama (unilateral).</t>
  </si>
  <si>
    <t>Ecografía de testículo (escrotal).</t>
  </si>
  <si>
    <t>Ecografía de partes blandas (cuello, pared abdominal, extremidades).</t>
  </si>
  <si>
    <t>Ecografía Doppler (arterial o venoso de extremidades).</t>
  </si>
  <si>
    <t>Ecografía Doppler carotídeo.</t>
  </si>
  <si>
    <t>Ecografía obstétrica (primer trimestre).</t>
  </si>
  <si>
    <t>Ecografía obstétrica (segundo/tercer trimestre).</t>
  </si>
  <si>
    <t>Ecografía transfontanelar.</t>
  </si>
  <si>
    <t>Ecocardiograma transtorácico.</t>
  </si>
  <si>
    <t>Ecocardiograma transesofágico.</t>
  </si>
  <si>
    <t>Ecografía intraoperatoria.</t>
  </si>
  <si>
    <t>TOMOGRAFÍA AXIAL COMPUTARIZADA (TAC / TC)</t>
  </si>
  <si>
    <t>TAC de cráneo simple.</t>
  </si>
  <si>
    <t>TAC de cráneo contrastado.</t>
  </si>
  <si>
    <t>TAC de senos paranasales.</t>
  </si>
  <si>
    <t>TAC de órbita.</t>
  </si>
  <si>
    <t>TAC de silla turca.</t>
  </si>
  <si>
    <t>TAC de cuello simple.</t>
  </si>
  <si>
    <t>TAC de cuello contrastado.</t>
  </si>
  <si>
    <t>TAC de tórax simple.</t>
  </si>
  <si>
    <t>TAC de tórax contrastado.</t>
  </si>
  <si>
    <t>TAC de abdomen simple.</t>
  </si>
  <si>
    <t>TAC de abdomen contrastado.</t>
  </si>
  <si>
    <t>TAC de pelvis simple.</t>
  </si>
  <si>
    <t>TAC de pelvis contrastado.</t>
  </si>
  <si>
    <t>TAC de columna cervical.</t>
  </si>
  <si>
    <t>TAC de columna torácica.</t>
  </si>
  <si>
    <t>TAC de columna lumbosacra.</t>
  </si>
  <si>
    <t>TAC de articulación (hombro, codo, muñeca, cadera, rodilla, tobillo, etc.).</t>
  </si>
  <si>
    <t>Angio-TAC (ej. angio-TAC cerebral, tórax, abdomen).</t>
  </si>
  <si>
    <t>Reconstrucción 3D o multireconstrucción de TAC.</t>
  </si>
  <si>
    <t>6 (adicional)</t>
  </si>
  <si>
    <t>Biopsia o drenaje guiado por TAC.</t>
  </si>
  <si>
    <t>RESONANCIA MAGNÉTICA (RM)</t>
  </si>
  <si>
    <t>RM de cerebro simple.</t>
  </si>
  <si>
    <t>RM de cerebro contrastado.</t>
  </si>
  <si>
    <t>RM de columna cervical.</t>
  </si>
  <si>
    <t>RM de columna torácica.</t>
  </si>
  <si>
    <t>RM de columna lumbosacra.</t>
  </si>
  <si>
    <t>RM de abdomen.</t>
  </si>
  <si>
    <t>RM de pelvis.</t>
  </si>
  <si>
    <t>Angio-RM (cerebral, cuello, aorta, etc.).</t>
  </si>
  <si>
    <t>RM de mama.</t>
  </si>
  <si>
    <t>RM de plexo (braquial, lumbosacro).</t>
  </si>
  <si>
    <t>Biopsia o drenaje guiado por RM.</t>
  </si>
  <si>
    <t>MAMOGRAFÍA Y DENSITOMETRÍA ÓSEA</t>
  </si>
  <si>
    <t>Mamografía unilateral.</t>
  </si>
  <si>
    <t>Mamografía bilateral.</t>
  </si>
  <si>
    <t>Mamografía con proyecciones adicionales o magnificación.</t>
  </si>
  <si>
    <t>Densitometría ósea (columna y fémur).</t>
  </si>
  <si>
    <t>Densitometría ósea (cuerpo total).</t>
  </si>
  <si>
    <t>Biopsia de mama guiada por estereotaxia o mamografía.</t>
  </si>
  <si>
    <t>INTERVENCIONISMO GUIADO POR IMÁGENES (RADIOLOGÍA INTERVENCIONISTA)</t>
  </si>
  <si>
    <t>Angioplastia y/o stent (no coronaria).</t>
  </si>
  <si>
    <t>Embolización arterial (ej. tumores, malformaciones, sangrado).</t>
  </si>
  <si>
    <t>Embolización venosa.</t>
  </si>
  <si>
    <t>Drenaje biliar percutáneo.</t>
  </si>
  <si>
    <t>Nefrostomía percutánea (guiada por imagen).</t>
  </si>
  <si>
    <t>Gastrostomía percutánea (radiológica).</t>
  </si>
  <si>
    <t>Vertebroplastia/Cifoplastia (radiológica).</t>
  </si>
  <si>
    <t>Ablación por radiofrecuencia de tumores (hígado, riñón, pulmón).</t>
  </si>
  <si>
    <t>Quimioembolización hepática.</t>
  </si>
  <si>
    <t>Drenaje de abscesos o colecciones (cualquier sitio, guiado por imagen).</t>
  </si>
  <si>
    <t>Biopsia de órgano o masa (guiada por imagen - TC, Eco, Fluoro).</t>
  </si>
  <si>
    <t>RM de articulación (hombro, rodilla, cadera,etc.).</t>
  </si>
  <si>
    <t>Especialidad 18 - MEDICINA NUCLEAR</t>
  </si>
  <si>
    <r>
      <t>Nota Importante:</t>
    </r>
    <r>
      <rPr>
        <sz val="10"/>
        <color rgb="FF000000"/>
        <rFont val="Times New Roman"/>
        <family val="1"/>
      </rPr>
      <t xml:space="preserve"> En Medicina Nuclear, los "Grupos Quirúrgicos" son las unidades de valoración para el pago de los honorarios profesionales y los derechos por la realización de los estudios diagnósticos o la administración de terapias con radiofármacos.</t>
    </r>
  </si>
  <si>
    <t>ESTUDIOS DIAGNÓSTICOS CON RADIOISÓTOPOS (GAMMAGRAFÍAS)</t>
  </si>
  <si>
    <t>Gammagrafía ósea (cuerpo total).</t>
  </si>
  <si>
    <t>Gammagrafía ósea (trifásica).</t>
  </si>
  <si>
    <t>Gammagrafía tiroidea.</t>
  </si>
  <si>
    <t>Gammagrafía de paratiroides.</t>
  </si>
  <si>
    <t>Gammagrafía renal (con o sin renograma, con o sin diurético).</t>
  </si>
  <si>
    <t>Gammagrafía hepática y esplénica.</t>
  </si>
  <si>
    <t>Gammagrafía de vías biliares (HIDA/DISIDA).</t>
  </si>
  <si>
    <t>Gammagrafía pulmonar de perfusión.</t>
  </si>
  <si>
    <t>Gammagrafía pulmonar de ventilación/perfusión (V/Q).</t>
  </si>
  <si>
    <t>Gammagrafía cardíaca de perfusión (SPECT).</t>
  </si>
  <si>
    <t>Gammagrafía cardíaca con talio (SPECT).</t>
  </si>
  <si>
    <t>Gammagrafía cerebral (SPECT).</t>
  </si>
  <si>
    <t>Gammagrafía para detección de sangrado gastrointestinal.</t>
  </si>
  <si>
    <t>Gammagrafía de Meckel (para divertículo).</t>
  </si>
  <si>
    <t>Gammagrafía de detección de ganglio centinela (mamario, melanoma).</t>
  </si>
  <si>
    <t>Gammagrafía con Galio-67 (para infección o tumor).</t>
  </si>
  <si>
    <t>Gammagrafía con Indio-111 (para infección o tumor).</t>
  </si>
  <si>
    <t>Gammagrafía de glándulas salivales.</t>
  </si>
  <si>
    <t>Gammagrafía de vaciamiento gástrico.</t>
  </si>
  <si>
    <t>Gammagrafía de reflujo gastroesofágico.</t>
  </si>
  <si>
    <t>Gammagrafía de médula ósea.</t>
  </si>
  <si>
    <t>Gammagrafía de cuerpo total con Iodo-131 (para tiroides).</t>
  </si>
  <si>
    <t>Gammagrafía de receptores de somatostatina (Octreoscan).</t>
  </si>
  <si>
    <t>Gammagrafía de suprarrenales (MIBG).</t>
  </si>
  <si>
    <t>Gammagrafía cerebral con DATScan (para Parkinson).</t>
  </si>
  <si>
    <t>Gammagrafía de cisternas (para fístula LCR).</t>
  </si>
  <si>
    <t>Gammagrafía de captación de Iodo-131 (tiroidea).</t>
  </si>
  <si>
    <t>TOMOGRAFÍA POR EMISIÓN DE POSITRONES (PET/CT)</t>
  </si>
  <si>
    <t>PET/CT de cuerpo total (para oncología, con FDG).</t>
  </si>
  <si>
    <t>PET/CT cerebral (para neurología, con FDG u otros trazadores).</t>
  </si>
  <si>
    <t>PET/CT cardíaca de perfusión o viabilidad.</t>
  </si>
  <si>
    <t>PET/CT con otros trazadores (ej. para próstata - Ga-68 PSMA).</t>
  </si>
  <si>
    <t>TERAPIAS CON RADIOISÓTOPOS</t>
  </si>
  <si>
    <t>Terapia con Iodo-131 (para hipertiroidismo).</t>
  </si>
  <si>
    <t>Terapia con Iodo-131 (para cáncer de tiroides).</t>
  </si>
  <si>
    <t>Terapia con radiofármacos para metástasis óseas (ej. Samario-153, Estroncio-89).</t>
  </si>
  <si>
    <t>Terapia con radiofármacos para tumores neuroendocrinos (ej. Lu-177 DOTATATE).</t>
  </si>
  <si>
    <t>Terapia intraarticular con radioisótopos (sinovectomía radioactiva).</t>
  </si>
  <si>
    <t>Terapia con radiofármacos para linfomas (Zevalin).</t>
  </si>
  <si>
    <t>19 - TERAPIA FÍSICA Y REHABILITACIÓN</t>
  </si>
  <si>
    <r>
      <rPr>
        <b/>
        <sz val="10"/>
        <color rgb="FF000000"/>
        <rFont val="Calibri"/>
        <family val="2"/>
        <scheme val="minor"/>
      </rPr>
      <t>Nota Importante:</t>
    </r>
    <r>
      <rPr>
        <sz val="10"/>
        <color rgb="FF000000"/>
        <rFont val="Times New Roman"/>
        <family val="1"/>
      </rPr>
      <t xml:space="preserve"> En Terapia Física y Rehabilitación, los "Grupos Quirúrgicos" son las unidades de valoración para el pago de los honorarios profesionales y los derechos por la realización de las sesiones o procedimientos terapéuticos.</t>
    </r>
  </si>
  <si>
    <t>SESIONES DE TERAPIA FÍSICA</t>
  </si>
  <si>
    <t>Sesión de fisioterapia (ejercicio terapéutico, estiramientos, fortalecimiento).</t>
  </si>
  <si>
    <t>Sesión de termoterapia (aplicación de calor superficial o profundo).</t>
  </si>
  <si>
    <t>Sesión de crioterapia (aplicación de frío).</t>
  </si>
  <si>
    <t>Sesión de electroterapia (TENS, EMS, corrientes interferenciales).</t>
  </si>
  <si>
    <t>Sesión de ultrasonido terapéutico.</t>
  </si>
  <si>
    <t>Sesión de láserterapia de baja potencia.</t>
  </si>
  <si>
    <t>Sesión de magnetoterapia.</t>
  </si>
  <si>
    <t>Sesión de hidroterapia (ejercicio en piscina terapéutica).</t>
  </si>
  <si>
    <t>Sesión de terapia manual (movilizaciones articulares, masoterapia).</t>
  </si>
  <si>
    <t>Sesión de reeducación postural.</t>
  </si>
  <si>
    <t>Sesión de tracción cervical o lumbar.</t>
  </si>
  <si>
    <t>Sesión de onda de choque extracorpórea.</t>
  </si>
  <si>
    <t>SESIONES DE TERAPIA OCUPACIONAL</t>
  </si>
  <si>
    <t>Sesión de terapia ocupacional (entrenamiento en actividades de la vida diaria).</t>
  </si>
  <si>
    <t>Sesión de terapia ocupacional para reeducación de la mano.</t>
  </si>
  <si>
    <t>Sesión de confección y/o adaptación de órtesis o férulas.</t>
  </si>
  <si>
    <t>Sesión de rehabilitación de quemados (terapia ocupacional).</t>
  </si>
  <si>
    <t>Sesión de manejo de cicatrices.</t>
  </si>
  <si>
    <t>Sesión de rehabilitación cognitiva (terapia ocupacional).</t>
  </si>
  <si>
    <t>SESIONES DE FONOAUDIOLOGÍA (TERAPIA DEL LENGUAJE Y HABLA)</t>
  </si>
  <si>
    <t>Sesión de terapia del lenguaje (afasia, disartria, dislalia).</t>
  </si>
  <si>
    <t>Sesión de terapia de deglución (disfagia).</t>
  </si>
  <si>
    <t>Sesión de terapia vocal (disfonía).</t>
  </si>
  <si>
    <t>Sesión de audiometría tonal o verbal (diagnóstica).</t>
  </si>
  <si>
    <t>Sesión de impedanciometría.</t>
  </si>
  <si>
    <t>Sesión de logopedia.</t>
  </si>
  <si>
    <t>Adaptación de audífonos.</t>
  </si>
  <si>
    <t>OTRAS TERAPIAS Y REHABILITACIÓN</t>
  </si>
  <si>
    <t>Sesión de terapia respiratoria (fisioterapia respiratoria).</t>
  </si>
  <si>
    <t>Sesión de rehabilitación cardíaca.</t>
  </si>
  <si>
    <t>Sesión de rehabilitación pulmonar.</t>
  </si>
  <si>
    <t>Sesión de rehabilitación vestibular.</t>
  </si>
  <si>
    <t>Sesión de rehabilitación de piso pélvico.</t>
  </si>
  <si>
    <t>Valoración por fisiatría (medicina física y rehabilitación).</t>
  </si>
  <si>
    <t>Infiltración de puntos gatillo por fisiatra.</t>
  </si>
  <si>
    <t>Bloqueos diagnósticos/terapéuticos por fisiatra (ej. nervios periféricos).</t>
  </si>
  <si>
    <t>Electromiografía y neuroconducción (realizada por fisiatra).</t>
  </si>
  <si>
    <t>Aplicación de toxina botulínica para espasticidad (por fisiatra, incluye guía).</t>
  </si>
  <si>
    <t>Especialidad 20 - CONSULTA Y VISITA MÉDICA HOSPITALARIA</t>
  </si>
  <si>
    <r>
      <rPr>
        <b/>
        <sz val="10"/>
        <color rgb="FF000000"/>
        <rFont val="Calibri"/>
        <family val="2"/>
        <scheme val="minor"/>
      </rPr>
      <t>Importante:</t>
    </r>
    <r>
      <rPr>
        <b/>
        <sz val="10"/>
        <color rgb="FF000000"/>
        <rFont val="Times New Roman"/>
        <family val="1"/>
      </rPr>
      <t xml:space="preserve"> </t>
    </r>
    <r>
      <rPr>
        <sz val="10"/>
        <color rgb="FF000000"/>
        <rFont val="Times New Roman"/>
        <family val="1"/>
      </rPr>
      <t>En estas especialidades (especialmente de la 20 en adelante), los "Grupos Quirúrgicos" o "Unidades de Valoración" representan el valor de los servicios, no una complejidad quirúrgica directa. Los valores monetarios se ajustan periódicamente por decretos gubernamentales.</t>
    </r>
  </si>
  <si>
    <t>Primera consulta por especialista (consulta externa o urgencias).</t>
  </si>
  <si>
    <t>Consulta de control por especialista.</t>
  </si>
  <si>
    <t>Visita médica intrahospitalaria por especialista (por día).</t>
  </si>
  <si>
    <t>Interconsulta intrahospitalaria por especialista.</t>
  </si>
  <si>
    <t>Consulta preanestésica.</t>
  </si>
  <si>
    <t>Consulta de revisión de paciente por médico general.</t>
  </si>
  <si>
    <t>Consulta de urgencias por médico general.</t>
  </si>
  <si>
    <t>Control hospitalario por médico general (por día).</t>
  </si>
  <si>
    <t>ESPECIALIDAD: 21 - INTERCONSULTA</t>
  </si>
  <si>
    <t>Interconsulta solicitada a especialista (en internación).</t>
  </si>
  <si>
    <t>Interconsulta en Unidad de Cuidados Intensivos (UCI) o Cuidados Especiales.</t>
  </si>
  <si>
    <t>ESPECIALIDAD: 22 - GASTOS DE ESTANCIA Y DERECHOS DE SALA</t>
  </si>
  <si>
    <t>GASTOS DE ESTANCIA (POR DÍA)</t>
  </si>
  <si>
    <t>Estancia en sala general.</t>
  </si>
  <si>
    <t>Estancia en habitación unipersonal.</t>
  </si>
  <si>
    <t>Estancia en Unidad de Cuidados Intermedios (UCIM).</t>
  </si>
  <si>
    <t>Estancia en Unidad de Cuidados Intensivos (UCI).</t>
  </si>
  <si>
    <t>Estancia en sala de recuperación (post-quirúrgica, por hora o fracción).</t>
  </si>
  <si>
    <t>Estancia en sala de observación de urgencias (por hora o fracción).</t>
  </si>
  <si>
    <t>DERECHOS DE SALA (POR USO DE QUIRÓFANO/PROCEDIMIENTO)</t>
  </si>
  <si>
    <t>Derechos de sala de cirugía (Grupo Quirúrgico 0 a 6).</t>
  </si>
  <si>
    <t>Derechos de sala de cirugía (Grupo Quirúrgico 7 a 9).</t>
  </si>
  <si>
    <t>Derechos de sala de cirugía (Grupo Quirúrgico 10 a 11).</t>
  </si>
  <si>
    <t>Derechos de sala de cirugía (Grupo Quirúrgico 12 a 13).</t>
  </si>
  <si>
    <t>Derechos de sala de cirugía (Grupo Quirúrgico 14 a 15).</t>
  </si>
  <si>
    <t>Derechos de sala de cirugía (Grupo Quirúrgico 16 a 18).</t>
  </si>
  <si>
    <t>Derechos de sala de cirugía (Grupo Quirúrgico 19 a 20).</t>
  </si>
  <si>
    <t>Derechos de sala de cirugía (Grupo Quirúrgico 21 a 22).</t>
  </si>
  <si>
    <t>Derechos de sala de cirugía (Grupo Quirúrgico 23).</t>
  </si>
  <si>
    <t>Derechos de sala de procedimientos (menores, ej. endoscopias, suturas).</t>
  </si>
  <si>
    <t>Derechos de sala de parto (normal o instrumentado).</t>
  </si>
  <si>
    <t>ESPECIALIDAD: 23 - MATERIALES, INSUMOS Y MEDICAMENTOS</t>
  </si>
  <si>
    <t>Materiales de sutura y curación.</t>
  </si>
  <si>
    <t>No Aplica (facturación por listado)</t>
  </si>
  <si>
    <t>Gases medicinales.</t>
  </si>
  <si>
    <t>No Aplica</t>
  </si>
  <si>
    <t>Medicamentos (según listado o valor límite).</t>
  </si>
  <si>
    <t>Soluciones parenterales.</t>
  </si>
  <si>
    <t>Prótesis y ortesis (según listado específico).</t>
  </si>
  <si>
    <t>Elementos de órtesis (Férulas, yesos, etc.).</t>
  </si>
  <si>
    <t>Material de osteosíntesis.</t>
  </si>
  <si>
    <t>Otros insumos médicos.</t>
  </si>
  <si>
    <t>GASTOS DE INTERNACIÓN Y DERECHOS DE SALA</t>
  </si>
  <si>
    <r>
      <rPr>
        <b/>
        <sz val="10"/>
        <color rgb="FF000000"/>
        <rFont val="Calibri"/>
        <family val="2"/>
        <scheme val="minor"/>
      </rPr>
      <t xml:space="preserve">Nota: </t>
    </r>
    <r>
      <rPr>
        <sz val="10"/>
        <color rgb="FF000000"/>
        <rFont val="Calibri"/>
        <family val="2"/>
        <scheme val="minor"/>
      </rPr>
      <t>Aunque el código 20104 ya menciona "Interconsulta intrahospitalaria por especialista", el manual a veces dedica una sección o especialidad para clarificar estos servicios. Es posible que los códigos aquí simplemente reafirmen o den un valor base.</t>
    </r>
  </si>
  <si>
    <r>
      <rPr>
        <b/>
        <sz val="10"/>
        <color rgb="FF000000"/>
        <rFont val="Calibri"/>
        <family val="2"/>
        <scheme val="minor"/>
      </rPr>
      <t xml:space="preserve">Nota: </t>
    </r>
    <r>
      <rPr>
        <sz val="10"/>
        <color rgb="FF000000"/>
        <rFont val="Calibri"/>
        <family val="2"/>
        <scheme val="minor"/>
      </rPr>
      <t>Estos no son "códigos de procedimiento" como tal, sino códigos para facturar los servicios de hospitalización y uso de quirófano/sala. El "Grupo Quirúrgico" aquí representa la complejidad de la estancia/sala y determina su valor.</t>
    </r>
  </si>
  <si>
    <t xml:space="preserve">Capítulo IV: </t>
  </si>
  <si>
    <t xml:space="preserve"> MATERIALES, INSUMOS Y MEDICAMENTOS (Facturación)</t>
  </si>
  <si>
    <t>Capítulo V:</t>
  </si>
  <si>
    <r>
      <rPr>
        <b/>
        <sz val="10"/>
        <color rgb="FF000000"/>
        <rFont val="Calibri"/>
        <family val="2"/>
        <scheme val="minor"/>
      </rPr>
      <t xml:space="preserve">Nota: </t>
    </r>
    <r>
      <rPr>
        <sz val="10"/>
        <color rgb="FF000000"/>
        <rFont val="Calibri"/>
        <family val="2"/>
        <scheme val="minor"/>
      </rPr>
      <t>Esta sección no contiene "códigos de procedimientos" numerados como tal, sino las reglas para la facturación de estos elementos. En la práctica, se facturan por consumo real, pero el manual SOAT establece límites y metodologías de cobro.</t>
    </r>
  </si>
  <si>
    <r>
      <t>Explicación:</t>
    </r>
    <r>
      <rPr>
        <sz val="10"/>
        <color rgb="FF000000"/>
        <rFont val="Times New Roman"/>
        <family val="1"/>
      </rPr>
      <t xml:space="preserve"> Para materiales, insumos y medicamentos, el Manual SOAT indica que se facturarán por el costo de adquisición más un porcentaje de administración, o mediante listados de precios máximos (como el MIPRES o precios de referencia), y establece topes globales para ciertos eventos. No hay un "código de procedimiento" específico para cada material, sino categorías de cobro.</t>
    </r>
  </si>
  <si>
    <t>ESPECIALIDAD: 24 - SUMINISTRO DE SANGRE Y COMPONENTES SANGUÍNEOS</t>
  </si>
  <si>
    <t>Capítulo VI:</t>
  </si>
  <si>
    <t>SUMINISTRO DE SANGRE Y COMPONENTES SANGUÍNEOS</t>
  </si>
  <si>
    <t>Unidad de sangre total.</t>
  </si>
  <si>
    <t>Unidad de glóbulos rojos.</t>
  </si>
  <si>
    <t>Unidad de plasma fresco congelado.</t>
  </si>
  <si>
    <t>Unidad de plaquetas.</t>
  </si>
  <si>
    <t>Unidad de crioprecipitados.</t>
  </si>
  <si>
    <t>Prueba cruzada y compatibilidad.</t>
  </si>
  <si>
    <t>Aféresis de plaquetas.</t>
  </si>
  <si>
    <t>Aféresis de glóbulos rojos.</t>
  </si>
  <si>
    <t>Aféresis terapéutica (ej. plasmaféresis).</t>
  </si>
  <si>
    <t>ESPECIALIDAD: 25 - LABORATORIO CLÍNICO</t>
  </si>
  <si>
    <t>Cuadro hemático.</t>
  </si>
  <si>
    <t>Hemoclasificación (grupo sanguíneo y Rh).</t>
  </si>
  <si>
    <t>Glicemia.</t>
  </si>
  <si>
    <t>Creatinina.</t>
  </si>
  <si>
    <t>Nitrógeno ureico (BUN).</t>
  </si>
  <si>
    <t>Parcial de orina.</t>
  </si>
  <si>
    <t>Coprológico.</t>
  </si>
  <si>
    <t>Electrolitos (Sodio, Potasio, Cloro).</t>
  </si>
  <si>
    <t>Gases arteriales.</t>
  </si>
  <si>
    <t>Pruebas de función hepática (transaminasas, bilirrubinas).</t>
  </si>
  <si>
    <t>Pruebas de coagulación (PT, PTT, INR).</t>
  </si>
  <si>
    <t>Proteína C reactiva (PCR).</t>
  </si>
  <si>
    <t>VSG (Velocidad de Sedimentación Globular).</t>
  </si>
  <si>
    <t>Uroanálisis completo.</t>
  </si>
  <si>
    <t>Cultivo de orina con antibiograma.</t>
  </si>
  <si>
    <t>Cultivo de sangre (hemocultivo) con antibiograma.</t>
  </si>
  <si>
    <t>Cultivo de secreción (ej. herida) con antibiograma.</t>
  </si>
  <si>
    <t>VIH (prueba rápida o ELISA).</t>
  </si>
  <si>
    <t>VDRL/RPR.</t>
  </si>
  <si>
    <t>Hormonas tiroideas (TSH, T3, T4).</t>
  </si>
  <si>
    <t>Enzimas cardíacas (troponinas, CK-MB).</t>
  </si>
  <si>
    <t>Amilasa/Lipasa.</t>
  </si>
  <si>
    <t>Glucosa post-carga.</t>
  </si>
  <si>
    <t>Curva de glicemia.</t>
  </si>
  <si>
    <t>Perfil lipídico (Colesterol total, HDL, LDL, Triglicéridos).</t>
  </si>
  <si>
    <t>Prueba de embarazo (cualitativa o cuantitativa).</t>
  </si>
  <si>
    <t>Examen toxicológico (orina).</t>
  </si>
  <si>
    <t>Perfil renal.</t>
  </si>
  <si>
    <t>Perfil hepático.</t>
  </si>
  <si>
    <t>ESPECIALIDAD: 26 - TRASLADOS Y OTROS</t>
  </si>
  <si>
    <t>Transporte en ambulancia básica (por recorrido).</t>
  </si>
  <si>
    <t>Transporte en ambulancia medicalizada (por recorrido).</t>
  </si>
  <si>
    <t>Cuota moderadora.</t>
  </si>
  <si>
    <t>No Aplica (Valor fijo)</t>
  </si>
  <si>
    <t>Valoración inicial para atención de urgencias (No consulta formal).</t>
  </si>
  <si>
    <t>Gastos de sepelio (cuando aplica por cobertura SOAT).</t>
  </si>
  <si>
    <t>Interrupción voluntaria del embarazo (IVE) - Procedimiento ambulatorio.</t>
  </si>
  <si>
    <t>10 (Si es cubierto por SOAT en alguna excepción)</t>
  </si>
  <si>
    <t>Cuidados paliativos (sesión o día).</t>
  </si>
  <si>
    <r>
      <t>Nota:</t>
    </r>
    <r>
      <rPr>
        <sz val="10"/>
        <color rgb="FF000000"/>
        <rFont val="Calibri"/>
        <family val="2"/>
        <scheme val="minor"/>
      </rPr>
      <t xml:space="preserve"> Similar a radiología, los "Grupos Quirúrgicos" en Laboratorio Clínico representan las unidades de valoración para el pago de los honorarios profesionales por la realización de cada examen.</t>
    </r>
  </si>
  <si>
    <t>EXÁMENES DE LABORATORIO CLÍNICO</t>
  </si>
  <si>
    <t xml:space="preserve">Capítulo VII: </t>
  </si>
  <si>
    <t xml:space="preserve"> TRASLADOS Y OTROS</t>
  </si>
  <si>
    <t>Capítulo VIII:</t>
  </si>
  <si>
    <t>.</t>
  </si>
  <si>
    <t>PARÁGRAFO: Los estudios y tratamientos en los que para su realización, se utilice Iodo, Talio, Cobalto y Galio, con excepción de los contenidos bajos los códigos  22101  y  22103,
 el valor de estos radioactivos se reconocerá de acuerdo con su consumo, por el precio comercial de catálogo para venta al público, fijado por la autoridad competente.</t>
  </si>
  <si>
    <t>PARÁGRAFO 1: Los medios de contraste, los catéteres, la guía, la aguja angiográfica y el introductor en los casos que sea necesario, utilizados durante la práctica de los procedimientos, los
electrodos de uso en la realización de la prueba ergométrica y el papel polígrafo en el estudio electrofisiológico, se reconocerán hasta por el precio comercial de catálogo para venta al público fijado por la autoridad competente.</t>
  </si>
  <si>
    <t>PARÁGRAFO 2: Los estudios radiológicos que se requiera se reconocerán de acuerdo con las tarifas establecidas en el Artículo 23 - Capítulo II, adicionalmente se reconocerá el valor de 9.09 Salarios Diarios Mínimos Legales vigentes por estudio sobre los valores determinados en este Artículo, cuando para su realización se realicen registros en película.</t>
  </si>
  <si>
    <t>PARÁGRAFO 1  El valor de la pruebas de laboratorio clínico que de acuerdo con el Decreto  1.571  de  1.993, se practiquen a la unidad de sangre o componentes previa a su transfusión, está incluído en la tarifa de procesamiento; igualmente el correspondiente a la bolsa recolectora.</t>
  </si>
  <si>
    <t>PARÁGRAFO 2 El equipo para administración de sangre o sus derivados, así como los elementos que se requieran en la práctica de la Féresis, se reconocerán hasta por el precio comercial de catálogo para venta al público fijado por la autoridad competente.</t>
  </si>
  <si>
    <t>Las tarifas corresponden a la práctica de los estudios en forma completa, que incluye: cortes axiales, sagitales y coronales en secuencias T1  y T2 . Cuando practicado el examen inicial se requiera de uno adicional con medio de contraste, su tarifa será el equivalente al veinticinco por ciento (25%) del valor inicial.
El medio de contraste que se utilice en la práctica del examen, se reconocerá hasta por el precio comercial de catálogo para venta al público fijado por autoridad competente .
ARTÍCULO 34: Las tarifas establecidas en Salarios Mínimos Legales Diarios Vigentes para los Estudios de Genética, son las siguientes:</t>
  </si>
  <si>
    <t>PARÁGRAFO 1: Las tarifas señaladas para los procedimientos de telecobaltoterapia, radioterapia, curieterapia y terapia con electrones, corresponden al costo total del tratamiento prescrito e incluyen los servicios básicos para su planeación y ejecución, entre ellos la elaboración del plan de tratamiento y el cálculo de dosis. Adicional a los valores para la aplicación de estos procedimientos, se pagarán las consultas de especialistas necesarias para definir el diagnóstico y orientar el tratamiento; así mismo las interconsultas que en concepto del especialista responsable de la atención se requieran en el lapso en que el paciente recibe el tratamiento.</t>
  </si>
  <si>
    <t>PARÁGRAFO 2: El valor de las drogas y medicamentos que se consuman en la práctica de los tratamientos de quimioterapia, se reconocerán hasta por el precio comercial de catálogo para venta al público fijados por la autoridad competente.</t>
  </si>
  <si>
    <t>PARÁGRAFO 3: Cuando el procedimiento se realice con acelerador lineal, se reconocerá un valor adicional del treinta por ciento (30%) sobre la tarifa correspondiente al tipo de tratamiento
ordenado. Así mismo, cuando complementariamente se utilicen equipos de simulación, la tarifa del tipo de tratamiento practicado se incrementará en 8.84 salarios diarios  mínimos legales vigentes.</t>
  </si>
  <si>
    <t>ARTÍCULO 36: Las tarifas establecidas en Salarios Mínimos Legales Diarios Vigentes para los procedimientos de Alergología, son las siguientes:</t>
  </si>
  <si>
    <t>ARTÍCULO 37: Las tarifas establecidas en Salarios Mínimos Legales Diarios Vigentes para los procedimientos de Psiquiatría y Psicología, son las siguientes:</t>
  </si>
  <si>
    <t>ARTÍCULO 38: Las tarifas establecidas en Salarios Mínimos Legales Diarios Vigentes para los procedimientos de Servicios Ambulatorios de Salud Oral, son las siguientes:</t>
  </si>
  <si>
    <t>PARÁGRAFO 1: La mano de obra y los materiales que se utilicen en la elaboración y reparación de prótesis y ortesis, se pagarán a los precios oficiales fijados por los laboratorios dentales para
estas actividades.</t>
  </si>
  <si>
    <t>PARÁGRAFO 2: Los materiales que se utilicen en la práctica de la cirugía periodontal con reposición ósea, se reconocerán hasta por el precio comercial de catálogo para venta al público fijado por la autoridad competente.</t>
  </si>
  <si>
    <t>ARTÍCULO 39: Las tarifas establecidas en Salarios Mínimos Legales Diarios Vigentes para los procedimientos de Diagnóstico y Terapéuticos, son las siguientes:</t>
  </si>
  <si>
    <t>PARÁGRAFO: La tarifa del procedimiento 37508    Colecistectomía Laparoscópica, corresponde a su realización en forma integral e incorpora los siguientes conceptos: servicios profesionales de cirujanos, anestesiólogo y ayudante quirúrgico, incluídos el control pre y los postquirúrgicos intrahospitalarios y ambulatorio; derechos de sala de cirugía con los componentes determinados en el Artículo 52 de este Decreto; material de sutura y curación de cualquier clase; (incluye: trócares; pistola; cánulas de aspiración, irrigación y disección; agujas de verres, ganchos, ligaclips, electrodos); medicamentos y soluciones, que se consuman en el quirófano, sala de recuperación y en el servicio de hospitalización; oxígeno, agentes y gases anestésicos; permanencia del paciente en la sala de recuperación y en el servicio de hospitalización; estudio anatomopatológico de la pieza quirúrgica.</t>
  </si>
  <si>
    <t>ARTÍCULO 40: La estancia en todos los casos comprende los siguientes servicios básicos:</t>
  </si>
  <si>
    <t>PARÁGRAFO 1: Se entiende como dotación básica de elementos de enfermería, aquella utilizada por este personal, durante la realización de actividades relacionadas con control de signos vitales, valoración de talla y peso, administración de medicamentos por vía tópica y oral, así como los elementos de protección personal necesarios para el manejo de pacientes aislados o de cuidado especial.</t>
  </si>
  <si>
    <t>PARÁGRAFO 2: Por material de curación se entiende todos los suministros que se utilizan en el lavado, desinfección y protección de lesiones de piel, cualquiera que sea el tipo de elementos empleados.</t>
  </si>
  <si>
    <t>PARÁGRAFO 3: Adicional a la tarifa de la estancia, durante los días que al paciente se le realicen curaciones, como parte del tratamiento de su complicación, por concepto de materiales se reconocerá diariamente la suma de :</t>
  </si>
  <si>
    <t>ARTÍCULO 41: La estancia en Instituciones hospitalarias para cuidado del paciente crónico somático, comprende además de los servicios básicos, la atención de médicos generales y de especialistas correspondientes a la misma especialidad a la que pertenece la afección crónica que padece el paciente, de acuerdo a lo establecido en el Código 38325 de este Manual.</t>
  </si>
  <si>
    <t>ARTÍCULO 42: La estancia en la Unidad de Trasplante, comprende además de los servicios básicos, la utilización de equipos de monitoría, ventilación, desfibrilación y adicionales requeridos, de acuerdo a lo establecido en el Código 38435 de este Manual.</t>
  </si>
  <si>
    <t>ARTÍCULO 43: La estancia en la Unidad de Cuidado Intensivo, comprende además de los servicios básicos, la atención médica de especialista en cuidado intensivo, de personal paramédico, la utilización de los equipos de: Monitoría cardioscópica y de presión, ventilación mecánica, de presión y volúmen, desfibrilación, cardioversión, y la práctica de los electrocardiogramas, electroencefalogramas y gasimetrías que se requieran, de acuerdo a lo establecido en el Código 38525 de este Manual.</t>
  </si>
  <si>
    <t>PARÁGRAFO: Los servicios profesionales de los especialistas, diferentes a los comprendidos en la estancia y que deban intervenir en la atención del paciente de Cuidado Intensivo, se reconocerá según la tarifa de interconsulta establecida en el Artículo 49 de este Decreto.</t>
  </si>
  <si>
    <t>ARTÍCULO 44: La estancia en la Unidad de Cuidado Intermedio, comprende los mismos servicios esblecidos para la Unidad de Cuidado Intensivo, con excepción de la asistencia ventilatoria, de acuerdo a lo establecido en el Código 38825 de este Manual..</t>
  </si>
  <si>
    <t>ARTÍCULO 45: La estancia en la Unidad de Quemados, comprende además de los servicios básicos, la atención médica especializada en el manejo de este tipo de pacientes, personal de enfermería y nutrición capacitado en esta disciplina y la utilización de los equipos médicos especializados.</t>
  </si>
  <si>
    <t>PARÁGRAFO: Los materiales de curación, utilizados en la Unidad de Quemados están excluídos de la tarifa de la estancia y se reconocerán hasta por el precio comercial de catálogo para la venta al público fijado por la autoridad competente.</t>
  </si>
  <si>
    <t>ARTÍCULO 46: Para el reconocimiento de las estancias hospitalarias que se contraten, se tendrá en cuenta la siguiente clasificación de las Instituciones a que hace referencia el Decreto  1760  de  1.990:</t>
  </si>
  <si>
    <t>ARTÍCULO 47: De acuerdo con la anterior clasificación, se aplicará a la estancia, las siguientes tarifas en Salarios Mínimos Legales Diarios Vigentes:</t>
  </si>
  <si>
    <t>PARÁGRAFO 1: Las tarifas establecidas en este Artículo son los valores a reconocer por la estancia hospitalaria, hasta  24  horas, cuando se garanticen en forma integral los servicios determinados en los Artículos 40 al 45 de este Decreto. En caso de que por cualquier circunstancia no se suministre alguno de ellos, su valor será descontado de la tarifa de la estancia, liquidado con base en el costo que se genere.</t>
  </si>
  <si>
    <t>PARÁGRAFO 2: Cuando la permanencia en la sala de observación de urgencias sea inferior a seis(6)  horas se reconocerán los valores señalados en el numeral  9.  del presente Artículo. Cuando supere las  6 horas se reconocerán los valores señalados en el presente Artículo, para habitación de 4 ó mas camas, según el nivel de la Institución Prestadora del Servicio de Salud; es decir, se tomarán en cuenta los códigos (38114-38124-38134).</t>
  </si>
  <si>
    <t>PARÁGRAFO 3: Cuando el paciente se encuentre en la sala de observación, para el servicio de  hidratación, los líquidos que consuma, se reconocerán hasta por el precio comercial de catálogo para venta al público, fijado por la autoridad competente.</t>
  </si>
  <si>
    <t>ARTÍCULO 48: Reconocer en Salarios Mínimos Legales Diarios Vigentes para los servicios profesionales, por concepto de la atención científica médico y/o quirúrgica, cuando la Institución Prestadora del Servicio aporta los recursos necesarios para la atención integral, así:</t>
  </si>
  <si>
    <t>PARÁGRAFO 1: Las tarifas correspondientes a los conceptos "valoración" y consulta preanestésica y prequirúrgica se reconocerán por una sola vez en cada paciente, siempre y cuando se cause el servicio en tratamientos no quirúrgicos u obstétricos con excepción de psiquiátrico en programa “Hospital  de Día”, el valor es adicional al establecido por concepto del cuidado diario intrahospitalario. Este ultimo, se reconocerá por el número de días de permanencia del paciente incluído el de ingreso y el de egreso.</t>
  </si>
  <si>
    <t>PARÁGRAFO 2: La consulta prequírurgica y preanestésica, se reconocerá para las intervenciones clasificadas del grupo  04  en adelante</t>
  </si>
  <si>
    <t>PARÁGRAFO 3: Los servicios profesionales de médico general correspondientes a los códigos  39131,  39133  y  39135, se reconocerán únicamente en aquellos lugares en donde por carencia del especialista, la actividad la realiza un médico general</t>
  </si>
  <si>
    <t>PARÁGRAFO 4: No hay lugar al reconocimiento de "valoración inicial intrahospitalaria", en el caso del recién nacido que dentro del período de permanencia en el centro hospitalario después de su nacimiento, requiera hospitalización</t>
  </si>
  <si>
    <t>PARÁGRAFO 5: Para efecto del reconocimiento de los servicios médicos especializados, en la atención intrahospitalaria de psiquiatría y del paciente psiquiátrico en el Programa "Hospital de Día" ,se establece un valor de  0.44 salarios diarios  mínimos legales vigentes.</t>
  </si>
  <si>
    <t>PARÁGRAFO 6: La tarifa correspondiente a la atención diaria en la sala de observación de urgencia, se pagará adicional al valor de la consulta de urgencia</t>
  </si>
  <si>
    <t>PARÁGRAFO 7: La tarifa correspondiente a la atención diaria intrahospitalaria, por el especialista tratante, del paciente quirúrgico y obstétrico, únicamente se reconocerá en el caso de que el paciente requiera de hospitalización mayor de quince días o cuando la embarazada ingrese por tratamiento diferente</t>
  </si>
  <si>
    <t>PARÁGRAFO 8: La tarifa correspondiente a la estancia en sala de observación se reconocerá según lo estipulado en el Artículo 47,
Numeral  9.  del presente Decreto. .</t>
  </si>
  <si>
    <t>PARÁGRAFO 9:   Los honorarios de que trata el presente artículo se cancelarán directamente a las Instituciones Prestadoras de Servicios Públicas, entendiéndose que el personal que intervenga en la prestación de los servicios, no recibirá remuneración adicional a la pactada en su relación laboral</t>
  </si>
  <si>
    <t>ARTÍCULO 49: En las intervenciones y procedimientos quirúrgicos cruentos, los derechos de sala de cirugía que comprenden: la dotación básica del quirófano, los equipos, sus accesorios e implementos, instrumental, ropa reutilizable o desechable, los servicios de enfermería, esterilización, instrumental, circulantes y recuperación hasta seis (6) horas se reconocerán según el grupo de clasificación de la intervención o procedimiento quirúrgico realizado así:</t>
  </si>
  <si>
    <t>PARÁGRAFO 1: En las intervenciones bilaterales se reconocerá un cincuenta por ciento (50%) adicional sobre la tarifa establecida para este servicio, de acuerdo con el grupo quirúrgico que corresponda a la intervención realizada . En las intervenciones múltiples que practique en un acto el mismo cirujano, en distinta región operatoria  o las que realice cirujano de diferente  especialidad en la misma u otra región, por este servicio se reconocerá el ciento por ciento (100%) de la tarifa señalada para la cirugía mayor ejecutada, de acuerdo con el grupo quirúrgico que le
corresponda, incrementada en el cincuenta por ciento (50%) del valor de cada una de las adicionales.</t>
  </si>
  <si>
    <t>PARÁGRAFO 2: No se reconocerá valores adicionales por el  empleo de accesorios e implementos de los equipos que se utilicen en la práctica de las intervenciones y procedimientos, aunque estos no sean reutilizables.</t>
  </si>
  <si>
    <t>ARTÍCULO 50: Los derechos de sala en la atención del  parto comprenden: la dotación básica de la sala, los equipos, sus accesorios e implementos, instrumental, ropas reutilizables o desechables, los servicios de esterilización, instrumentación y enfermería, materiales, drogas, medicamentos y soluciones, oxígeno y gases anestésicos, sala de trabajo de parto, post-parto y de observación del recién nacido. Se reconoce el siguiente valor:</t>
  </si>
  <si>
    <t>PARÁGRAFO: Cuando el parto sea por operación cesárea, los derechos de sala de cirugía, se reconocerán de acuerdo con el grupo
quirúrgico en que está clasificada.</t>
  </si>
  <si>
    <t>ARTÍCULO 51: Por los derechos de sala de recuperación, que comprenden: la dotación básica, los equipos sus accesorios e implementos, ropas reutilizables o desechables y los servicios de enfermería, cuando se superen las primeras seis (6) horas post-quirúrgicas, en las intervenciones clasificadas en los grupos 02 a 13 y en los grupos especiales aquellas distintas a las que para su recuperación se requiera de la unidad de cuidados intensivos, se reconocerá adicionalmente el cincuenta por ciento (50%) del valor de la estancia hospitalaria, según el tipo de cama que este ocupando el paciente.</t>
  </si>
  <si>
    <t>ARTÍCULO 52: Las intervenciones incruentas que demanden para su realización el uso de salas quirúrgicas o salas especiales dotadas para tal fin (cateterismo, reducción cerrada de fracturas y luxaciones, fotocoagulación de retina, algunos procedimientos endoscópicos, etc.), se reconocerá por el derecho a su uso, que comprende: la dotación básica, ropas de enfermería, un valor equivalente al cuarenta y cinco por ciento (45%) adicional de acuerdo con el grupo quirurgico o la tarifa establecida para cada procedimiento.</t>
  </si>
  <si>
    <t>ARTÍCULO 53: Por derechos de sala de yesos, en los procedimientos ortopédicos, que se practiquen en sala dotada para tal fin, se pagarán las siguientes tarifas :</t>
  </si>
  <si>
    <t>ARTÍCULO 54: En los servicios de urgencias y consulta  externa los derechos de sala se pagarán así:</t>
  </si>
  <si>
    <t>PARÁGRAFO: Los derechos de sala para suturas o curaciones, incluyen : uso de consultorio o sala, instrumental, material de sutura y curación, anestesia local y servicio de enfermería</t>
  </si>
  <si>
    <t>ARTÍCULO 55: Los materiales de sutura, curación, medicamentos y soluciones, oxígeno, agentes y gases anestésicos, que se consuman en el acto quirúrgico y en sala de recuperación, durante la
realización de una intervención o procedimiento  cruento, se reconocerán de acuerdo con el grupo en que esté clasificado, así:</t>
  </si>
  <si>
    <t>PARÁGRAFO 1: Los materiales de sutura y curación, definidos en el parágrafo 5 del Artículo 55 y los elementos de anestesia, tales como: tubos endotraqueales y de conexión, máscaras y    catéteres intravasculares, que se utilicen en las intervenciones clasificadas en los grupos especiales 20 a 23, se pagarán hasta por el precio comercial de catálogo para venta al público fijado por la autoridad competente. Las drogas, medicamentos y soluciones, oxígeno, agentes y gases anestésicos, quedan incluídos en los derechos de sala; se exceptúan las drogas, medicamentos y soluciones que se consuman durante el acto quirúrgico en las intervenciones cardiovasculares, clasificados en los grupos especiales 22 a 23 las cuales se reconocerán hasta por el precio    comercial de catálogo para la venta al público fijado por la autoridad competente.</t>
  </si>
  <si>
    <t>PARÁGRAFO 2: En los procedimientos incruentos a que se refiere el Artículo 52 de esta Decreto por concepto de material de sutura y curación, drogas, medicamentos y soluciones, oxígeno, agentes y gases anestésicos, cualesquiera sea el grupo en el que esté clasificado, o su tarifa, cuando se trate de un procedimiento del Capítulo IV , se reconocerá:</t>
  </si>
  <si>
    <t>PARÁGRAFO 3: En los procedimientos obstétricos de parto, legrado uterino obstétrico y ginecológico, el valor del material de sutura y curación, drogas, medicamentos y soluciones, oxígeno y agentes anestésicos que se consuman en la atención del procedimiento está incluído en los derechos de sala</t>
  </si>
  <si>
    <t>PARÁGRAFO 4: En las intervenciones bilaterales, se reconocerá un  75% adicional sobre la tarifa establecida por concepto de materiales de sutura y curación, drogas, medicamentos y soluciones, oxígeno, agentes y gases anestésicos, de acuerdo con el grupo quirúrgico que corresponda a la intervención o procedimiento quirúrgico realizado.</t>
  </si>
  <si>
    <t>PARÁGRAFO 5: Los materiales de sutura y curación a que se refiere este Artículo incluyen los siguientes elementos: algodón, aplicadores, apósitos, compresas, mechas, gasas, torundas, cotonoides, cierres umbilicales, esponjas exceoti de silicón, gelatinas absorbibles, cera para huesos, esparadrapo, soluciones desinfectantes, vendajes, guantes, hojas de bisturí, catéteres pericraneales, equipos de venoclisis, buretras, agujas de cualquier clase, jeringas, llaves de dos o más vías, agrafes, sutura de cualquier tipo ( catguts, absorbibles sintéticas, no absorbibles, tales como: sedas, nylon, poliester, polipropileno, acero inoxidable, etc.).</t>
  </si>
  <si>
    <t>ARTÍCULO 56: Las drogas, medicamentos y soluciones que se prescriban para el tratamiento del paciente, incluídos los elementos que se requieran en su aplicación (jeringas, agujas, equipos), diferentes a las que se consuman en los quirófanos, sala de parto, salas especiales para procedimientos y de recuperación, se pagarán hasta por el precio comercial del catálogo para venta al público fijado por la autoridad competente. El mismo precio se aplicará a las drogas y medicamentos que se utilicen en la realización de cualquier procedimiento definido en el Capítulo II, salvo las excepciones establecidas en este Decreto.</t>
  </si>
  <si>
    <t>PARÁGRAFO: Mientras el paciente esté bajo el cuidado de la Institución Prestadora de Servicios de Salud, la prescripción de medicamentos deberá hacerse en forma individual con sujeción al registro de medicamentos aprobado por el Ministerio de Salud, por períodos que no superen las cuarenta y ocho (48) horas en pacientes hospitalizados y hasta treinta (30) días cuando para su patología requiera  al egreso continuar el tratamiento o la prescripción se efectué en la consulta ambulatoria. En los pacientes hospitalizados en el servicio de psiquiatría, la prescripción podrá
hacerse hasta por un período de siete (7) días.</t>
  </si>
  <si>
    <t>ARTÍCULO 57: Los suministros de prótesis y ortesis, injertos, válvulas, catéteres y sondas, tubos de cualquier clase, máscaras, cánulas y electrodos, no reutilizables; algodón laminado, vendas (elásticas, de yeso o gasa), mallas, medias  ortopédicas, equipos de presión venosa central, marcapasos, elementos ortopédicos (placas, tornillos, férulas, clavos, grapas); esponjas y bandas de silicón, sustitutos del plasma, bolsas  colectoras de fluídos y otros elementos de uso médico distintos a los definidos en el Parágrafo 5 del Artículo 55, utilizados en la práctica de cualquier intervención o procedimiento médico-quirúrgico relacionado en el Capítulo  III y en el manejo ambulatorio u hospitalario del paciente, siempre y cuando no se trate de un examen o procedimiento contenido en el Capítulo IV, se reconocerán hasta por el precio comercial de catálogo para venta al público fijado por la autoridad competente. Asi mismo se reconocerán los insumos que específicamente se encuentran fuera del conjunto,  y que son objeto de pago adicional sobre la tarifa fijada para el  respectivo conjunto. Estos insumos específicos se encuentran anotados con
cada canasta discriminada en los conjuntos integrales de atención que hacen parte integral de este Decreto.</t>
  </si>
  <si>
    <t>ARTÍCULO 58: Por el cual se definen las tarifas de los Derechos De Sala En Hemodiálisis Por Insuficiencia Renal Aguda O Crónica</t>
  </si>
  <si>
    <t>Los procedimientos quirúrgicos para la confección de fístula arteriovenosa de acceso a la hemodiálisis, implantación y retiro de catéteres,
se encuentran clasificados en el Artículo 11 de este Decreto.</t>
  </si>
  <si>
    <t>PARÁGRAFO 1: La tarifa por atención mensual integral establecida bajo el código  39164  se reconocerá en forma proporcional al número
de días que el paciente, durante el mes, se beneficie del programa</t>
  </si>
  <si>
    <t>PARÁGRAFO 2: Si los procedimientos de hemodiálisis o diálisis peritoneal, se realizan en la Unidad de Cuidado Intensivo e intermedio o
en la pieza de hospitalización, no se reconocerán derechos de sala. El procedimiento de diálisis ambulatoria no causa derecho de anestesia.</t>
  </si>
  <si>
    <t>ARTÍCULO 59: Se reconocerá para el oxígeno que se utilice en la atención de los pacientes en los servicios de hospitalización y de
urgencias, de acuerdo con su consumo, hasta por el precio comercial de catálogo para venta al público fijado por la autoridad competente.</t>
  </si>
  <si>
    <t>ARTÍCULO 60: Señálase para la atención de urgencias por unidades móviles, la siguiente tarifa en Salarios Mínimos Legales Diarios
Vigentes.</t>
  </si>
  <si>
    <t>PARÁGRAFO: La atención incluye: servicios de médicos, enfermeros y personal auxiliar, capacitados en emergencias; uso de las unidades de cuidado intensivo, instrumental y equipos de dotación en los vehículos; consumo de drogas, medicamentos, soluciones y materiales de sutura y curación, utilizados para la solución de la emergencia y estabilización del paciente durante el traslado, en el área urbana, desde el sitio de la emergencia al centro hospitalario que se requiera de acuerdo con la gravedad del caso</t>
  </si>
  <si>
    <t>ARTÍCULO 61: Las actividades de control y seguimiento en los programas de atención a grupos específicos, tales como: hipertensos, diabéticos, crecimiento y desarrollo, atención prenatal, higiene mental, higiene industrial, salud ocupacional, registrada por profesionales de la salud en las áreas de enfermería, trabajo social, salud mental, optometría, nutrición y terapia, serán reconocidos así:</t>
  </si>
  <si>
    <t>ARTÍCULO 62: Señálese para la atención paciente psiquiátrico en Programa de "Hospital de Día", las siguientes tarifas en Salarios Mínimos Legales Diarios Vigentes:</t>
  </si>
  <si>
    <t>PARÁGRAFO: Las Tarifas determinadas en este Artículo se aplicarán de igual forma para las Instituciones dedicadas exclusivamente a la atención pisquiátrica como a las destinadas a la atención de varias especialidades incluída la psiquiatría</t>
  </si>
  <si>
    <t>ARTÍCULO 63: Cuando se requiera la movilización de pacientes en ambulancia, para traslados interinstitucionales, se debe reconocer las
tarifas oficiales de la Institución Prestadora del Servicio</t>
  </si>
  <si>
    <t>ARTÍCULO 64: Señalase para los conjuntos de atención integral, las siguientes tarifas en Salarios Mínimos Legales Diarios Vigentes</t>
  </si>
  <si>
    <t>PARÁGRAFO 1: El  valor de cada  Conjunto   es  la   suma máxima  que se pagará, cuando se efectue la prestación del servicio en la forma integral como está definida, en los anexos que son parte integrante del Manual y comprende: consulta pre-quirúrgica y pre-anestésica, práctica de los exámenes de apoyo diagnóstico que los Protocolos exigen como soporte para la valoración del paciente y la realización de la intervención o procedimiento, ejecución del tratamiento  médico quirúrgico objeto del Conjunto, atención intrahospitalaria con todos sus componentes y los controles post-quirúrgicos ambulatorios incluidos los medicamentos e insumos necesarios durante el proceso de recuperación.</t>
  </si>
  <si>
    <t>PARÁGRAFO 2: En cada  Conjunto  están  definidos, cualitativa y cuantitativamente  los  distintos componentes de la atención que aseguran la prestación del servicio en forma integral y en las mejores condiciones de calidad;  en consecuencia, sobre su tarifa sólo se podrá  facturar adicionalmente el valor de aquellos elementos o insumos que de manera específica se señalan en el respectivo Conjunto.</t>
  </si>
  <si>
    <t>PARÁGRAFO 3: Si  una  cirugía  o  procedimiento  de  los  contenidos  en  este  Artículo se realiza en forma bilateral, sobre el valor total del Conjunto o el que corresponda de éste por el servicio profesional que se preste, cuando a ello diere lugar,  se adicionará en el setenta y cinco  por ciento (75 %)  según la atención se preste en la forma integral definida en el Conjunto o parcial bajo la circunstancia prevista en el Parágrafo 1 de este Artículo.</t>
  </si>
  <si>
    <t>PARÁGRAFO 4: Cuando en un mismo acto se efectúen varias intervenciones quirúrgicas o procedimientos, entre los cuales se encuentra uno o más de los definidos bajo Conjunto,  para efectos de su pago, la liquidación se efectuará como sigue, según el tipo de circunstancia que se presente, sobre el valor ajustado con los porcentajes de incremento señalados en los parágrafos
anteriores, cuando a ello diere lugar:</t>
  </si>
  <si>
    <t>PARÁGRAFO 5: En la tarifa de los Conjuntos correspondientes a intervenciones quirúrgicas y procedimientos están consideradas las complicaciones menores que se listan en cada uno de ellos y su tratamiento lo asume el proveedor del servicio dentro del valor integral del Conjunto, relacionado en las canastas discriminadas que hacen parte de este Decreto.</t>
  </si>
  <si>
    <t>ARTÍCULO 65: Si como resultado de  una  intervención  o  procedimiento practicado,  durante el período post- quirúrgico de recuperación u hospitalario, se presentare una complicación mayor,   que es responsabilidad del contratista solucionar, el costo del tratamiento para superarla no está previsto dentro del valor de la cirugía  inicialmente efectuada y consecuentemente en dicho evento el procedimiento inicial no se liquida a la tarifa de Conjunto y consecuentemente la totalidad de los servicios prestados deben facturarse con base en el valor del Manual para cada componente de  la atención.</t>
  </si>
  <si>
    <t>ARTÍCULO 66: En Municipios donde no estén vinculados, en ejercicio, profesionales en todas o algunas de las áreas de Psicología, Optometría, Trabajo Social y Nutrición, se podrán excluir del paquete de actividades que están a cargo del recurso faltante, descontando de la tarifa del valor del componente, en el porcentaje que para cada caso se establece en el paquete de atención médica y/o de salud oral</t>
  </si>
  <si>
    <t>ARTÍCULO 67: En las intervenciones y procedimientos Médico Quirúrgicos en que se extirpe o se extraigan órganos o tejidos, la pieza quirúrgica se someterá a examen anatomopatológico y el resultado se incluirá en la historia clínica del paciente y se reconocerán a las tarifas establecidas en el Capítulo IV Artículo 22 de este Decreto</t>
  </si>
  <si>
    <t>ARTÍCULO 68: Las suturas simples en partes blandas concomitantes con lesiones mayores, se consideran parte integrante del tratamiento quirúrgico de la lesión</t>
  </si>
  <si>
    <t>ARTíCULO 69: La vía de acceso para la práctica de un acto quirúrgico no da derecho al reconocimiento de valores adicionales sobre la tarifa de la operación realizada, excepto cuando se efectúe con fines diagnósticos y no haga parte de otra intervención.</t>
  </si>
  <si>
    <t>ARTÍCULO 70: Los servicios profesionales de cirujano, anestesiólogo y ayudante quirúrgico, en las intervenciones bilaterales, se reconocerán en un setenta y cinco por ciento (75%) adicional sobre
la tarifa establecida para cada profesional, de acuerdo con el grupo quirúrgico que corresponda a la intervención realizada.</t>
  </si>
  <si>
    <t>PARÁGRAFO 1: Este reconocimiento se hará, en los siguientes casos:</t>
  </si>
  <si>
    <t>a) Intervenciones que se practiquen en los órganos o elementos anatómicos que a continuación se enumeran: ojo, oído, glándula salival, maxilar superior o inferior, malar, seno paranasal, plejo nervioso (cervical, braquial y lumbar), mama, glándula suprarrenal, riñón, uréter, testículo, epidídimo, ovario y trompa de falopio ( excepto ligadura).</t>
  </si>
  <si>
    <t>b) Intervenciones en los dos miembros superiores o inferiores</t>
  </si>
  <si>
    <t>c) Herniorrafia inguinal, femoral o crural</t>
  </si>
  <si>
    <t>PARÁGRAFO 2: El porcentaje señalado en este Artículo, para los casos enumerados en el Parágrafo anterior, se aplicará igualmente a la tarifa de los procedimientos relacionados con el Capítulo II de este Decreto, cuando no esté expresamente definido un valor, en el caso en el procedimiento se practique en forma bilateral.</t>
  </si>
  <si>
    <t>ARTÍCULO 71: En las intervenciones múltiples que practique un mismo cirujano en un acto e igual vía de acceso los servicios profesionales de éste, el anestesiólogo y el ayudante quirúrgico, se reconocerá con el cien por ciento (100%) de la tarifa establecida para cada profesional, de acuerdo con el grupo quirúrgico que corresponda a la intervención mayor realizada, incrementada en el
cincuenta por ciento (50%) del valor de cada una de las intervenciones adicionales</t>
  </si>
  <si>
    <t>ARTÍCULO 72: En las intervenciones múltiples que practique un mismo cirujano en un acto y diferente vía de acceso, los servicios profesionales de éste, el anestesiólogo y el ayudante quirúrgico,   se reconocerán con el cien por ciento (100%) de la tarifa establecida para cada profesional, de acuerdo con el grupo quirúrgico que corresponda a la intervención mayor realizada, incrementada en
el setenta y cinco  por ciento (75%) del valor de cada una de las intervenciones adicionales</t>
  </si>
  <si>
    <t>ARTÍCULO 73: En las intervenciones múltiples que practiquen dos o más cirujanos de distinta especialidad, en un mismo acto, en igual o diferente vía de acceso, los servicios profesionales que intervengan, se reconocerán con el cien por ciento (100%) de la tarifa de acuerdo con el grupo quirúrgico que corresponda por la intervención mayor que cada uno practicó, incrementada en el
cincuenta por ciento (50%) del valor de cada una de las adicionales</t>
  </si>
  <si>
    <t>PARÁGRAFO 1: Los servicios profesionales de anestesiólogo, se reconocerán con el cien por ciento (100%) de la tarifa que corresponda  al grupo quirúrgico, por la intervención mayor que cada uno practicó, incrementada en el setenta y cinco por ciento (75%) correspondiente al grupo de  cada una de las adicionales</t>
  </si>
  <si>
    <t>PARÁGRAFO 2: Los servicios profesionales de ayudante quirúrgico, se reconocerán con el cien por ciento (100%) de la tarifa establecida para este profesional, de acuerdo con el grupo quirúrgico que corresponda a la intervención mayor realizada, incrementada en el cincuenta por ciento (50%) de la tarifa correspondiente al grupo de la adicional que tenga mayor grado de clasificación.</t>
  </si>
  <si>
    <t>ARTÍCULO 74: Se reconocerá a las Instituciones Prestadoras de Servicios de Salud, el valor de los gastos que se causen por el manejo médico  quirúrgico del donante vivo, o cadáver, para la
ablación de órganos o componentes anatómicos con el fin de su implantación inmediata, así:</t>
  </si>
  <si>
    <t>PARÁGRAFO: Los gastos de preservación, procesamiento, almacenamiento y transporte de un órgano o componente anatómico, con fines de su implantación inmediata o diferida, se reconocerán a las tarifas oficiales de la Entidad proveedora del servicio</t>
  </si>
  <si>
    <t>ARTÍCULO 75: La consulta preanestésica y prequirúrgica de las intervenciones clasificadas en los grupos  02  y  03, la premedicación, la valoración intrahospitalaria del Cirujano previa al acto
quirúrgico, los controles intra-hospitalarios y ambulatorios, posteriormente a la realización de la intervención, están incluídos en las tarifas de servicios profesionales que se reconocen por el respectivo procedimiento a los cirujanos, ginecoobstetras, anestesiólogos y demás especialistas, hasta la recuperación del paciente, considerándose como limite máximo quince días (15).</t>
  </si>
  <si>
    <t>ARTÍCULO 76: El reconocimiento de interconsulta se causa únicamente en el caso de que con fines de aclarar un diagnóstico o establecer un tratamiento, se requiera del concepto de otro profesional, sea en los servicios de consulta, hospitalización o de urgencias, siempre y cuando sea de especialidad o subespecialización distinta a la del médico tratante. No habrá derecho a
reconocimiento de interconsulta, cuando esta origine la práctica de intervención o procedimiento que deba realizar el especialista consultado.</t>
  </si>
  <si>
    <t>ARTÍCULO 77: Cuando un paciente hospitalizado para intervención quirúrgica, presente complicación médica, causará derecho a reconocimiento de interconsulta; así mismo, se reconocerá interconsulta, cuando cualquier hospitalizado en los servicios de pediatría, medicina interna o psiquiatría, presente cuadro quirúrgico.</t>
  </si>
  <si>
    <t>ARTÍCULO 78: La fototerapia del recién nacido está incluída en la tarifa de la estancia , sea en el servicio de Pediatría o en el de Obstetricia. Por consiguiente, no se reconocerá valor adicional por este tratamiento. Tampoco por la fototerapia del recién nacido que se practique en forma ambulatoria.</t>
  </si>
  <si>
    <t>ARTÍCULO 79: La utilización del equipo de rayos láser en los procedimientos quirúrgicos, está comprendida dentro de los derechos de sala determinados en los Artículos 49 y 52 de este Decreto.
Por consiguiente, no se reconocerá valor adicional por la utilización de este instrumento.</t>
  </si>
  <si>
    <t>ARTÍCULO 80: En los procedimientos de toma de biopsias y en las endoscopias, descritos en los Artículos 19 y 20 del Capítulo I, de este Decreto, las tarifas correspondientes a los grupos allí determinados, son los únicos valores que se reconocerán como servicios profesionales, incluÍda la utilización del equipo propio para la práctica del procedimiento.</t>
  </si>
  <si>
    <t>PARÁGRAFO: En la realización de estos procedimientos, cuando se requiera el uso de sala quirúrgica o sala especial dotada para tal fin,
se reconocerá los respectivos derechos, según lo dispuesto en los Artículos 49 y 52 de este Decreto.</t>
  </si>
  <si>
    <t>ARTÍCULO 81: Las tarifas establecidas en este Decreto para los procedimientos de diagnóstico y tratamiento definidos en el Capítulo II, son los valores que se reconocerán por la práctica integral del examen o procedimiento y el informe escrito sobre los resultados del mismo, incluído los gastos del personal profesional y auxiliar , uso de equipo, consumo de materiales, reactivos, medios de
contraste, radiofármacos y cualquier elemento que se requiera para su realización (catéteres, electrodos, jeringas, agujas, etc.,.).</t>
  </si>
  <si>
    <t>ARTÍCULO 82: Los servicios profesionales de los especialistas, diferentes a los comprendidos en la estancia y que deban intervenir para la atención del paciente quemado, se reconocerán según la tarifa de interconsulta intrahospitalaria, establecidas en el Artículo 40 del presente Decreto.</t>
  </si>
  <si>
    <t>ARTÍCULO 83: La Unidad de Cuidado Intermedio es el servicio destinado a pacientes críticos , con complicaciones no derivadas de un
acto quirúrgico, que con excepción de la asistencia ventilatoria, se les brinda la misma atención que en la Unidad de Cuidado Intensivo bajo el cuidado del médico intensivista en la medida que el caso lo requiera.</t>
  </si>
  <si>
    <t>ARTÍCULO 84: Todas las entidades o establecimientos públicos o privados, que presten servicios de salud, atenderán los casos de urgencias, de conformidad con lo establecido en el Artículo  2
de la Ley  10  de 1.990  y Reglamentarios y,  sin exigir condición alguna al paciente para su atención</t>
  </si>
  <si>
    <t>ARTÍCULO 85: No se reconocerán valores adicionales cuando las intervenciones, procedimientos, exámenes y actividades contempladas n este Decreto, se ejecuten en horas nocturnas, dominicales y festivos</t>
  </si>
  <si>
    <t>ARTÍCULO 86: Por las circunstancias de orden socio-económico, que hace más gravosa la prestación de los servicios de salud en los departamentos de Amazonas, Arauca, Casanare, Caquetá, Chocó, Guajira, Guainía, Guaviare, Meta, Putumayo, San Andrés y Providencia, Sucre, Vaupés, Vichada y Región de Urabá., las tarifas establecidas en este Decreto para los conceptos que se
relacionan a continuación , se incrementan en los siguientes porcentajes. Se exceptúan los municipios de Arauca, Florencia, Rioacha, Sincelejo, Villavicencio y Yopal</t>
  </si>
  <si>
    <t>a)  El veinticinco por ciento (25%) para la consulta general, especializada, e interconsulta ambulatoria e intrahospitalaria, valoraciones intrahospitalarias, consulta de urgencias, cuidado médico intrahospitalario, reconocimiento del recién nacido, servicios profesionales de cirujano, ginecobstetra, anestesiólogo y ayudantía quirúrgica en las intervenciones y procedimientos enumerados en el
Capítulo  I, Derechos de Parto y Cirugía.</t>
  </si>
  <si>
    <t>b)  El quince por ciento (15%) para los exámenes y procedimientos de diagnóstico y tratamiento, contenidos en el Capítulo IV</t>
  </si>
  <si>
    <t>ARTÍCULO 87: Por las circunstancias de orden tecnológico, cuando alguna Institución Prestadora de Servicios de Salud realice un procedimiento que no se encuentre definido y por lo tanto no tenga asignada tarifa, éste se reconocerá por la tarifa que tenga definida la Institución,  previa la comprobación del médico tratante, de que dicho procedimiento no se encuentra relacionado en el presente Decreto ni siquiera bajo otra denominación .</t>
  </si>
  <si>
    <t>ARTÍCULO 88: El presente Decreto rige a partir de su publicación  y deroga las disposiciones que le sean contrarias.</t>
  </si>
  <si>
    <t>ARTÍCULO 89: Los valores resultantes de la aplicación de las tarifas contenidas en el presente decreto deberán ajustarse a centena más próxima.</t>
  </si>
  <si>
    <t>PARÁGRAFO: La atención integral de litotricia extracorpórea se refiere al número total de sesiones que cada paciente requiera para su tratamiento y comprende los siguientes conceptos: servicio  de los profesionales especialistas y del personal técnico que interviene en la realización del procedimiento; consulta pre y post tratamiento inmediato; consulta de urgencias si el caso lo requiere; práctica de procedimiento; servicio de anestesiología en pacientes que lo ameriten; cistoscopia y cateterismo uretral cuando en la realización del procedimiento sea necesaria derechos de sala con los componentes determinados en el Artículo 54 de este Decreto, sonda de foley y de nelatón, catéteres uretrales simples y cystoflow; servicio de recuperación; estudio radiológico de abdomen pre  y post tratamiento y los que posteriormente pueda requerir el paciente hasta que sea dado de alta. Cuando se requiera del uso de medios de contraste y catéteres doble J, se reconocerá hasta por  el precio comercial de catálogo para venta al público fijado por la autoridad competente. En litiasis bilateral, por el procedimiento en el riñón contralateral se reconocerá una tarifa equivalente al setenta y cinco por ciento (75%) de la establecida para este tipo de procedimientos.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</si>
</sst>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164" formatCode="\$\ #,##0;[Red]\$\ #,##0"/>
    <numFmt numFmtId="165" formatCode="\$\ #,##0"/>
    <numFmt numFmtId="166" formatCode="0.00;[Red]0.00"/>
    <numFmt numFmtId="167" formatCode="0.0"/>
  </numFmts>
  <fonts count="18" x14ac:knownFonts="1">
    <font>
      <sz val="10"/>
      <color rgb="FF000000"/>
      <name val="Times New Roman"/>
      <charset val="204"/>
    </font>
    <font>
      <sz val="6"/>
      <name val="Arial MT"/>
    </font>
    <font>
      <b/>
      <sz val="10"/>
      <name val="Calibri"/>
      <family val="2"/>
      <scheme val="minor"/>
    </font>
    <font>
      <b/>
      <sz val="10"/>
      <color rgb="FFFF0000"/>
      <name val="Calibri"/>
      <family val="2"/>
      <scheme val="minor"/>
    </font>
    <font>
      <sz val="10"/>
      <name val="Calibri"/>
      <family val="2"/>
      <scheme val="minor"/>
    </font>
    <font>
      <sz val="10"/>
      <color rgb="FF000000"/>
      <name val="Calibri"/>
      <family val="2"/>
      <scheme val="minor"/>
    </font>
    <font>
      <b/>
      <sz val="10"/>
      <color rgb="FF000000"/>
      <name val="Calibri"/>
      <family val="2"/>
      <scheme val="minor"/>
    </font>
    <font>
      <b/>
      <sz val="12"/>
      <name val="Calibri"/>
      <family val="2"/>
      <scheme val="minor"/>
    </font>
    <font>
      <b/>
      <sz val="12"/>
      <color rgb="FF000000"/>
      <name val="Calibri"/>
      <family val="2"/>
      <scheme val="minor"/>
    </font>
    <font>
      <sz val="10"/>
      <color rgb="FFFF0000"/>
      <name val="Calibri"/>
      <family val="2"/>
      <scheme val="minor"/>
    </font>
    <font>
      <b/>
      <sz val="12"/>
      <color theme="3"/>
      <name val="Calibri"/>
      <family val="2"/>
      <scheme val="minor"/>
    </font>
    <font>
      <sz val="10"/>
      <color theme="1"/>
      <name val="Calibri"/>
      <family val="2"/>
      <scheme val="minor"/>
    </font>
    <font>
      <b/>
      <sz val="10"/>
      <color theme="1"/>
      <name val="Calibri"/>
      <family val="2"/>
      <scheme val="minor"/>
    </font>
    <font>
      <b/>
      <sz val="14"/>
      <name val="Calibri"/>
      <family val="2"/>
      <scheme val="minor"/>
    </font>
    <font>
      <sz val="10"/>
      <color rgb="FF000000"/>
      <name val="Times New Roman"/>
      <family val="1"/>
    </font>
    <font>
      <b/>
      <sz val="10"/>
      <color rgb="FF000000"/>
      <name val="Times New Roman"/>
      <family val="1"/>
    </font>
    <font>
      <sz val="10"/>
      <color theme="0" tint="-0.14999847407452621"/>
      <name val="Calibri"/>
      <family val="2"/>
      <scheme val="minor"/>
    </font>
    <font>
      <b/>
      <sz val="10"/>
      <color theme="0" tint="-0.14999847407452621"/>
      <name val="Calibri"/>
      <family val="2"/>
      <scheme val="minor"/>
    </font>
  </fonts>
  <fills count="5">
    <fill>
      <patternFill patternType="none"/>
    </fill>
    <fill>
      <patternFill patternType="gray125"/>
    </fill>
    <fill>
      <patternFill patternType="solid">
        <fgColor rgb="FFDDEBF7"/>
      </patternFill>
    </fill>
    <fill>
      <patternFill patternType="solid">
        <fgColor rgb="FFFFC000"/>
        <bgColor indexed="64"/>
      </patternFill>
    </fill>
    <fill>
      <patternFill patternType="solid">
        <fgColor theme="0" tint="-0.14999847407452621"/>
        <bgColor indexed="64"/>
      </patternFill>
    </fill>
  </fills>
  <borders count="9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style="thin">
        <color indexed="64"/>
      </right>
      <top style="medium">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thin">
        <color indexed="64"/>
      </left>
      <right style="medium">
        <color indexed="64"/>
      </right>
      <top style="thin">
        <color indexed="64"/>
      </top>
      <bottom/>
      <diagonal/>
    </border>
    <border>
      <left style="medium">
        <color indexed="64"/>
      </left>
      <right style="thin">
        <color rgb="FF000000"/>
      </right>
      <top/>
      <bottom style="thin">
        <color rgb="FF000000"/>
      </bottom>
      <diagonal/>
    </border>
    <border>
      <left style="medium">
        <color indexed="64"/>
      </left>
      <right style="thin">
        <color rgb="FF000000"/>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
      <left style="medium">
        <color indexed="64"/>
      </left>
      <right style="thin">
        <color rgb="FF000000"/>
      </right>
      <top/>
      <bottom style="medium">
        <color indexed="64"/>
      </bottom>
      <diagonal/>
    </border>
    <border>
      <left style="thin">
        <color rgb="FF000000"/>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rgb="FF000000"/>
      </right>
      <top style="medium">
        <color indexed="64"/>
      </top>
      <bottom style="medium">
        <color indexed="64"/>
      </bottom>
      <diagonal/>
    </border>
    <border>
      <left style="medium">
        <color indexed="64"/>
      </left>
      <right style="thin">
        <color rgb="FF000000"/>
      </right>
      <top style="medium">
        <color indexed="64"/>
      </top>
      <bottom/>
      <diagonal/>
    </border>
    <border>
      <left style="thin">
        <color rgb="FF000000"/>
      </left>
      <right/>
      <top style="medium">
        <color indexed="64"/>
      </top>
      <bottom/>
      <diagonal/>
    </border>
    <border>
      <left style="thin">
        <color rgb="FF000000"/>
      </left>
      <right style="thin">
        <color rgb="FF000000"/>
      </right>
      <top style="medium">
        <color indexed="64"/>
      </top>
      <bottom/>
      <diagonal/>
    </border>
    <border>
      <left style="medium">
        <color indexed="64"/>
      </left>
      <right style="medium">
        <color indexed="64"/>
      </right>
      <top/>
      <bottom style="medium">
        <color indexed="64"/>
      </bottom>
      <diagonal/>
    </border>
    <border>
      <left/>
      <right/>
      <top style="thin">
        <color rgb="FF000000"/>
      </top>
      <bottom style="thin">
        <color rgb="FF000000"/>
      </bottom>
      <diagonal/>
    </border>
    <border>
      <left style="thin">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style="medium">
        <color indexed="64"/>
      </right>
      <top/>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medium">
        <color indexed="64"/>
      </bottom>
      <diagonal/>
    </border>
    <border>
      <left style="thin">
        <color indexed="64"/>
      </left>
      <right/>
      <top style="thin">
        <color indexed="64"/>
      </top>
      <bottom style="thin">
        <color rgb="FF000000"/>
      </bottom>
      <diagonal/>
    </border>
    <border>
      <left style="thin">
        <color indexed="64"/>
      </left>
      <right/>
      <top/>
      <bottom style="thin">
        <color rgb="FF000000"/>
      </bottom>
      <diagonal/>
    </border>
    <border>
      <left style="thin">
        <color indexed="64"/>
      </left>
      <right/>
      <top/>
      <bottom style="medium">
        <color indexed="64"/>
      </bottom>
      <diagonal/>
    </border>
    <border>
      <left style="medium">
        <color indexed="64"/>
      </left>
      <right style="medium">
        <color indexed="64"/>
      </right>
      <top/>
      <bottom style="thin">
        <color rgb="FF000000"/>
      </bottom>
      <diagonal/>
    </border>
    <border>
      <left style="medium">
        <color indexed="64"/>
      </left>
      <right style="medium">
        <color indexed="64"/>
      </right>
      <top style="thin">
        <color indexed="64"/>
      </top>
      <bottom style="thin">
        <color rgb="FF000000"/>
      </bottom>
      <diagonal/>
    </border>
  </borders>
  <cellStyleXfs count="1">
    <xf numFmtId="0" fontId="0" fillId="0" borderId="0"/>
  </cellStyleXfs>
  <cellXfs count="428">
    <xf numFmtId="0" fontId="0" fillId="0" borderId="0" xfId="0" applyAlignment="1">
      <alignment horizontal="left" vertical="top"/>
    </xf>
    <xf numFmtId="0" fontId="5" fillId="0" borderId="0" xfId="0" applyFont="1" applyAlignment="1">
      <alignment horizontal="left" vertical="top"/>
    </xf>
    <xf numFmtId="0" fontId="4" fillId="0" borderId="1" xfId="0" applyFont="1" applyBorder="1" applyAlignment="1">
      <alignment horizontal="left" vertical="top" wrapText="1"/>
    </xf>
    <xf numFmtId="1" fontId="5" fillId="0" borderId="1" xfId="0" applyNumberFormat="1" applyFont="1" applyBorder="1" applyAlignment="1">
      <alignment horizontal="left" vertical="top" shrinkToFit="1"/>
    </xf>
    <xf numFmtId="1" fontId="5" fillId="0" borderId="8" xfId="0" applyNumberFormat="1" applyFont="1" applyBorder="1" applyAlignment="1">
      <alignment horizontal="left" vertical="top" shrinkToFit="1"/>
    </xf>
    <xf numFmtId="2" fontId="5" fillId="0" borderId="1" xfId="0" applyNumberFormat="1" applyFont="1" applyBorder="1" applyAlignment="1">
      <alignment horizontal="right" vertical="top" shrinkToFit="1"/>
    </xf>
    <xf numFmtId="167" fontId="5" fillId="0" borderId="1" xfId="0" applyNumberFormat="1" applyFont="1" applyBorder="1" applyAlignment="1">
      <alignment horizontal="right" vertical="top" shrinkToFit="1"/>
    </xf>
    <xf numFmtId="1" fontId="5" fillId="0" borderId="1" xfId="0" applyNumberFormat="1" applyFont="1" applyBorder="1" applyAlignment="1">
      <alignment horizontal="right" vertical="top" shrinkToFit="1"/>
    </xf>
    <xf numFmtId="1" fontId="5" fillId="0" borderId="6" xfId="0" applyNumberFormat="1" applyFont="1" applyBorder="1" applyAlignment="1">
      <alignment horizontal="left" vertical="top" shrinkToFit="1"/>
    </xf>
    <xf numFmtId="0" fontId="4" fillId="0" borderId="6" xfId="0" applyFont="1" applyBorder="1" applyAlignment="1">
      <alignment horizontal="left" vertical="top" wrapText="1"/>
    </xf>
    <xf numFmtId="2" fontId="5" fillId="0" borderId="6" xfId="0" applyNumberFormat="1" applyFont="1" applyBorder="1" applyAlignment="1">
      <alignment horizontal="right" vertical="top" shrinkToFit="1"/>
    </xf>
    <xf numFmtId="0" fontId="4" fillId="0" borderId="8" xfId="0" applyFont="1" applyBorder="1" applyAlignment="1">
      <alignment horizontal="left" vertical="top" wrapText="1"/>
    </xf>
    <xf numFmtId="2" fontId="5" fillId="0" borderId="8" xfId="0" applyNumberFormat="1" applyFont="1" applyBorder="1" applyAlignment="1">
      <alignment horizontal="right" vertical="top" shrinkToFit="1"/>
    </xf>
    <xf numFmtId="0" fontId="5" fillId="4" borderId="22" xfId="0" applyFont="1" applyFill="1" applyBorder="1" applyAlignment="1">
      <alignment horizontal="left" wrapText="1"/>
    </xf>
    <xf numFmtId="0" fontId="4" fillId="4" borderId="19" xfId="0" applyFont="1" applyFill="1" applyBorder="1" applyAlignment="1">
      <alignment horizontal="left" vertical="top"/>
    </xf>
    <xf numFmtId="0" fontId="5" fillId="4" borderId="21" xfId="0" applyFont="1" applyFill="1" applyBorder="1" applyAlignment="1">
      <alignment horizontal="left" vertical="top"/>
    </xf>
    <xf numFmtId="0" fontId="7" fillId="4" borderId="18" xfId="0" applyFont="1" applyFill="1" applyBorder="1" applyAlignment="1">
      <alignment horizontal="left" vertical="top"/>
    </xf>
    <xf numFmtId="0" fontId="6" fillId="4" borderId="21" xfId="0" applyFont="1" applyFill="1" applyBorder="1" applyAlignment="1">
      <alignment horizontal="left" vertical="top"/>
    </xf>
    <xf numFmtId="1" fontId="6" fillId="4" borderId="12" xfId="0" applyNumberFormat="1" applyFont="1" applyFill="1" applyBorder="1" applyAlignment="1">
      <alignment horizontal="left" vertical="top" shrinkToFit="1"/>
    </xf>
    <xf numFmtId="0" fontId="5" fillId="4" borderId="0" xfId="0" applyFont="1" applyFill="1" applyAlignment="1">
      <alignment horizontal="left" vertical="top"/>
    </xf>
    <xf numFmtId="0" fontId="8" fillId="4" borderId="21" xfId="0" applyFont="1" applyFill="1" applyBorder="1" applyAlignment="1">
      <alignment horizontal="left" vertical="top"/>
    </xf>
    <xf numFmtId="0" fontId="5" fillId="4" borderId="22" xfId="0" applyFont="1" applyFill="1" applyBorder="1" applyAlignment="1">
      <alignment horizontal="left" vertical="top"/>
    </xf>
    <xf numFmtId="0" fontId="6" fillId="4" borderId="15" xfId="0" applyFont="1" applyFill="1" applyBorder="1" applyAlignment="1">
      <alignment horizontal="left" vertical="top"/>
    </xf>
    <xf numFmtId="1" fontId="6" fillId="4" borderId="22" xfId="0" applyNumberFormat="1" applyFont="1" applyFill="1" applyBorder="1" applyAlignment="1">
      <alignment horizontal="left" vertical="top" shrinkToFit="1"/>
    </xf>
    <xf numFmtId="1" fontId="5" fillId="4" borderId="22" xfId="0" applyNumberFormat="1" applyFont="1" applyFill="1" applyBorder="1" applyAlignment="1">
      <alignment horizontal="left" vertical="top" shrinkToFit="1"/>
    </xf>
    <xf numFmtId="0" fontId="5" fillId="4" borderId="16" xfId="0" applyFont="1" applyFill="1" applyBorder="1" applyAlignment="1">
      <alignment vertical="top" wrapText="1"/>
    </xf>
    <xf numFmtId="0" fontId="8" fillId="4" borderId="21" xfId="0" applyFont="1" applyFill="1" applyBorder="1" applyAlignment="1">
      <alignment vertical="top"/>
    </xf>
    <xf numFmtId="0" fontId="6" fillId="4" borderId="22" xfId="0" applyFont="1" applyFill="1" applyBorder="1" applyAlignment="1">
      <alignment wrapText="1"/>
    </xf>
    <xf numFmtId="2" fontId="5" fillId="0" borderId="8" xfId="0" applyNumberFormat="1" applyFont="1" applyBorder="1" applyAlignment="1">
      <alignment vertical="top" shrinkToFit="1"/>
    </xf>
    <xf numFmtId="165" fontId="6" fillId="2" borderId="1" xfId="0" applyNumberFormat="1" applyFont="1" applyFill="1" applyBorder="1" applyAlignment="1">
      <alignment vertical="top" shrinkToFit="1"/>
    </xf>
    <xf numFmtId="2" fontId="5" fillId="0" borderId="1" xfId="0" applyNumberFormat="1" applyFont="1" applyBorder="1" applyAlignment="1">
      <alignment vertical="top" shrinkToFit="1"/>
    </xf>
    <xf numFmtId="167" fontId="5" fillId="0" borderId="1" xfId="0" applyNumberFormat="1" applyFont="1" applyBorder="1" applyAlignment="1">
      <alignment vertical="top" shrinkToFit="1"/>
    </xf>
    <xf numFmtId="1" fontId="5" fillId="0" borderId="1" xfId="0" applyNumberFormat="1" applyFont="1" applyBorder="1" applyAlignment="1">
      <alignment vertical="top" shrinkToFit="1"/>
    </xf>
    <xf numFmtId="2" fontId="5" fillId="0" borderId="6" xfId="0" applyNumberFormat="1" applyFont="1" applyBorder="1" applyAlignment="1">
      <alignment vertical="top" shrinkToFit="1"/>
    </xf>
    <xf numFmtId="0" fontId="4" fillId="4" borderId="19" xfId="0" applyFont="1" applyFill="1" applyBorder="1" applyAlignment="1">
      <alignment vertical="top"/>
    </xf>
    <xf numFmtId="0" fontId="5" fillId="4" borderId="22" xfId="0" applyFont="1" applyFill="1" applyBorder="1" applyAlignment="1">
      <alignment vertical="top"/>
    </xf>
    <xf numFmtId="0" fontId="5" fillId="4" borderId="27" xfId="0" applyFont="1" applyFill="1" applyBorder="1" applyAlignment="1">
      <alignment vertical="top"/>
    </xf>
    <xf numFmtId="0" fontId="5" fillId="4" borderId="0" xfId="0" applyFont="1" applyFill="1" applyAlignment="1">
      <alignment vertical="top"/>
    </xf>
    <xf numFmtId="0" fontId="5" fillId="0" borderId="0" xfId="0" applyFont="1" applyAlignment="1">
      <alignment vertical="top"/>
    </xf>
    <xf numFmtId="0" fontId="6" fillId="3" borderId="29" xfId="0" applyFont="1" applyFill="1" applyBorder="1" applyAlignment="1">
      <alignment horizontal="center" wrapText="1"/>
    </xf>
    <xf numFmtId="6" fontId="6" fillId="3" borderId="29" xfId="0" applyNumberFormat="1" applyFont="1" applyFill="1" applyBorder="1" applyAlignment="1">
      <alignment horizontal="center" wrapText="1"/>
    </xf>
    <xf numFmtId="166" fontId="11" fillId="0" borderId="8" xfId="0" applyNumberFormat="1" applyFont="1" applyBorder="1" applyAlignment="1">
      <alignment vertical="top" shrinkToFit="1"/>
    </xf>
    <xf numFmtId="166" fontId="11" fillId="0" borderId="1" xfId="0" applyNumberFormat="1" applyFont="1" applyBorder="1" applyAlignment="1">
      <alignment vertical="top" shrinkToFit="1"/>
    </xf>
    <xf numFmtId="166" fontId="11" fillId="0" borderId="6" xfId="0" applyNumberFormat="1" applyFont="1" applyBorder="1" applyAlignment="1">
      <alignment vertical="top" shrinkToFit="1"/>
    </xf>
    <xf numFmtId="2" fontId="11" fillId="0" borderId="1" xfId="0" applyNumberFormat="1" applyFont="1" applyBorder="1" applyAlignment="1">
      <alignment vertical="top" shrinkToFit="1"/>
    </xf>
    <xf numFmtId="2" fontId="11" fillId="0" borderId="6" xfId="0" applyNumberFormat="1" applyFont="1" applyBorder="1" applyAlignment="1">
      <alignment vertical="top" shrinkToFit="1"/>
    </xf>
    <xf numFmtId="2" fontId="11" fillId="0" borderId="8" xfId="0" applyNumberFormat="1" applyFont="1" applyBorder="1" applyAlignment="1">
      <alignment vertical="top" shrinkToFit="1"/>
    </xf>
    <xf numFmtId="165" fontId="6" fillId="2" borderId="6" xfId="0" applyNumberFormat="1" applyFont="1" applyFill="1" applyBorder="1" applyAlignment="1">
      <alignment vertical="top" shrinkToFit="1"/>
    </xf>
    <xf numFmtId="165" fontId="6" fillId="2" borderId="8" xfId="0" applyNumberFormat="1" applyFont="1" applyFill="1" applyBorder="1" applyAlignment="1">
      <alignment vertical="top" shrinkToFit="1"/>
    </xf>
    <xf numFmtId="0" fontId="5" fillId="4" borderId="15" xfId="0" applyFont="1" applyFill="1" applyBorder="1" applyAlignment="1">
      <alignment horizontal="left" vertical="top"/>
    </xf>
    <xf numFmtId="1" fontId="6" fillId="4" borderId="16" xfId="0" applyNumberFormat="1" applyFont="1" applyFill="1" applyBorder="1" applyAlignment="1">
      <alignment horizontal="left" vertical="top" shrinkToFit="1"/>
    </xf>
    <xf numFmtId="0" fontId="6" fillId="4" borderId="30" xfId="0" applyFont="1" applyFill="1" applyBorder="1" applyAlignment="1">
      <alignment horizontal="left" vertical="top"/>
    </xf>
    <xf numFmtId="1" fontId="5" fillId="4" borderId="31" xfId="0" applyNumberFormat="1" applyFont="1" applyFill="1" applyBorder="1" applyAlignment="1">
      <alignment horizontal="left" vertical="top" shrinkToFit="1"/>
    </xf>
    <xf numFmtId="1" fontId="4" fillId="0" borderId="6" xfId="0" applyNumberFormat="1" applyFont="1" applyBorder="1" applyAlignment="1">
      <alignment horizontal="left" vertical="top" wrapText="1" shrinkToFit="1"/>
    </xf>
    <xf numFmtId="1" fontId="4" fillId="0" borderId="8" xfId="0" applyNumberFormat="1" applyFont="1" applyBorder="1" applyAlignment="1">
      <alignment horizontal="left" vertical="top" wrapText="1" shrinkToFit="1"/>
    </xf>
    <xf numFmtId="0" fontId="5" fillId="4" borderId="26" xfId="0" applyFont="1" applyFill="1" applyBorder="1" applyAlignment="1">
      <alignment vertical="top"/>
    </xf>
    <xf numFmtId="0" fontId="5" fillId="4" borderId="16" xfId="0" applyFont="1" applyFill="1" applyBorder="1" applyAlignment="1">
      <alignment vertical="top"/>
    </xf>
    <xf numFmtId="0" fontId="5" fillId="4" borderId="17" xfId="0" applyFont="1" applyFill="1" applyBorder="1" applyAlignment="1">
      <alignment vertical="top"/>
    </xf>
    <xf numFmtId="0" fontId="5" fillId="0" borderId="1" xfId="0" applyFont="1" applyBorder="1" applyAlignment="1">
      <alignment horizontal="left" wrapText="1"/>
    </xf>
    <xf numFmtId="166" fontId="11" fillId="0" borderId="10" xfId="0" applyNumberFormat="1" applyFont="1" applyBorder="1" applyAlignment="1">
      <alignment horizontal="right" vertical="top" shrinkToFit="1"/>
    </xf>
    <xf numFmtId="167" fontId="5" fillId="0" borderId="8" xfId="0" applyNumberFormat="1" applyFont="1" applyBorder="1" applyAlignment="1">
      <alignment horizontal="right" vertical="top" shrinkToFit="1"/>
    </xf>
    <xf numFmtId="165" fontId="6" fillId="2" borderId="7" xfId="0" applyNumberFormat="1" applyFont="1" applyFill="1" applyBorder="1" applyAlignment="1">
      <alignment vertical="top" shrinkToFit="1"/>
    </xf>
    <xf numFmtId="166" fontId="11" fillId="0" borderId="2" xfId="0" applyNumberFormat="1" applyFont="1" applyBorder="1" applyAlignment="1">
      <alignment horizontal="right" vertical="top" shrinkToFit="1"/>
    </xf>
    <xf numFmtId="0" fontId="12" fillId="4" borderId="21" xfId="0" applyFont="1" applyFill="1" applyBorder="1" applyAlignment="1">
      <alignment vertical="top"/>
    </xf>
    <xf numFmtId="0" fontId="11" fillId="4" borderId="22" xfId="0" applyFont="1" applyFill="1" applyBorder="1" applyAlignment="1">
      <alignment vertical="top" wrapText="1"/>
    </xf>
    <xf numFmtId="166" fontId="11" fillId="0" borderId="3" xfId="0" applyNumberFormat="1" applyFont="1" applyBorder="1" applyAlignment="1">
      <alignment horizontal="right" vertical="top" shrinkToFit="1"/>
    </xf>
    <xf numFmtId="0" fontId="2" fillId="4" borderId="21" xfId="0" applyFont="1" applyFill="1" applyBorder="1" applyAlignment="1">
      <alignment vertical="top"/>
    </xf>
    <xf numFmtId="0" fontId="2" fillId="4" borderId="22" xfId="0" applyFont="1" applyFill="1" applyBorder="1" applyAlignment="1">
      <alignment vertical="top"/>
    </xf>
    <xf numFmtId="0" fontId="2" fillId="4" borderId="21" xfId="0" applyFont="1" applyFill="1" applyBorder="1" applyAlignment="1">
      <alignment vertical="center"/>
    </xf>
    <xf numFmtId="0" fontId="2" fillId="4" borderId="22" xfId="0" applyFont="1" applyFill="1" applyBorder="1" applyAlignment="1">
      <alignment vertical="center" wrapText="1"/>
    </xf>
    <xf numFmtId="0" fontId="5" fillId="4" borderId="0" xfId="0" applyFont="1" applyFill="1" applyAlignment="1">
      <alignment vertical="top" wrapText="1"/>
    </xf>
    <xf numFmtId="0" fontId="5" fillId="4" borderId="19" xfId="0" applyFont="1" applyFill="1" applyBorder="1" applyAlignment="1">
      <alignment vertical="top" wrapText="1"/>
    </xf>
    <xf numFmtId="0" fontId="2" fillId="4" borderId="30" xfId="0" applyFont="1" applyFill="1" applyBorder="1" applyAlignment="1">
      <alignment vertical="center"/>
    </xf>
    <xf numFmtId="0" fontId="2" fillId="4" borderId="31" xfId="0" applyFont="1" applyFill="1" applyBorder="1" applyAlignment="1">
      <alignment vertical="center"/>
    </xf>
    <xf numFmtId="0" fontId="12" fillId="4" borderId="22" xfId="0" applyFont="1" applyFill="1" applyBorder="1" applyAlignment="1">
      <alignment vertical="top"/>
    </xf>
    <xf numFmtId="167" fontId="5" fillId="0" borderId="6" xfId="0" applyNumberFormat="1" applyFont="1" applyBorder="1" applyAlignment="1">
      <alignment horizontal="right" vertical="top" shrinkToFit="1"/>
    </xf>
    <xf numFmtId="0" fontId="4" fillId="4" borderId="21" xfId="0" applyFont="1" applyFill="1" applyBorder="1" applyAlignment="1">
      <alignment vertical="top"/>
    </xf>
    <xf numFmtId="0" fontId="4" fillId="4" borderId="22" xfId="0" applyFont="1" applyFill="1" applyBorder="1" applyAlignment="1">
      <alignment vertical="top"/>
    </xf>
    <xf numFmtId="0" fontId="4" fillId="4" borderId="21" xfId="0" applyFont="1" applyFill="1" applyBorder="1" applyAlignment="1">
      <alignment vertical="center"/>
    </xf>
    <xf numFmtId="0" fontId="4" fillId="4" borderId="22" xfId="0" applyFont="1" applyFill="1" applyBorder="1" applyAlignment="1">
      <alignment vertical="center"/>
    </xf>
    <xf numFmtId="0" fontId="2" fillId="4" borderId="22" xfId="0" applyFont="1" applyFill="1" applyBorder="1" applyAlignment="1">
      <alignment vertical="top" wrapText="1"/>
    </xf>
    <xf numFmtId="0" fontId="2" fillId="4" borderId="18" xfId="0" applyFont="1" applyFill="1" applyBorder="1" applyAlignment="1">
      <alignment vertical="top"/>
    </xf>
    <xf numFmtId="0" fontId="5" fillId="4" borderId="19" xfId="0" applyFont="1" applyFill="1" applyBorder="1" applyAlignment="1">
      <alignment horizontal="left" vertical="top"/>
    </xf>
    <xf numFmtId="0" fontId="5" fillId="0" borderId="10" xfId="0" applyFont="1" applyBorder="1" applyAlignment="1">
      <alignment vertical="top" wrapText="1"/>
    </xf>
    <xf numFmtId="0" fontId="4" fillId="0" borderId="10" xfId="0" applyFont="1" applyBorder="1" applyAlignment="1">
      <alignment vertical="top" wrapText="1"/>
    </xf>
    <xf numFmtId="0" fontId="4" fillId="0" borderId="10" xfId="0" applyFont="1" applyBorder="1" applyAlignment="1">
      <alignment vertical="center" wrapText="1"/>
    </xf>
    <xf numFmtId="0" fontId="4" fillId="0" borderId="3" xfId="0" applyFont="1" applyBorder="1" applyAlignment="1">
      <alignment vertical="top" wrapText="1"/>
    </xf>
    <xf numFmtId="1" fontId="5" fillId="0" borderId="33" xfId="0" applyNumberFormat="1" applyFont="1" applyBorder="1" applyAlignment="1">
      <alignment horizontal="left" vertical="top" shrinkToFit="1"/>
    </xf>
    <xf numFmtId="0" fontId="4" fillId="0" borderId="33" xfId="0" applyFont="1" applyBorder="1" applyAlignment="1">
      <alignment vertical="top" wrapText="1"/>
    </xf>
    <xf numFmtId="2" fontId="5" fillId="0" borderId="33" xfId="0" applyNumberFormat="1" applyFont="1" applyBorder="1" applyAlignment="1">
      <alignment horizontal="right" vertical="top" shrinkToFit="1"/>
    </xf>
    <xf numFmtId="0" fontId="5" fillId="4" borderId="19" xfId="0" applyFont="1" applyFill="1" applyBorder="1" applyAlignment="1">
      <alignment vertical="top"/>
    </xf>
    <xf numFmtId="0" fontId="5" fillId="4" borderId="16" xfId="0" applyFont="1" applyFill="1" applyBorder="1" applyAlignment="1">
      <alignment horizontal="left" vertical="top"/>
    </xf>
    <xf numFmtId="0" fontId="6" fillId="4" borderId="22" xfId="0" applyFont="1" applyFill="1" applyBorder="1" applyAlignment="1">
      <alignment horizontal="left" vertical="top"/>
    </xf>
    <xf numFmtId="0" fontId="4" fillId="0" borderId="0" xfId="0" applyFont="1" applyAlignment="1">
      <alignment vertical="center"/>
    </xf>
    <xf numFmtId="1" fontId="5" fillId="0" borderId="14" xfId="0" applyNumberFormat="1" applyFont="1" applyBorder="1" applyAlignment="1">
      <alignment horizontal="left" vertical="top" shrinkToFit="1"/>
    </xf>
    <xf numFmtId="2" fontId="5" fillId="0" borderId="14" xfId="0" applyNumberFormat="1" applyFont="1" applyBorder="1" applyAlignment="1">
      <alignment horizontal="right" vertical="top" shrinkToFit="1"/>
    </xf>
    <xf numFmtId="165" fontId="6" fillId="2" borderId="33" xfId="0" applyNumberFormat="1" applyFont="1" applyFill="1" applyBorder="1" applyAlignment="1">
      <alignment vertical="top" shrinkToFit="1"/>
    </xf>
    <xf numFmtId="0" fontId="2" fillId="4" borderId="15" xfId="0" applyFont="1" applyFill="1" applyBorder="1" applyAlignment="1">
      <alignment vertical="center"/>
    </xf>
    <xf numFmtId="0" fontId="4" fillId="0" borderId="10" xfId="0" applyFont="1" applyBorder="1" applyAlignment="1">
      <alignment vertical="center"/>
    </xf>
    <xf numFmtId="1" fontId="5" fillId="0" borderId="1" xfId="0" applyNumberFormat="1" applyFont="1" applyBorder="1" applyAlignment="1">
      <alignment horizontal="left" vertical="center" shrinkToFit="1"/>
    </xf>
    <xf numFmtId="2" fontId="5" fillId="0" borderId="6" xfId="0" applyNumberFormat="1" applyFont="1" applyBorder="1" applyAlignment="1">
      <alignment horizontal="right" vertical="center" shrinkToFit="1"/>
    </xf>
    <xf numFmtId="165" fontId="6" fillId="2" borderId="33" xfId="0" applyNumberFormat="1" applyFont="1" applyFill="1" applyBorder="1" applyAlignment="1">
      <alignment horizontal="right" vertical="center" shrinkToFit="1"/>
    </xf>
    <xf numFmtId="0" fontId="5" fillId="0" borderId="1" xfId="0" applyFont="1" applyBorder="1" applyAlignment="1">
      <alignment horizontal="left" vertical="top" wrapText="1"/>
    </xf>
    <xf numFmtId="0" fontId="5" fillId="2" borderId="5" xfId="0" applyFont="1" applyFill="1" applyBorder="1" applyAlignment="1">
      <alignment horizontal="left" vertical="top" wrapText="1"/>
    </xf>
    <xf numFmtId="0" fontId="5" fillId="2" borderId="9" xfId="0" applyFont="1" applyFill="1" applyBorder="1" applyAlignment="1">
      <alignment horizontal="left" wrapText="1"/>
    </xf>
    <xf numFmtId="0" fontId="4" fillId="0" borderId="1" xfId="0" applyFont="1" applyBorder="1" applyAlignment="1">
      <alignment horizontal="left" vertical="center" wrapText="1"/>
    </xf>
    <xf numFmtId="0" fontId="4" fillId="0" borderId="0" xfId="0" applyFont="1" applyAlignment="1">
      <alignment vertical="top" wrapText="1"/>
    </xf>
    <xf numFmtId="0" fontId="2" fillId="4" borderId="15" xfId="0" applyFont="1" applyFill="1" applyBorder="1" applyAlignment="1">
      <alignment vertical="top"/>
    </xf>
    <xf numFmtId="0" fontId="5" fillId="4" borderId="22" xfId="0" applyFont="1" applyFill="1" applyBorder="1" applyAlignment="1">
      <alignment horizontal="left" vertical="top" wrapText="1"/>
    </xf>
    <xf numFmtId="0" fontId="4" fillId="0" borderId="1" xfId="0" applyFont="1" applyBorder="1" applyAlignment="1">
      <alignment horizontal="left" vertical="top"/>
    </xf>
    <xf numFmtId="0" fontId="4" fillId="0" borderId="8" xfId="0" applyFont="1" applyBorder="1" applyAlignment="1">
      <alignment horizontal="left" vertical="top"/>
    </xf>
    <xf numFmtId="1" fontId="5" fillId="0" borderId="6" xfId="0" applyNumberFormat="1" applyFont="1" applyBorder="1" applyAlignment="1">
      <alignment horizontal="left" vertical="center" shrinkToFit="1"/>
    </xf>
    <xf numFmtId="0" fontId="6" fillId="4" borderId="22" xfId="0" applyFont="1" applyFill="1" applyBorder="1" applyAlignment="1">
      <alignment horizontal="left" wrapText="1"/>
    </xf>
    <xf numFmtId="0" fontId="4" fillId="0" borderId="6" xfId="0" applyFont="1" applyBorder="1" applyAlignment="1">
      <alignment horizontal="left" vertical="top"/>
    </xf>
    <xf numFmtId="0" fontId="4" fillId="4" borderId="23" xfId="0" applyFont="1" applyFill="1" applyBorder="1" applyAlignment="1">
      <alignment vertical="top" wrapText="1"/>
    </xf>
    <xf numFmtId="0" fontId="2" fillId="4" borderId="23" xfId="0" applyFont="1" applyFill="1" applyBorder="1" applyAlignment="1">
      <alignment vertical="top" wrapText="1"/>
    </xf>
    <xf numFmtId="0" fontId="4" fillId="0" borderId="10" xfId="0" applyFont="1" applyBorder="1" applyAlignment="1">
      <alignment horizontal="left" vertical="top" wrapText="1"/>
    </xf>
    <xf numFmtId="0" fontId="4" fillId="0" borderId="10" xfId="0" applyFont="1" applyBorder="1" applyAlignment="1">
      <alignment horizontal="left" vertical="center" wrapText="1"/>
    </xf>
    <xf numFmtId="0" fontId="4" fillId="0" borderId="10" xfId="0" applyFont="1" applyBorder="1" applyAlignment="1">
      <alignment vertical="top"/>
    </xf>
    <xf numFmtId="0" fontId="5" fillId="0" borderId="10" xfId="0" applyFont="1" applyBorder="1" applyAlignment="1">
      <alignment vertical="top"/>
    </xf>
    <xf numFmtId="0" fontId="5" fillId="0" borderId="0" xfId="0" applyFont="1" applyAlignment="1">
      <alignment vertical="center" wrapText="1"/>
    </xf>
    <xf numFmtId="0" fontId="4" fillId="0" borderId="3" xfId="0" applyFont="1" applyBorder="1" applyAlignment="1">
      <alignment vertical="top"/>
    </xf>
    <xf numFmtId="0" fontId="4" fillId="0" borderId="2" xfId="0" applyFont="1" applyBorder="1" applyAlignment="1">
      <alignment vertical="top"/>
    </xf>
    <xf numFmtId="0" fontId="4" fillId="0" borderId="14" xfId="0" applyFont="1" applyBorder="1" applyAlignment="1">
      <alignment vertical="top"/>
    </xf>
    <xf numFmtId="0" fontId="5" fillId="4" borderId="0" xfId="0" applyFont="1" applyFill="1" applyAlignment="1">
      <alignment horizontal="left" vertical="top" wrapText="1"/>
    </xf>
    <xf numFmtId="0" fontId="5" fillId="0" borderId="3" xfId="0" applyFont="1" applyBorder="1" applyAlignment="1">
      <alignment vertical="top"/>
    </xf>
    <xf numFmtId="2" fontId="5" fillId="4" borderId="12" xfId="0" applyNumberFormat="1" applyFont="1" applyFill="1" applyBorder="1" applyAlignment="1">
      <alignment horizontal="right" vertical="top" shrinkToFit="1"/>
    </xf>
    <xf numFmtId="2" fontId="5" fillId="4" borderId="0" xfId="0" applyNumberFormat="1" applyFont="1" applyFill="1" applyAlignment="1">
      <alignment horizontal="right" vertical="top" shrinkToFit="1"/>
    </xf>
    <xf numFmtId="2" fontId="5" fillId="4" borderId="22" xfId="0" applyNumberFormat="1" applyFont="1" applyFill="1" applyBorder="1" applyAlignment="1">
      <alignment horizontal="right" vertical="top" shrinkToFit="1"/>
    </xf>
    <xf numFmtId="2" fontId="5" fillId="0" borderId="7" xfId="0" applyNumberFormat="1" applyFont="1" applyBorder="1" applyAlignment="1">
      <alignment horizontal="right" vertical="top" shrinkToFit="1"/>
    </xf>
    <xf numFmtId="165" fontId="6" fillId="2" borderId="34" xfId="0" applyNumberFormat="1" applyFont="1" applyFill="1" applyBorder="1" applyAlignment="1">
      <alignment horizontal="right" vertical="center" shrinkToFit="1"/>
    </xf>
    <xf numFmtId="2" fontId="5" fillId="0" borderId="12" xfId="0" applyNumberFormat="1" applyFont="1" applyBorder="1" applyAlignment="1">
      <alignment horizontal="right" vertical="top" shrinkToFit="1"/>
    </xf>
    <xf numFmtId="0" fontId="5" fillId="4" borderId="19" xfId="0" applyFont="1" applyFill="1" applyBorder="1" applyAlignment="1">
      <alignment horizontal="left" wrapText="1"/>
    </xf>
    <xf numFmtId="0" fontId="4" fillId="4" borderId="15" xfId="0" applyFont="1" applyFill="1" applyBorder="1" applyAlignment="1">
      <alignment vertical="top"/>
    </xf>
    <xf numFmtId="0" fontId="4" fillId="4" borderId="16" xfId="0" applyFont="1" applyFill="1" applyBorder="1" applyAlignment="1">
      <alignment vertical="top"/>
    </xf>
    <xf numFmtId="2" fontId="5" fillId="0" borderId="34" xfId="0" applyNumberFormat="1" applyFont="1" applyBorder="1" applyAlignment="1">
      <alignment horizontal="right" vertical="top" shrinkToFit="1"/>
    </xf>
    <xf numFmtId="1" fontId="5" fillId="0" borderId="7" xfId="0" applyNumberFormat="1" applyFont="1" applyBorder="1" applyAlignment="1">
      <alignment horizontal="left" vertical="top" shrinkToFit="1"/>
    </xf>
    <xf numFmtId="0" fontId="4" fillId="0" borderId="4" xfId="0" applyFont="1" applyBorder="1" applyAlignment="1">
      <alignment vertical="top"/>
    </xf>
    <xf numFmtId="0" fontId="4" fillId="0" borderId="33" xfId="0" applyFont="1" applyBorder="1" applyAlignment="1">
      <alignment vertical="top"/>
    </xf>
    <xf numFmtId="2" fontId="5" fillId="4" borderId="31" xfId="0" applyNumberFormat="1" applyFont="1" applyFill="1" applyBorder="1" applyAlignment="1">
      <alignment horizontal="right" vertical="top" shrinkToFit="1"/>
    </xf>
    <xf numFmtId="0" fontId="5" fillId="0" borderId="19" xfId="0" applyFont="1" applyBorder="1" applyAlignment="1">
      <alignment vertical="top"/>
    </xf>
    <xf numFmtId="0" fontId="5" fillId="0" borderId="15" xfId="0" applyFont="1" applyBorder="1" applyAlignment="1">
      <alignment horizontal="left" vertical="top"/>
    </xf>
    <xf numFmtId="0" fontId="5" fillId="0" borderId="16" xfId="0" applyFont="1" applyBorder="1" applyAlignment="1">
      <alignment horizontal="left" vertical="top"/>
    </xf>
    <xf numFmtId="0" fontId="5" fillId="0" borderId="16" xfId="0" applyFont="1" applyBorder="1" applyAlignment="1">
      <alignment vertical="top"/>
    </xf>
    <xf numFmtId="0" fontId="4" fillId="0" borderId="35" xfId="0" applyFont="1" applyBorder="1" applyAlignment="1">
      <alignment vertical="top"/>
    </xf>
    <xf numFmtId="0" fontId="4" fillId="0" borderId="37" xfId="0" applyFont="1" applyBorder="1" applyAlignment="1">
      <alignment vertical="top"/>
    </xf>
    <xf numFmtId="0" fontId="4" fillId="0" borderId="37" xfId="0" applyFont="1" applyBorder="1" applyAlignment="1">
      <alignment horizontal="left" vertical="top"/>
    </xf>
    <xf numFmtId="0" fontId="4" fillId="0" borderId="39" xfId="0" applyFont="1" applyBorder="1" applyAlignment="1">
      <alignment vertical="top"/>
    </xf>
    <xf numFmtId="0" fontId="4" fillId="0" borderId="40" xfId="0" applyFont="1" applyBorder="1" applyAlignment="1">
      <alignment vertical="top"/>
    </xf>
    <xf numFmtId="0" fontId="5" fillId="0" borderId="40" xfId="0" applyFont="1" applyBorder="1"/>
    <xf numFmtId="0" fontId="4" fillId="0" borderId="42" xfId="0" applyFont="1" applyBorder="1" applyAlignment="1">
      <alignment vertical="top"/>
    </xf>
    <xf numFmtId="0" fontId="5" fillId="0" borderId="42" xfId="0" applyFont="1" applyBorder="1" applyAlignment="1">
      <alignment vertical="top"/>
    </xf>
    <xf numFmtId="0" fontId="5" fillId="0" borderId="42" xfId="0" applyFont="1" applyBorder="1"/>
    <xf numFmtId="0" fontId="4" fillId="0" borderId="43" xfId="0" applyFont="1" applyBorder="1" applyAlignment="1">
      <alignment vertical="top"/>
    </xf>
    <xf numFmtId="0" fontId="5" fillId="0" borderId="43" xfId="0" applyFont="1" applyBorder="1" applyAlignment="1">
      <alignment vertical="top"/>
    </xf>
    <xf numFmtId="0" fontId="5" fillId="0" borderId="38" xfId="0" applyFont="1" applyBorder="1" applyAlignment="1">
      <alignment vertical="top"/>
    </xf>
    <xf numFmtId="0" fontId="5" fillId="0" borderId="41" xfId="0" applyFont="1" applyBorder="1" applyAlignment="1">
      <alignment vertical="top"/>
    </xf>
    <xf numFmtId="0" fontId="5" fillId="0" borderId="44" xfId="0" applyFont="1" applyBorder="1" applyAlignment="1">
      <alignment vertical="top"/>
    </xf>
    <xf numFmtId="0" fontId="5" fillId="0" borderId="19" xfId="0" applyFont="1" applyBorder="1" applyAlignment="1">
      <alignment horizontal="left" vertical="top"/>
    </xf>
    <xf numFmtId="0" fontId="4" fillId="4" borderId="16" xfId="0" applyFont="1" applyFill="1" applyBorder="1" applyAlignment="1">
      <alignment vertical="top" wrapText="1"/>
    </xf>
    <xf numFmtId="0" fontId="5" fillId="4" borderId="22" xfId="0" applyFont="1" applyFill="1" applyBorder="1" applyAlignment="1">
      <alignment vertical="top" wrapText="1"/>
    </xf>
    <xf numFmtId="0" fontId="4" fillId="4" borderId="0" xfId="0" applyFont="1" applyFill="1" applyAlignment="1">
      <alignment vertical="top" wrapText="1"/>
    </xf>
    <xf numFmtId="0" fontId="5" fillId="0" borderId="42" xfId="0" applyFont="1" applyBorder="1" applyAlignment="1">
      <alignment horizontal="left" vertical="top"/>
    </xf>
    <xf numFmtId="0" fontId="5" fillId="0" borderId="47" xfId="0" applyFont="1" applyBorder="1" applyAlignment="1">
      <alignment horizontal="left" vertical="top"/>
    </xf>
    <xf numFmtId="0" fontId="5" fillId="0" borderId="47" xfId="0" applyFont="1" applyBorder="1" applyAlignment="1">
      <alignment vertical="top"/>
    </xf>
    <xf numFmtId="0" fontId="5" fillId="0" borderId="46" xfId="0" applyFont="1" applyBorder="1" applyAlignment="1">
      <alignment horizontal="left" vertical="top"/>
    </xf>
    <xf numFmtId="1" fontId="5" fillId="0" borderId="28" xfId="0" applyNumberFormat="1" applyFont="1" applyBorder="1" applyAlignment="1">
      <alignment horizontal="left" vertical="top" shrinkToFit="1"/>
    </xf>
    <xf numFmtId="0" fontId="4" fillId="4" borderId="22" xfId="0" applyFont="1" applyFill="1" applyBorder="1" applyAlignment="1">
      <alignment vertical="top" wrapText="1"/>
    </xf>
    <xf numFmtId="0" fontId="4" fillId="0" borderId="34" xfId="0" applyFont="1" applyBorder="1" applyAlignment="1">
      <alignment vertical="top"/>
    </xf>
    <xf numFmtId="1" fontId="5" fillId="0" borderId="34" xfId="0" applyNumberFormat="1" applyFont="1" applyBorder="1" applyAlignment="1">
      <alignment horizontal="left" vertical="top" shrinkToFit="1"/>
    </xf>
    <xf numFmtId="0" fontId="5" fillId="0" borderId="18" xfId="0" applyFont="1" applyBorder="1" applyAlignment="1">
      <alignment vertical="top"/>
    </xf>
    <xf numFmtId="0" fontId="4" fillId="0" borderId="48" xfId="0" applyFont="1" applyBorder="1" applyAlignment="1">
      <alignment vertical="top"/>
    </xf>
    <xf numFmtId="0" fontId="4" fillId="0" borderId="49" xfId="0" applyFont="1" applyBorder="1" applyAlignment="1">
      <alignment vertical="top"/>
    </xf>
    <xf numFmtId="0" fontId="5" fillId="0" borderId="44" xfId="0" applyFont="1" applyBorder="1" applyAlignment="1">
      <alignment horizontal="left" vertical="top"/>
    </xf>
    <xf numFmtId="0" fontId="5" fillId="4" borderId="22" xfId="0" applyFont="1" applyFill="1" applyBorder="1" applyAlignment="1">
      <alignment wrapText="1"/>
    </xf>
    <xf numFmtId="0" fontId="5" fillId="4" borderId="22" xfId="0" applyFont="1" applyFill="1" applyBorder="1" applyAlignment="1">
      <alignment vertical="center" wrapText="1"/>
    </xf>
    <xf numFmtId="0" fontId="4" fillId="4" borderId="19" xfId="0" applyFont="1" applyFill="1" applyBorder="1" applyAlignment="1">
      <alignment vertical="top" wrapText="1"/>
    </xf>
    <xf numFmtId="0" fontId="5" fillId="0" borderId="50" xfId="0" applyFont="1" applyBorder="1" applyAlignment="1">
      <alignment horizontal="left" vertical="top"/>
    </xf>
    <xf numFmtId="0" fontId="5" fillId="0" borderId="43" xfId="0" applyFont="1" applyBorder="1" applyAlignment="1">
      <alignment horizontal="left" vertical="top"/>
    </xf>
    <xf numFmtId="0" fontId="5" fillId="0" borderId="51" xfId="0" applyFont="1" applyBorder="1" applyAlignment="1">
      <alignment horizontal="left" vertical="top"/>
    </xf>
    <xf numFmtId="0" fontId="6" fillId="0" borderId="50" xfId="0" applyFont="1" applyBorder="1" applyAlignment="1">
      <alignment horizontal="left" vertical="top"/>
    </xf>
    <xf numFmtId="1" fontId="5" fillId="0" borderId="52" xfId="0" applyNumberFormat="1" applyFont="1" applyBorder="1" applyAlignment="1">
      <alignment horizontal="left" vertical="top" shrinkToFit="1"/>
    </xf>
    <xf numFmtId="0" fontId="4" fillId="0" borderId="53" xfId="0" applyFont="1" applyBorder="1" applyAlignment="1">
      <alignment vertical="top"/>
    </xf>
    <xf numFmtId="2" fontId="5" fillId="0" borderId="36" xfId="0" applyNumberFormat="1" applyFont="1" applyBorder="1" applyAlignment="1">
      <alignment horizontal="right" vertical="top" shrinkToFit="1"/>
    </xf>
    <xf numFmtId="165" fontId="6" fillId="2" borderId="45" xfId="0" applyNumberFormat="1" applyFont="1" applyFill="1" applyBorder="1" applyAlignment="1">
      <alignment horizontal="right" vertical="center" shrinkToFit="1"/>
    </xf>
    <xf numFmtId="1" fontId="5" fillId="0" borderId="55" xfId="0" applyNumberFormat="1" applyFont="1" applyBorder="1" applyAlignment="1">
      <alignment horizontal="left" vertical="top" shrinkToFit="1"/>
    </xf>
    <xf numFmtId="1" fontId="5" fillId="0" borderId="56" xfId="0" applyNumberFormat="1" applyFont="1" applyBorder="1" applyAlignment="1">
      <alignment horizontal="left" vertical="top" shrinkToFit="1"/>
    </xf>
    <xf numFmtId="1" fontId="5" fillId="0" borderId="58" xfId="0" applyNumberFormat="1" applyFont="1" applyBorder="1" applyAlignment="1">
      <alignment horizontal="left" vertical="top" shrinkToFit="1"/>
    </xf>
    <xf numFmtId="2" fontId="5" fillId="0" borderId="28" xfId="0" applyNumberFormat="1" applyFont="1" applyBorder="1" applyAlignment="1">
      <alignment horizontal="right" vertical="top" shrinkToFit="1"/>
    </xf>
    <xf numFmtId="165" fontId="6" fillId="2" borderId="31" xfId="0" applyNumberFormat="1" applyFont="1" applyFill="1" applyBorder="1" applyAlignment="1">
      <alignment horizontal="right" vertical="center" shrinkToFit="1"/>
    </xf>
    <xf numFmtId="2" fontId="5" fillId="0" borderId="33" xfId="0" applyNumberFormat="1" applyFont="1" applyBorder="1" applyAlignment="1">
      <alignment horizontal="left" vertical="top" shrinkToFit="1"/>
    </xf>
    <xf numFmtId="0" fontId="6" fillId="0" borderId="25" xfId="0" applyFont="1" applyBorder="1" applyAlignment="1">
      <alignment horizontal="left" vertical="top"/>
    </xf>
    <xf numFmtId="0" fontId="5" fillId="4" borderId="22" xfId="0" applyFont="1" applyFill="1" applyBorder="1" applyAlignment="1">
      <alignment horizontal="left" vertical="center" wrapText="1"/>
    </xf>
    <xf numFmtId="0" fontId="4" fillId="4" borderId="18" xfId="0" applyFont="1" applyFill="1" applyBorder="1" applyAlignment="1">
      <alignment vertical="center"/>
    </xf>
    <xf numFmtId="0" fontId="4" fillId="4" borderId="19" xfId="0" applyFont="1" applyFill="1" applyBorder="1" applyAlignment="1">
      <alignment vertical="center"/>
    </xf>
    <xf numFmtId="2" fontId="5" fillId="4" borderId="19" xfId="0" applyNumberFormat="1" applyFont="1" applyFill="1" applyBorder="1" applyAlignment="1">
      <alignment horizontal="right" vertical="top" shrinkToFit="1"/>
    </xf>
    <xf numFmtId="2" fontId="5" fillId="4" borderId="16" xfId="0" applyNumberFormat="1" applyFont="1" applyFill="1" applyBorder="1" applyAlignment="1">
      <alignment horizontal="right" vertical="top" shrinkToFit="1"/>
    </xf>
    <xf numFmtId="1" fontId="5" fillId="0" borderId="59" xfId="0" applyNumberFormat="1" applyFont="1" applyBorder="1" applyAlignment="1">
      <alignment horizontal="left" vertical="top" shrinkToFit="1"/>
    </xf>
    <xf numFmtId="165" fontId="6" fillId="2" borderId="61" xfId="0" applyNumberFormat="1" applyFont="1" applyFill="1" applyBorder="1" applyAlignment="1">
      <alignment horizontal="right" vertical="center" shrinkToFit="1"/>
    </xf>
    <xf numFmtId="1" fontId="5" fillId="0" borderId="62" xfId="0" applyNumberFormat="1" applyFont="1" applyBorder="1" applyAlignment="1">
      <alignment horizontal="left" vertical="top" shrinkToFit="1"/>
    </xf>
    <xf numFmtId="0" fontId="4" fillId="0" borderId="63" xfId="0" applyFont="1" applyBorder="1" applyAlignment="1">
      <alignment vertical="top" wrapText="1"/>
    </xf>
    <xf numFmtId="2" fontId="5" fillId="0" borderId="64" xfId="0" applyNumberFormat="1" applyFont="1" applyBorder="1" applyAlignment="1">
      <alignment horizontal="right" vertical="top" shrinkToFit="1"/>
    </xf>
    <xf numFmtId="165" fontId="6" fillId="2" borderId="64" xfId="0" applyNumberFormat="1" applyFont="1" applyFill="1" applyBorder="1" applyAlignment="1">
      <alignment horizontal="right" vertical="center" shrinkToFit="1"/>
    </xf>
    <xf numFmtId="0" fontId="2" fillId="0" borderId="0" xfId="0" applyFont="1" applyAlignment="1">
      <alignment vertical="center"/>
    </xf>
    <xf numFmtId="0" fontId="4" fillId="0" borderId="34" xfId="0" applyFont="1" applyBorder="1" applyAlignment="1">
      <alignment vertical="center"/>
    </xf>
    <xf numFmtId="0" fontId="5" fillId="0" borderId="34" xfId="0" applyFont="1" applyBorder="1" applyAlignment="1">
      <alignment vertical="top"/>
    </xf>
    <xf numFmtId="2" fontId="6" fillId="4" borderId="22" xfId="0" applyNumberFormat="1" applyFont="1" applyFill="1" applyBorder="1" applyAlignment="1">
      <alignment horizontal="right" vertical="top" shrinkToFit="1"/>
    </xf>
    <xf numFmtId="164" fontId="3" fillId="2" borderId="46" xfId="0" applyNumberFormat="1" applyFont="1" applyFill="1" applyBorder="1" applyAlignment="1">
      <alignment horizontal="right" vertical="center" shrinkToFit="1"/>
    </xf>
    <xf numFmtId="0" fontId="4" fillId="4" borderId="22" xfId="0" applyFont="1" applyFill="1" applyBorder="1" applyAlignment="1">
      <alignment vertical="center" wrapText="1"/>
    </xf>
    <xf numFmtId="0" fontId="5" fillId="4" borderId="27" xfId="0" applyFont="1" applyFill="1" applyBorder="1" applyAlignment="1">
      <alignment horizontal="left" vertical="center" wrapText="1"/>
    </xf>
    <xf numFmtId="0" fontId="4" fillId="4" borderId="0" xfId="0" applyFont="1" applyFill="1" applyAlignment="1">
      <alignment vertical="center" wrapText="1"/>
    </xf>
    <xf numFmtId="0" fontId="4" fillId="4" borderId="27" xfId="0" applyFont="1" applyFill="1" applyBorder="1" applyAlignment="1">
      <alignment vertical="top" wrapText="1"/>
    </xf>
    <xf numFmtId="0" fontId="4" fillId="0" borderId="5" xfId="0" applyFont="1" applyBorder="1" applyAlignment="1">
      <alignment vertical="top" wrapText="1"/>
    </xf>
    <xf numFmtId="0" fontId="5" fillId="4" borderId="19" xfId="0" applyFont="1" applyFill="1" applyBorder="1" applyAlignment="1">
      <alignment vertical="center" wrapText="1"/>
    </xf>
    <xf numFmtId="2" fontId="6" fillId="4" borderId="12" xfId="0" applyNumberFormat="1" applyFont="1" applyFill="1" applyBorder="1" applyAlignment="1">
      <alignment horizontal="right" vertical="top" shrinkToFit="1"/>
    </xf>
    <xf numFmtId="0" fontId="2" fillId="4" borderId="19" xfId="0" applyFont="1" applyFill="1" applyBorder="1" applyAlignment="1">
      <alignment vertical="top"/>
    </xf>
    <xf numFmtId="2" fontId="6" fillId="4" borderId="19" xfId="0" applyNumberFormat="1" applyFont="1" applyFill="1" applyBorder="1" applyAlignment="1">
      <alignment horizontal="right" vertical="top" shrinkToFit="1"/>
    </xf>
    <xf numFmtId="0" fontId="5" fillId="4" borderId="18" xfId="0" applyFont="1" applyFill="1" applyBorder="1" applyAlignment="1">
      <alignment vertical="top" wrapText="1"/>
    </xf>
    <xf numFmtId="1" fontId="5" fillId="0" borderId="65" xfId="0" applyNumberFormat="1" applyFont="1" applyBorder="1" applyAlignment="1">
      <alignment horizontal="left" vertical="top" shrinkToFit="1"/>
    </xf>
    <xf numFmtId="0" fontId="4" fillId="0" borderId="24" xfId="0" applyFont="1" applyBorder="1" applyAlignment="1">
      <alignment vertical="top"/>
    </xf>
    <xf numFmtId="1" fontId="5" fillId="0" borderId="66" xfId="0" applyNumberFormat="1" applyFont="1" applyBorder="1" applyAlignment="1">
      <alignment horizontal="left" vertical="top" shrinkToFit="1"/>
    </xf>
    <xf numFmtId="0" fontId="4" fillId="0" borderId="67" xfId="0" applyFont="1" applyBorder="1" applyAlignment="1">
      <alignment vertical="top"/>
    </xf>
    <xf numFmtId="2" fontId="5" fillId="0" borderId="68" xfId="0" applyNumberFormat="1" applyFont="1" applyBorder="1" applyAlignment="1">
      <alignment horizontal="right" vertical="top" shrinkToFit="1"/>
    </xf>
    <xf numFmtId="0" fontId="4" fillId="0" borderId="2" xfId="0" applyFont="1" applyBorder="1" applyAlignment="1">
      <alignment vertical="top" wrapText="1"/>
    </xf>
    <xf numFmtId="0" fontId="4" fillId="4" borderId="16" xfId="0" applyFont="1" applyFill="1" applyBorder="1" applyAlignment="1">
      <alignment vertical="center" wrapText="1"/>
    </xf>
    <xf numFmtId="0" fontId="4" fillId="4" borderId="22" xfId="0" applyFont="1" applyFill="1" applyBorder="1" applyAlignment="1">
      <alignment horizontal="left" vertical="top" wrapText="1"/>
    </xf>
    <xf numFmtId="0" fontId="4" fillId="0" borderId="4" xfId="0" applyFont="1" applyBorder="1" applyAlignment="1">
      <alignment vertical="top" wrapText="1"/>
    </xf>
    <xf numFmtId="0" fontId="4" fillId="0" borderId="3" xfId="0" applyFont="1" applyBorder="1" applyAlignment="1">
      <alignment horizontal="left" vertical="top" wrapText="1"/>
    </xf>
    <xf numFmtId="0" fontId="5" fillId="0" borderId="4" xfId="0" applyFont="1" applyBorder="1" applyAlignment="1">
      <alignment vertical="top" wrapText="1"/>
    </xf>
    <xf numFmtId="0" fontId="4" fillId="0" borderId="28" xfId="0" applyFont="1" applyBorder="1" applyAlignment="1">
      <alignment vertical="center" wrapText="1"/>
    </xf>
    <xf numFmtId="165" fontId="6" fillId="2" borderId="28" xfId="0" applyNumberFormat="1" applyFont="1" applyFill="1" applyBorder="1" applyAlignment="1">
      <alignment horizontal="right" vertical="center" shrinkToFit="1"/>
    </xf>
    <xf numFmtId="0" fontId="9" fillId="4" borderId="0" xfId="0" applyFont="1" applyFill="1" applyAlignment="1">
      <alignment horizontal="left" vertical="top" wrapText="1"/>
    </xf>
    <xf numFmtId="0" fontId="5" fillId="4" borderId="15" xfId="0" applyFont="1" applyFill="1" applyBorder="1" applyAlignment="1">
      <alignment horizontal="left" vertical="top" wrapText="1"/>
    </xf>
    <xf numFmtId="0" fontId="5" fillId="4" borderId="69" xfId="0" applyFont="1" applyFill="1" applyBorder="1" applyAlignment="1">
      <alignment horizontal="left" vertical="top" wrapText="1"/>
    </xf>
    <xf numFmtId="0" fontId="9" fillId="4" borderId="22" xfId="0" applyFont="1" applyFill="1" applyBorder="1" applyAlignment="1">
      <alignment horizontal="left" vertical="top" wrapText="1"/>
    </xf>
    <xf numFmtId="0" fontId="2" fillId="4" borderId="21" xfId="0" applyFont="1" applyFill="1" applyBorder="1" applyAlignment="1">
      <alignment horizontal="left" vertical="top" wrapText="1"/>
    </xf>
    <xf numFmtId="0" fontId="0" fillId="0" borderId="19" xfId="0" applyBorder="1" applyAlignment="1">
      <alignment horizontal="left" vertical="top"/>
    </xf>
    <xf numFmtId="0" fontId="0" fillId="0" borderId="25" xfId="0" applyBorder="1" applyAlignment="1">
      <alignment horizontal="left" vertical="top"/>
    </xf>
    <xf numFmtId="0" fontId="0" fillId="0" borderId="26" xfId="0" applyBorder="1" applyAlignment="1">
      <alignment horizontal="left" vertical="top"/>
    </xf>
    <xf numFmtId="0" fontId="0" fillId="4" borderId="19" xfId="0" applyFill="1" applyBorder="1" applyAlignment="1">
      <alignment horizontal="left" vertical="top"/>
    </xf>
    <xf numFmtId="0" fontId="0" fillId="4" borderId="20" xfId="0" applyFill="1" applyBorder="1" applyAlignment="1">
      <alignment horizontal="left" vertical="top"/>
    </xf>
    <xf numFmtId="0" fontId="2" fillId="4" borderId="0" xfId="0" applyFont="1" applyFill="1" applyAlignment="1">
      <alignment horizontal="left" vertical="top" wrapText="1"/>
    </xf>
    <xf numFmtId="0" fontId="2" fillId="0" borderId="0" xfId="0" applyFont="1" applyAlignment="1">
      <alignment horizontal="left" vertical="top" wrapText="1"/>
    </xf>
    <xf numFmtId="0" fontId="5" fillId="0" borderId="14" xfId="0" applyFont="1" applyBorder="1" applyAlignment="1">
      <alignment horizontal="left" vertical="top"/>
    </xf>
    <xf numFmtId="0" fontId="5" fillId="0" borderId="28" xfId="0" applyFont="1" applyBorder="1" applyAlignment="1">
      <alignment horizontal="left" vertical="top"/>
    </xf>
    <xf numFmtId="0" fontId="5" fillId="0" borderId="35" xfId="0" applyFont="1" applyBorder="1" applyAlignment="1">
      <alignment horizontal="left" vertical="top"/>
    </xf>
    <xf numFmtId="0" fontId="5" fillId="0" borderId="36" xfId="0" applyFont="1" applyBorder="1" applyAlignment="1">
      <alignment horizontal="left" vertical="top"/>
    </xf>
    <xf numFmtId="0" fontId="5" fillId="0" borderId="72" xfId="0" applyFont="1" applyBorder="1" applyAlignment="1">
      <alignment horizontal="left" vertical="top"/>
    </xf>
    <xf numFmtId="0" fontId="5" fillId="0" borderId="37" xfId="0" applyFont="1" applyBorder="1" applyAlignment="1">
      <alignment horizontal="left" vertical="top"/>
    </xf>
    <xf numFmtId="0" fontId="5" fillId="0" borderId="73" xfId="0" applyFont="1" applyBorder="1" applyAlignment="1">
      <alignment horizontal="left" vertical="top"/>
    </xf>
    <xf numFmtId="0" fontId="5" fillId="0" borderId="38" xfId="0" applyFont="1" applyBorder="1" applyAlignment="1">
      <alignment horizontal="left" vertical="top"/>
    </xf>
    <xf numFmtId="0" fontId="5" fillId="0" borderId="74" xfId="0" applyFont="1" applyBorder="1" applyAlignment="1">
      <alignment horizontal="left" vertical="top"/>
    </xf>
    <xf numFmtId="0" fontId="5" fillId="0" borderId="75" xfId="0" applyFont="1" applyBorder="1" applyAlignment="1">
      <alignment horizontal="left" vertical="top"/>
    </xf>
    <xf numFmtId="0" fontId="0" fillId="0" borderId="14" xfId="0" applyBorder="1" applyAlignment="1">
      <alignment horizontal="left" vertical="top"/>
    </xf>
    <xf numFmtId="0" fontId="6" fillId="0" borderId="0" xfId="0" applyFont="1" applyAlignment="1">
      <alignment vertical="center" wrapText="1"/>
    </xf>
    <xf numFmtId="0" fontId="5" fillId="0" borderId="33" xfId="0" applyFont="1" applyBorder="1" applyAlignment="1">
      <alignment horizontal="left" vertical="top"/>
    </xf>
    <xf numFmtId="0" fontId="2" fillId="4" borderId="25" xfId="0" applyFont="1" applyFill="1" applyBorder="1" applyAlignment="1">
      <alignment horizontal="left" vertical="top" wrapText="1"/>
    </xf>
    <xf numFmtId="0" fontId="2" fillId="4" borderId="26" xfId="0" applyFont="1" applyFill="1" applyBorder="1" applyAlignment="1">
      <alignment horizontal="left" vertical="top" wrapText="1"/>
    </xf>
    <xf numFmtId="0" fontId="2" fillId="4" borderId="77" xfId="0" applyFont="1" applyFill="1" applyBorder="1" applyAlignment="1">
      <alignment horizontal="left" vertical="top" wrapText="1"/>
    </xf>
    <xf numFmtId="0" fontId="0" fillId="0" borderId="28" xfId="0" applyBorder="1" applyAlignment="1">
      <alignment horizontal="left" vertical="top"/>
    </xf>
    <xf numFmtId="0" fontId="0" fillId="0" borderId="33" xfId="0" applyBorder="1" applyAlignment="1">
      <alignment horizontal="left" vertical="top"/>
    </xf>
    <xf numFmtId="0" fontId="0" fillId="4" borderId="22" xfId="0" applyFill="1" applyBorder="1" applyAlignment="1">
      <alignment horizontal="left" vertical="top"/>
    </xf>
    <xf numFmtId="0" fontId="0" fillId="4" borderId="27" xfId="0" applyFill="1" applyBorder="1" applyAlignment="1">
      <alignment horizontal="left" vertical="top"/>
    </xf>
    <xf numFmtId="0" fontId="5" fillId="0" borderId="57" xfId="0" applyFont="1" applyBorder="1" applyAlignment="1">
      <alignment horizontal="left" vertical="top"/>
    </xf>
    <xf numFmtId="0" fontId="5" fillId="0" borderId="26" xfId="0" applyFont="1" applyBorder="1" applyAlignment="1">
      <alignment horizontal="left" vertical="top"/>
    </xf>
    <xf numFmtId="0" fontId="0" fillId="0" borderId="74" xfId="0" applyBorder="1" applyAlignment="1">
      <alignment horizontal="left" vertical="top"/>
    </xf>
    <xf numFmtId="0" fontId="0" fillId="0" borderId="36" xfId="0" applyBorder="1" applyAlignment="1">
      <alignment horizontal="left" vertical="top"/>
    </xf>
    <xf numFmtId="0" fontId="0" fillId="0" borderId="72" xfId="0" applyBorder="1" applyAlignment="1">
      <alignment horizontal="left" vertical="top"/>
    </xf>
    <xf numFmtId="0" fontId="5" fillId="0" borderId="79" xfId="0" applyFont="1" applyBorder="1" applyAlignment="1">
      <alignment horizontal="left" vertical="top"/>
    </xf>
    <xf numFmtId="0" fontId="5" fillId="0" borderId="25" xfId="0" applyFont="1" applyBorder="1" applyAlignment="1">
      <alignment horizontal="left" vertical="top"/>
    </xf>
    <xf numFmtId="0" fontId="14" fillId="0" borderId="33" xfId="0" applyFont="1" applyBorder="1" applyAlignment="1">
      <alignment horizontal="left" vertical="top"/>
    </xf>
    <xf numFmtId="0" fontId="6" fillId="0" borderId="14" xfId="0" applyFont="1" applyBorder="1" applyAlignment="1">
      <alignment vertical="top"/>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6" fillId="0" borderId="27" xfId="0" applyFont="1" applyBorder="1" applyAlignment="1">
      <alignment horizontal="center" vertical="center"/>
    </xf>
    <xf numFmtId="0" fontId="5" fillId="0" borderId="16" xfId="0" applyFont="1" applyBorder="1" applyAlignment="1">
      <alignment horizontal="left" vertical="top" wrapText="1"/>
    </xf>
    <xf numFmtId="0" fontId="5" fillId="0" borderId="0" xfId="0" applyFont="1" applyAlignment="1">
      <alignment horizontal="left" vertical="top" wrapText="1"/>
    </xf>
    <xf numFmtId="0" fontId="0" fillId="0" borderId="0" xfId="0" applyAlignment="1">
      <alignment vertical="center"/>
    </xf>
    <xf numFmtId="0" fontId="14" fillId="0" borderId="0" xfId="0" applyFont="1" applyAlignment="1">
      <alignment vertical="center"/>
    </xf>
    <xf numFmtId="0" fontId="14" fillId="0" borderId="0" xfId="0" applyFont="1" applyAlignment="1">
      <alignment vertical="center" wrapText="1"/>
    </xf>
    <xf numFmtId="0" fontId="0" fillId="0" borderId="0" xfId="0" applyAlignment="1">
      <alignment vertical="center" wrapText="1"/>
    </xf>
    <xf numFmtId="0" fontId="0" fillId="0" borderId="73" xfId="0" applyBorder="1" applyAlignment="1">
      <alignment horizontal="left" vertical="top"/>
    </xf>
    <xf numFmtId="0" fontId="6" fillId="0" borderId="74" xfId="0" applyFont="1" applyBorder="1" applyAlignment="1">
      <alignment vertical="top"/>
    </xf>
    <xf numFmtId="0" fontId="5" fillId="0" borderId="61" xfId="0" applyFont="1" applyBorder="1" applyAlignment="1">
      <alignment horizontal="left" vertical="top"/>
    </xf>
    <xf numFmtId="0" fontId="5" fillId="0" borderId="54" xfId="0" applyFont="1" applyBorder="1" applyAlignment="1">
      <alignment horizontal="left" vertical="top"/>
    </xf>
    <xf numFmtId="0" fontId="5" fillId="0" borderId="80" xfId="0" applyFont="1" applyBorder="1" applyAlignment="1">
      <alignment horizontal="left" vertical="top"/>
    </xf>
    <xf numFmtId="0" fontId="6" fillId="4" borderId="32" xfId="0" applyFont="1" applyFill="1" applyBorder="1" applyAlignment="1">
      <alignment horizontal="left" vertical="top"/>
    </xf>
    <xf numFmtId="0" fontId="5" fillId="0" borderId="81" xfId="0" applyFont="1" applyBorder="1" applyAlignment="1">
      <alignment horizontal="left" vertical="top"/>
    </xf>
    <xf numFmtId="0" fontId="6" fillId="4" borderId="61" xfId="0" applyFont="1" applyFill="1" applyBorder="1" applyAlignment="1">
      <alignment horizontal="left" vertical="top"/>
    </xf>
    <xf numFmtId="0" fontId="5" fillId="0" borderId="14" xfId="0" applyFont="1" applyBorder="1" applyAlignment="1">
      <alignment horizontal="left" vertical="center" wrapText="1"/>
    </xf>
    <xf numFmtId="0" fontId="5" fillId="0" borderId="28" xfId="0" applyFont="1" applyBorder="1" applyAlignment="1">
      <alignment horizontal="left" vertical="center" wrapText="1"/>
    </xf>
    <xf numFmtId="0" fontId="5" fillId="0" borderId="33" xfId="0" applyFont="1" applyBorder="1" applyAlignment="1">
      <alignment horizontal="left" vertical="center" wrapText="1"/>
    </xf>
    <xf numFmtId="0" fontId="5" fillId="0" borderId="81" xfId="0" applyFont="1" applyBorder="1" applyAlignment="1">
      <alignment horizontal="left" vertical="center" wrapText="1"/>
    </xf>
    <xf numFmtId="0" fontId="5" fillId="0" borderId="80" xfId="0" applyFont="1" applyBorder="1" applyAlignment="1">
      <alignment horizontal="left" vertical="center" wrapText="1"/>
    </xf>
    <xf numFmtId="0" fontId="5" fillId="0" borderId="37" xfId="0" applyFont="1" applyBorder="1" applyAlignment="1">
      <alignment horizontal="left" vertical="center" wrapText="1"/>
    </xf>
    <xf numFmtId="0" fontId="5" fillId="0" borderId="73" xfId="0" applyFont="1" applyBorder="1" applyAlignment="1">
      <alignment horizontal="left" vertical="center" wrapText="1"/>
    </xf>
    <xf numFmtId="0" fontId="5" fillId="0" borderId="79" xfId="0" applyFont="1" applyBorder="1" applyAlignment="1">
      <alignment horizontal="left" vertical="center" wrapText="1"/>
    </xf>
    <xf numFmtId="0" fontId="5" fillId="0" borderId="57" xfId="0" applyFont="1" applyBorder="1" applyAlignment="1">
      <alignment horizontal="left" vertical="center" wrapText="1"/>
    </xf>
    <xf numFmtId="0" fontId="5" fillId="0" borderId="38" xfId="0" applyFont="1" applyBorder="1" applyAlignment="1">
      <alignment horizontal="left" vertical="center" wrapText="1"/>
    </xf>
    <xf numFmtId="0" fontId="5" fillId="0" borderId="74" xfId="0" applyFont="1" applyBorder="1" applyAlignment="1">
      <alignment horizontal="left" vertical="center" wrapText="1"/>
    </xf>
    <xf numFmtId="0" fontId="5" fillId="0" borderId="75" xfId="0" applyFont="1" applyBorder="1" applyAlignment="1">
      <alignment horizontal="left" vertical="center" wrapText="1"/>
    </xf>
    <xf numFmtId="0" fontId="5" fillId="0" borderId="84" xfId="0" applyFont="1" applyBorder="1" applyAlignment="1">
      <alignment horizontal="left" vertical="top"/>
    </xf>
    <xf numFmtId="0" fontId="5" fillId="0" borderId="34" xfId="0" applyFont="1" applyBorder="1" applyAlignment="1">
      <alignment horizontal="left" vertical="top"/>
    </xf>
    <xf numFmtId="0" fontId="0" fillId="0" borderId="34" xfId="0" applyBorder="1" applyAlignment="1">
      <alignment horizontal="left" vertical="top"/>
    </xf>
    <xf numFmtId="0" fontId="5" fillId="0" borderId="60" xfId="0" applyFont="1" applyBorder="1" applyAlignment="1">
      <alignment horizontal="left" vertical="top"/>
    </xf>
    <xf numFmtId="0" fontId="5" fillId="4" borderId="30" xfId="0" applyFont="1" applyFill="1" applyBorder="1" applyAlignment="1">
      <alignment horizontal="left" vertical="top"/>
    </xf>
    <xf numFmtId="0" fontId="5" fillId="4" borderId="31" xfId="0" applyFont="1" applyFill="1" applyBorder="1" applyAlignment="1">
      <alignment horizontal="left" vertical="top"/>
    </xf>
    <xf numFmtId="0" fontId="0" fillId="4" borderId="31" xfId="0" applyFill="1" applyBorder="1" applyAlignment="1">
      <alignment horizontal="left" vertical="top"/>
    </xf>
    <xf numFmtId="0" fontId="5" fillId="4" borderId="32" xfId="0" applyFont="1" applyFill="1" applyBorder="1" applyAlignment="1">
      <alignment horizontal="left" vertical="top"/>
    </xf>
    <xf numFmtId="0" fontId="5" fillId="4" borderId="27" xfId="0" applyFont="1" applyFill="1" applyBorder="1" applyAlignment="1">
      <alignment horizontal="left" vertical="top"/>
    </xf>
    <xf numFmtId="0" fontId="5" fillId="4" borderId="11" xfId="0" applyFont="1" applyFill="1" applyBorder="1" applyAlignment="1">
      <alignment horizontal="left" vertical="top"/>
    </xf>
    <xf numFmtId="0" fontId="15" fillId="4" borderId="31" xfId="0" applyFont="1" applyFill="1" applyBorder="1" applyAlignment="1">
      <alignment horizontal="left" vertical="top"/>
    </xf>
    <xf numFmtId="0" fontId="15" fillId="4" borderId="19" xfId="0" applyFont="1" applyFill="1" applyBorder="1" applyAlignment="1">
      <alignment horizontal="left" vertical="top"/>
    </xf>
    <xf numFmtId="0" fontId="6" fillId="4" borderId="11" xfId="0" applyFont="1" applyFill="1" applyBorder="1" applyAlignment="1">
      <alignment horizontal="left" vertical="top"/>
    </xf>
    <xf numFmtId="0" fontId="5" fillId="4" borderId="21" xfId="0" applyFont="1" applyFill="1" applyBorder="1" applyAlignment="1">
      <alignment horizontal="left" vertical="center" wrapText="1"/>
    </xf>
    <xf numFmtId="0" fontId="5" fillId="4" borderId="30" xfId="0" applyFont="1" applyFill="1" applyBorder="1" applyAlignment="1">
      <alignment horizontal="left" vertical="center" wrapText="1"/>
    </xf>
    <xf numFmtId="0" fontId="5" fillId="4" borderId="31" xfId="0" applyFont="1" applyFill="1" applyBorder="1" applyAlignment="1">
      <alignment horizontal="left" vertical="center" wrapText="1"/>
    </xf>
    <xf numFmtId="0" fontId="5" fillId="4" borderId="32" xfId="0" applyFont="1" applyFill="1" applyBorder="1" applyAlignment="1">
      <alignment horizontal="left" vertical="center" wrapText="1"/>
    </xf>
    <xf numFmtId="0" fontId="5" fillId="0" borderId="35" xfId="0" applyFont="1" applyBorder="1" applyAlignment="1">
      <alignment horizontal="left" vertical="center" wrapText="1"/>
    </xf>
    <xf numFmtId="0" fontId="5" fillId="0" borderId="36" xfId="0" applyFont="1" applyBorder="1" applyAlignment="1">
      <alignment horizontal="left" vertical="center" wrapText="1"/>
    </xf>
    <xf numFmtId="0" fontId="5" fillId="0" borderId="72" xfId="0" applyFont="1" applyBorder="1" applyAlignment="1">
      <alignment horizontal="left" vertical="center" wrapText="1"/>
    </xf>
    <xf numFmtId="6" fontId="6" fillId="3" borderId="77" xfId="0" applyNumberFormat="1" applyFont="1" applyFill="1" applyBorder="1" applyAlignment="1">
      <alignment horizontal="center" wrapText="1"/>
    </xf>
    <xf numFmtId="6" fontId="6" fillId="3" borderId="26" xfId="0" applyNumberFormat="1" applyFont="1" applyFill="1" applyBorder="1" applyAlignment="1">
      <alignment horizontal="center" wrapText="1"/>
    </xf>
    <xf numFmtId="164" fontId="3" fillId="2" borderId="2" xfId="0" applyNumberFormat="1" applyFont="1" applyFill="1" applyBorder="1" applyAlignment="1">
      <alignment vertical="top" shrinkToFit="1"/>
    </xf>
    <xf numFmtId="164" fontId="3" fillId="2" borderId="4" xfId="0" applyNumberFormat="1" applyFont="1" applyFill="1" applyBorder="1" applyAlignment="1">
      <alignment vertical="top" shrinkToFit="1"/>
    </xf>
    <xf numFmtId="164" fontId="3" fillId="2" borderId="71" xfId="0" applyNumberFormat="1" applyFont="1" applyFill="1" applyBorder="1" applyAlignment="1">
      <alignment vertical="top" shrinkToFit="1"/>
    </xf>
    <xf numFmtId="164" fontId="3" fillId="2" borderId="40" xfId="0" applyNumberFormat="1" applyFont="1" applyFill="1" applyBorder="1" applyAlignment="1">
      <alignment vertical="top" shrinkToFit="1"/>
    </xf>
    <xf numFmtId="164" fontId="3" fillId="2" borderId="46" xfId="0" applyNumberFormat="1" applyFont="1" applyFill="1" applyBorder="1" applyAlignment="1">
      <alignment vertical="top" shrinkToFit="1"/>
    </xf>
    <xf numFmtId="0" fontId="6" fillId="4" borderId="22" xfId="0" applyFont="1" applyFill="1" applyBorder="1" applyAlignment="1">
      <alignment horizontal="left" vertical="top" wrapText="1"/>
    </xf>
    <xf numFmtId="164" fontId="3" fillId="2" borderId="76" xfId="0" applyNumberFormat="1" applyFont="1" applyFill="1" applyBorder="1" applyAlignment="1">
      <alignment horizontal="right" vertical="center" shrinkToFit="1"/>
    </xf>
    <xf numFmtId="164" fontId="3" fillId="2" borderId="78" xfId="0" applyNumberFormat="1" applyFont="1" applyFill="1" applyBorder="1" applyAlignment="1">
      <alignment horizontal="right" vertical="center" shrinkToFit="1"/>
    </xf>
    <xf numFmtId="164" fontId="3" fillId="2" borderId="86" xfId="0" applyNumberFormat="1" applyFont="1" applyFill="1" applyBorder="1" applyAlignment="1">
      <alignment horizontal="right" vertical="center" shrinkToFit="1"/>
    </xf>
    <xf numFmtId="164" fontId="3" fillId="2" borderId="87" xfId="0" applyNumberFormat="1" applyFont="1" applyFill="1" applyBorder="1" applyAlignment="1">
      <alignment horizontal="right" vertical="center" shrinkToFit="1"/>
    </xf>
    <xf numFmtId="164" fontId="3" fillId="2" borderId="88" xfId="0" applyNumberFormat="1" applyFont="1" applyFill="1" applyBorder="1" applyAlignment="1">
      <alignment horizontal="right" vertical="center" shrinkToFit="1"/>
    </xf>
    <xf numFmtId="0" fontId="5" fillId="0" borderId="22" xfId="0" applyFont="1" applyBorder="1" applyAlignment="1">
      <alignment vertical="top"/>
    </xf>
    <xf numFmtId="0" fontId="5" fillId="0" borderId="76" xfId="0" applyFont="1" applyBorder="1" applyAlignment="1">
      <alignment vertical="top"/>
    </xf>
    <xf numFmtId="164" fontId="3" fillId="2" borderId="85" xfId="0" applyNumberFormat="1" applyFont="1" applyFill="1" applyBorder="1" applyAlignment="1">
      <alignment horizontal="right" vertical="center" shrinkToFit="1"/>
    </xf>
    <xf numFmtId="164" fontId="3" fillId="2" borderId="71" xfId="0" applyNumberFormat="1" applyFont="1" applyFill="1" applyBorder="1" applyAlignment="1">
      <alignment horizontal="right" vertical="center" shrinkToFit="1"/>
    </xf>
    <xf numFmtId="164" fontId="3" fillId="2" borderId="89" xfId="0" applyNumberFormat="1" applyFont="1" applyFill="1" applyBorder="1" applyAlignment="1">
      <alignment vertical="top" shrinkToFit="1"/>
    </xf>
    <xf numFmtId="164" fontId="3" fillId="2" borderId="90" xfId="0" applyNumberFormat="1" applyFont="1" applyFill="1" applyBorder="1" applyAlignment="1">
      <alignment horizontal="right" vertical="center" shrinkToFit="1"/>
    </xf>
    <xf numFmtId="164" fontId="3" fillId="2" borderId="82" xfId="0" applyNumberFormat="1" applyFont="1" applyFill="1" applyBorder="1" applyAlignment="1">
      <alignment horizontal="right" vertical="center" shrinkToFit="1"/>
    </xf>
    <xf numFmtId="164" fontId="3" fillId="2" borderId="77" xfId="0" applyNumberFormat="1" applyFont="1" applyFill="1" applyBorder="1" applyAlignment="1">
      <alignment vertical="top" shrinkToFit="1"/>
    </xf>
    <xf numFmtId="1" fontId="6" fillId="4" borderId="21" xfId="0" applyNumberFormat="1" applyFont="1" applyFill="1" applyBorder="1" applyAlignment="1">
      <alignment horizontal="left" vertical="top" shrinkToFit="1"/>
    </xf>
    <xf numFmtId="0" fontId="2" fillId="4" borderId="65" xfId="0" applyFont="1" applyFill="1" applyBorder="1" applyAlignment="1">
      <alignment horizontal="center" vertical="top" wrapText="1"/>
    </xf>
    <xf numFmtId="0" fontId="2" fillId="4" borderId="13" xfId="0" applyFont="1" applyFill="1" applyBorder="1" applyAlignment="1">
      <alignment horizontal="center" vertical="top" wrapText="1"/>
    </xf>
    <xf numFmtId="1" fontId="5" fillId="4" borderId="21" xfId="0" applyNumberFormat="1" applyFont="1" applyFill="1" applyBorder="1" applyAlignment="1">
      <alignment horizontal="left" vertical="top" shrinkToFit="1"/>
    </xf>
    <xf numFmtId="0" fontId="6" fillId="4" borderId="29" xfId="0" applyFont="1" applyFill="1" applyBorder="1" applyAlignment="1">
      <alignment horizontal="center" wrapText="1"/>
    </xf>
    <xf numFmtId="0" fontId="6" fillId="4" borderId="18" xfId="0" applyFont="1" applyFill="1" applyBorder="1" applyAlignment="1">
      <alignment horizontal="center" wrapText="1"/>
    </xf>
    <xf numFmtId="0" fontId="6" fillId="4" borderId="18" xfId="0" applyFont="1" applyFill="1" applyBorder="1" applyAlignment="1">
      <alignment horizontal="right" wrapText="1"/>
    </xf>
    <xf numFmtId="0" fontId="8" fillId="4" borderId="18" xfId="0" applyFont="1" applyFill="1" applyBorder="1" applyAlignment="1">
      <alignment vertical="top"/>
    </xf>
    <xf numFmtId="0" fontId="6" fillId="4" borderId="19" xfId="0" applyFont="1" applyFill="1" applyBorder="1" applyAlignment="1">
      <alignment wrapText="1"/>
    </xf>
    <xf numFmtId="0" fontId="16" fillId="4" borderId="19" xfId="0" applyFont="1" applyFill="1" applyBorder="1" applyAlignment="1">
      <alignment vertical="top"/>
    </xf>
    <xf numFmtId="164" fontId="17" fillId="4" borderId="19" xfId="0" applyNumberFormat="1" applyFont="1" applyFill="1" applyBorder="1" applyAlignment="1">
      <alignment vertical="top" shrinkToFit="1"/>
    </xf>
    <xf numFmtId="164" fontId="17" fillId="4" borderId="20" xfId="0" applyNumberFormat="1" applyFont="1" applyFill="1" applyBorder="1" applyAlignment="1">
      <alignment vertical="top" shrinkToFit="1"/>
    </xf>
    <xf numFmtId="0" fontId="16" fillId="4" borderId="22" xfId="0" applyFont="1" applyFill="1" applyBorder="1" applyAlignment="1">
      <alignment vertical="top"/>
    </xf>
    <xf numFmtId="164" fontId="17" fillId="4" borderId="22" xfId="0" applyNumberFormat="1" applyFont="1" applyFill="1" applyBorder="1" applyAlignment="1">
      <alignment vertical="top" shrinkToFit="1"/>
    </xf>
    <xf numFmtId="164" fontId="17" fillId="4" borderId="27" xfId="0" applyNumberFormat="1" applyFont="1" applyFill="1" applyBorder="1" applyAlignment="1">
      <alignment vertical="top" shrinkToFit="1"/>
    </xf>
    <xf numFmtId="0" fontId="16" fillId="4" borderId="0" xfId="0" applyFont="1" applyFill="1" applyAlignment="1">
      <alignment vertical="top"/>
    </xf>
    <xf numFmtId="164" fontId="17" fillId="4" borderId="0" xfId="0" applyNumberFormat="1" applyFont="1" applyFill="1" applyAlignment="1">
      <alignment vertical="top" shrinkToFit="1"/>
    </xf>
    <xf numFmtId="164" fontId="17" fillId="4" borderId="26" xfId="0" applyNumberFormat="1" applyFont="1" applyFill="1" applyBorder="1" applyAlignment="1">
      <alignment vertical="top" shrinkToFit="1"/>
    </xf>
    <xf numFmtId="164" fontId="3" fillId="2" borderId="76" xfId="0" applyNumberFormat="1" applyFont="1" applyFill="1" applyBorder="1" applyAlignment="1">
      <alignment vertical="top" shrinkToFit="1"/>
    </xf>
    <xf numFmtId="0" fontId="1" fillId="4" borderId="11" xfId="0" applyFont="1" applyFill="1" applyBorder="1" applyAlignment="1">
      <alignment vertical="top" wrapText="1"/>
    </xf>
    <xf numFmtId="0" fontId="5" fillId="0" borderId="2" xfId="0" applyFont="1" applyBorder="1" applyAlignment="1">
      <alignment vertical="top" wrapText="1"/>
    </xf>
    <xf numFmtId="2" fontId="5" fillId="0" borderId="7" xfId="0" applyNumberFormat="1" applyFont="1" applyBorder="1" applyAlignment="1">
      <alignment horizontal="right" vertical="center" shrinkToFit="1"/>
    </xf>
    <xf numFmtId="0" fontId="2" fillId="4" borderId="21" xfId="0" applyFont="1" applyFill="1" applyBorder="1"/>
    <xf numFmtId="0" fontId="2" fillId="4" borderId="22" xfId="0" applyFont="1" applyFill="1" applyBorder="1"/>
    <xf numFmtId="0" fontId="16" fillId="4" borderId="27" xfId="0" applyFont="1" applyFill="1" applyBorder="1" applyAlignment="1">
      <alignment vertical="top"/>
    </xf>
    <xf numFmtId="0" fontId="2" fillId="4" borderId="16" xfId="0" applyFont="1" applyFill="1" applyBorder="1" applyAlignment="1">
      <alignment vertical="top" wrapText="1"/>
    </xf>
    <xf numFmtId="0" fontId="2" fillId="4" borderId="11" xfId="0" applyFont="1" applyFill="1" applyBorder="1" applyAlignment="1">
      <alignment horizontal="center" vertical="center" wrapText="1"/>
    </xf>
    <xf numFmtId="0" fontId="5" fillId="4" borderId="18" xfId="0" applyFont="1" applyFill="1" applyBorder="1" applyAlignment="1">
      <alignment horizontal="left" vertical="top" wrapText="1"/>
    </xf>
    <xf numFmtId="0" fontId="5" fillId="4" borderId="25" xfId="0" applyFont="1" applyFill="1" applyBorder="1" applyAlignment="1">
      <alignment horizontal="left" vertical="top" wrapText="1"/>
    </xf>
    <xf numFmtId="0" fontId="5" fillId="4" borderId="15" xfId="0" applyFont="1" applyFill="1" applyBorder="1" applyAlignment="1">
      <alignment horizontal="left" vertical="top" wrapText="1"/>
    </xf>
    <xf numFmtId="0" fontId="5" fillId="4" borderId="19" xfId="0" applyFont="1" applyFill="1" applyBorder="1" applyAlignment="1">
      <alignment horizontal="left" vertical="top" wrapText="1"/>
    </xf>
    <xf numFmtId="0" fontId="5" fillId="4" borderId="0" xfId="0" applyFont="1" applyFill="1" applyAlignment="1">
      <alignment horizontal="left" vertical="top" wrapText="1"/>
    </xf>
    <xf numFmtId="0" fontId="5" fillId="4" borderId="16" xfId="0" applyFont="1" applyFill="1" applyBorder="1" applyAlignment="1">
      <alignment horizontal="left" vertical="top" wrapText="1"/>
    </xf>
    <xf numFmtId="0" fontId="6" fillId="4" borderId="30" xfId="0" applyFont="1" applyFill="1" applyBorder="1" applyAlignment="1">
      <alignment horizontal="left" vertical="top"/>
    </xf>
    <xf numFmtId="0" fontId="6" fillId="4" borderId="31" xfId="0" applyFont="1" applyFill="1" applyBorder="1" applyAlignment="1">
      <alignment horizontal="left" vertical="top"/>
    </xf>
    <xf numFmtId="0" fontId="6" fillId="4" borderId="32" xfId="0" applyFont="1" applyFill="1" applyBorder="1" applyAlignment="1">
      <alignment horizontal="left" vertical="top"/>
    </xf>
    <xf numFmtId="0" fontId="6" fillId="4" borderId="18" xfId="0" applyFont="1" applyFill="1" applyBorder="1" applyAlignment="1">
      <alignment horizontal="left" vertical="top" wrapText="1"/>
    </xf>
    <xf numFmtId="0" fontId="6" fillId="4" borderId="19" xfId="0" applyFont="1" applyFill="1" applyBorder="1" applyAlignment="1">
      <alignment horizontal="left" vertical="top" wrapText="1"/>
    </xf>
    <xf numFmtId="0" fontId="6" fillId="4" borderId="20" xfId="0" applyFont="1" applyFill="1" applyBorder="1" applyAlignment="1">
      <alignment horizontal="left" vertical="top" wrapText="1"/>
    </xf>
    <xf numFmtId="0" fontId="6" fillId="4" borderId="15" xfId="0" applyFont="1" applyFill="1" applyBorder="1" applyAlignment="1">
      <alignment horizontal="left" vertical="top" wrapText="1"/>
    </xf>
    <xf numFmtId="0" fontId="6" fillId="4" borderId="16" xfId="0" applyFont="1" applyFill="1" applyBorder="1" applyAlignment="1">
      <alignment horizontal="left" vertical="top" wrapText="1"/>
    </xf>
    <xf numFmtId="0" fontId="6" fillId="4" borderId="17" xfId="0" applyFont="1" applyFill="1" applyBorder="1" applyAlignment="1">
      <alignment horizontal="left" vertical="top" wrapText="1"/>
    </xf>
    <xf numFmtId="0" fontId="5" fillId="4" borderId="18" xfId="0" applyFont="1" applyFill="1" applyBorder="1" applyAlignment="1">
      <alignment horizontal="left" vertical="center" wrapText="1"/>
    </xf>
    <xf numFmtId="0" fontId="5" fillId="4" borderId="19" xfId="0" applyFont="1" applyFill="1" applyBorder="1" applyAlignment="1">
      <alignment horizontal="left" vertical="center" wrapText="1"/>
    </xf>
    <xf numFmtId="0" fontId="5" fillId="4" borderId="20" xfId="0" applyFont="1" applyFill="1" applyBorder="1" applyAlignment="1">
      <alignment horizontal="left" vertical="center" wrapText="1"/>
    </xf>
    <xf numFmtId="0" fontId="5" fillId="4" borderId="25" xfId="0" applyFont="1" applyFill="1" applyBorder="1" applyAlignment="1">
      <alignment horizontal="left" vertical="center" wrapText="1"/>
    </xf>
    <xf numFmtId="0" fontId="5" fillId="4" borderId="0" xfId="0" applyFont="1" applyFill="1" applyAlignment="1">
      <alignment horizontal="left" vertical="center" wrapText="1"/>
    </xf>
    <xf numFmtId="0" fontId="5" fillId="4" borderId="26" xfId="0" applyFont="1" applyFill="1" applyBorder="1" applyAlignment="1">
      <alignment horizontal="left" vertical="center" wrapText="1"/>
    </xf>
    <xf numFmtId="0" fontId="5" fillId="4" borderId="15" xfId="0" applyFont="1" applyFill="1" applyBorder="1" applyAlignment="1">
      <alignment horizontal="left" vertical="center" wrapText="1"/>
    </xf>
    <xf numFmtId="0" fontId="5" fillId="4" borderId="16" xfId="0" applyFont="1" applyFill="1" applyBorder="1" applyAlignment="1">
      <alignment horizontal="left" vertical="center" wrapText="1"/>
    </xf>
    <xf numFmtId="0" fontId="5" fillId="4" borderId="17" xfId="0" applyFont="1" applyFill="1" applyBorder="1" applyAlignment="1">
      <alignment horizontal="left" vertical="center" wrapText="1"/>
    </xf>
    <xf numFmtId="0" fontId="5" fillId="4" borderId="20" xfId="0" applyFont="1" applyFill="1" applyBorder="1" applyAlignment="1">
      <alignment horizontal="left" vertical="top" wrapText="1"/>
    </xf>
    <xf numFmtId="0" fontId="5" fillId="4" borderId="26" xfId="0" applyFont="1" applyFill="1" applyBorder="1" applyAlignment="1">
      <alignment horizontal="left" vertical="top" wrapText="1"/>
    </xf>
    <xf numFmtId="0" fontId="5" fillId="4" borderId="17" xfId="0" applyFont="1" applyFill="1" applyBorder="1" applyAlignment="1">
      <alignment horizontal="left" vertical="top" wrapText="1"/>
    </xf>
    <xf numFmtId="0" fontId="6" fillId="4" borderId="83" xfId="0" applyFont="1" applyFill="1" applyBorder="1" applyAlignment="1">
      <alignment horizontal="left" vertical="top"/>
    </xf>
    <xf numFmtId="0" fontId="6" fillId="4" borderId="61" xfId="0" applyFont="1" applyFill="1" applyBorder="1" applyAlignment="1">
      <alignment horizontal="left" vertical="top"/>
    </xf>
    <xf numFmtId="0" fontId="6" fillId="4" borderId="54" xfId="0" applyFont="1" applyFill="1" applyBorder="1" applyAlignment="1">
      <alignment horizontal="left" vertical="top"/>
    </xf>
    <xf numFmtId="0" fontId="6" fillId="4" borderId="21" xfId="0" applyFont="1" applyFill="1" applyBorder="1" applyAlignment="1">
      <alignment horizontal="left" vertical="top"/>
    </xf>
    <xf numFmtId="0" fontId="6" fillId="4" borderId="22" xfId="0" applyFont="1" applyFill="1" applyBorder="1" applyAlignment="1">
      <alignment horizontal="left" vertical="top"/>
    </xf>
    <xf numFmtId="0" fontId="6" fillId="4" borderId="27" xfId="0" applyFont="1" applyFill="1" applyBorder="1" applyAlignment="1">
      <alignment horizontal="left" vertical="top"/>
    </xf>
    <xf numFmtId="0" fontId="6" fillId="4" borderId="18" xfId="0" applyFont="1" applyFill="1" applyBorder="1" applyAlignment="1">
      <alignment horizontal="left" vertical="top"/>
    </xf>
    <xf numFmtId="0" fontId="6" fillId="4" borderId="19" xfId="0" applyFont="1" applyFill="1" applyBorder="1" applyAlignment="1">
      <alignment horizontal="left" vertical="top"/>
    </xf>
    <xf numFmtId="0" fontId="6" fillId="4" borderId="20" xfId="0" applyFont="1" applyFill="1" applyBorder="1" applyAlignment="1">
      <alignment horizontal="left" vertical="top"/>
    </xf>
    <xf numFmtId="0" fontId="6" fillId="4" borderId="18"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20" xfId="0" applyFont="1" applyFill="1" applyBorder="1" applyAlignment="1">
      <alignment horizontal="left" vertical="center" wrapText="1"/>
    </xf>
    <xf numFmtId="0" fontId="6" fillId="4" borderId="15" xfId="0" applyFont="1" applyFill="1" applyBorder="1" applyAlignment="1">
      <alignment horizontal="left" vertical="center" wrapText="1"/>
    </xf>
    <xf numFmtId="0" fontId="6" fillId="4" borderId="16" xfId="0" applyFont="1" applyFill="1" applyBorder="1" applyAlignment="1">
      <alignment horizontal="left" vertical="center" wrapText="1"/>
    </xf>
    <xf numFmtId="0" fontId="6" fillId="4" borderId="17" xfId="0" applyFont="1" applyFill="1" applyBorder="1" applyAlignment="1">
      <alignment horizontal="left" vertical="center" wrapText="1"/>
    </xf>
    <xf numFmtId="0" fontId="6" fillId="4" borderId="18" xfId="0" applyFont="1" applyFill="1" applyBorder="1" applyAlignment="1">
      <alignment horizontal="left" vertical="center"/>
    </xf>
    <xf numFmtId="0" fontId="6" fillId="4" borderId="19" xfId="0" applyFont="1" applyFill="1" applyBorder="1" applyAlignment="1">
      <alignment horizontal="left" vertical="center"/>
    </xf>
    <xf numFmtId="0" fontId="6" fillId="4" borderId="20" xfId="0" applyFont="1" applyFill="1" applyBorder="1" applyAlignment="1">
      <alignment horizontal="left" vertical="center"/>
    </xf>
    <xf numFmtId="0" fontId="6" fillId="4" borderId="15" xfId="0" applyFont="1" applyFill="1" applyBorder="1" applyAlignment="1">
      <alignment horizontal="left" vertical="center"/>
    </xf>
    <xf numFmtId="0" fontId="6" fillId="4" borderId="16" xfId="0" applyFont="1" applyFill="1" applyBorder="1" applyAlignment="1">
      <alignment horizontal="left" vertical="center"/>
    </xf>
    <xf numFmtId="0" fontId="6" fillId="4" borderId="17" xfId="0" applyFont="1" applyFill="1" applyBorder="1" applyAlignment="1">
      <alignment horizontal="left" vertical="center"/>
    </xf>
    <xf numFmtId="0" fontId="6" fillId="4" borderId="21" xfId="0" applyFont="1" applyFill="1" applyBorder="1" applyAlignment="1">
      <alignment horizontal="center" vertical="center"/>
    </xf>
    <xf numFmtId="0" fontId="6" fillId="4" borderId="22" xfId="0" applyFont="1" applyFill="1" applyBorder="1" applyAlignment="1">
      <alignment horizontal="center" vertical="center"/>
    </xf>
    <xf numFmtId="0" fontId="6" fillId="4" borderId="27" xfId="0" applyFont="1" applyFill="1" applyBorder="1" applyAlignment="1">
      <alignment horizontal="center" vertical="center"/>
    </xf>
    <xf numFmtId="0" fontId="13" fillId="0" borderId="3" xfId="0" applyFont="1" applyBorder="1" applyAlignment="1">
      <alignment horizontal="center" vertical="top"/>
    </xf>
    <xf numFmtId="0" fontId="13" fillId="0" borderId="70" xfId="0" applyFont="1" applyBorder="1" applyAlignment="1">
      <alignment horizontal="center" vertical="top"/>
    </xf>
    <xf numFmtId="0" fontId="13" fillId="0" borderId="9" xfId="0" applyFont="1" applyBorder="1" applyAlignment="1">
      <alignment horizontal="center" vertical="top"/>
    </xf>
    <xf numFmtId="0" fontId="10" fillId="4" borderId="0" xfId="0" applyFont="1" applyFill="1" applyAlignment="1">
      <alignment vertical="top" wrapText="1"/>
    </xf>
    <xf numFmtId="0" fontId="10" fillId="4" borderId="5" xfId="0" applyFont="1" applyFill="1" applyBorder="1" applyAlignment="1">
      <alignment vertical="top"/>
    </xf>
    <xf numFmtId="0" fontId="0" fillId="4" borderId="19" xfId="0" applyFill="1" applyBorder="1" applyAlignment="1">
      <alignment horizontal="left" vertical="top" wrapText="1"/>
    </xf>
    <xf numFmtId="0" fontId="0" fillId="4" borderId="20" xfId="0" applyFill="1" applyBorder="1" applyAlignment="1">
      <alignment horizontal="left" vertical="top" wrapText="1"/>
    </xf>
    <xf numFmtId="0" fontId="0" fillId="0" borderId="0" xfId="0" applyAlignment="1">
      <alignment horizontal="left" vertical="top" wrapText="1"/>
    </xf>
  </cellXfs>
  <cellStyles count="1">
    <cellStyle name="Normal" xfId="0" builtinId="0"/>
  </cellStyles>
  <dxfs count="1">
    <dxf>
      <fill>
        <patternFill patternType="solid">
          <fgColor rgb="FFD9D9D9"/>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1779"/>
  <sheetViews>
    <sheetView showGridLines="0" tabSelected="1" workbookViewId="0">
      <pane ySplit="3" topLeftCell="A4" activePane="bottomLeft" state="frozen"/>
      <selection pane="bottomLeft" activeCell="A4" sqref="A4"/>
    </sheetView>
  </sheetViews>
  <sheetFormatPr baseColWidth="10" defaultColWidth="8.88671875" defaultRowHeight="13.8" x14ac:dyDescent="0.25"/>
  <cols>
    <col min="1" max="1" width="201.88671875" style="1" bestFit="1" customWidth="1"/>
    <col min="2" max="2" width="80" style="1" customWidth="1"/>
    <col min="3" max="3" width="18.6640625" style="38" bestFit="1" customWidth="1"/>
    <col min="4" max="4" width="14.5546875" style="38" customWidth="1"/>
    <col min="5" max="5" width="19.44140625" style="38" customWidth="1"/>
    <col min="6" max="6" width="31.109375" style="38" customWidth="1"/>
    <col min="7" max="8" width="11.5546875" bestFit="1" customWidth="1"/>
  </cols>
  <sheetData>
    <row r="1" spans="1:8" ht="14.4" thickBot="1" x14ac:dyDescent="0.3">
      <c r="D1" s="367"/>
      <c r="E1" s="368">
        <v>2022</v>
      </c>
      <c r="F1" s="343">
        <v>2023</v>
      </c>
      <c r="G1" s="344">
        <v>2024</v>
      </c>
      <c r="H1" s="344">
        <v>2025</v>
      </c>
    </row>
    <row r="2" spans="1:8" ht="24.6" customHeight="1" thickBot="1" x14ac:dyDescent="0.35">
      <c r="A2" s="424" t="s">
        <v>620</v>
      </c>
      <c r="B2" s="424"/>
      <c r="C2" s="39" t="s">
        <v>585</v>
      </c>
      <c r="D2" s="39" t="s">
        <v>586</v>
      </c>
      <c r="E2" s="40">
        <v>38666.660000000003</v>
      </c>
      <c r="F2" s="321">
        <v>42412</v>
      </c>
      <c r="G2" s="322">
        <v>47065</v>
      </c>
      <c r="H2" s="322">
        <v>49799</v>
      </c>
    </row>
    <row r="3" spans="1:8" s="427" customFormat="1" ht="23.4" customHeight="1" thickBot="1" x14ac:dyDescent="0.35">
      <c r="A3" s="423"/>
      <c r="B3" s="423"/>
      <c r="C3" s="346" t="s">
        <v>583</v>
      </c>
      <c r="D3" s="347" t="s">
        <v>584</v>
      </c>
      <c r="E3" s="346" t="s">
        <v>621</v>
      </c>
      <c r="F3" s="348" t="s">
        <v>621</v>
      </c>
      <c r="G3" s="425"/>
      <c r="H3" s="426"/>
    </row>
    <row r="4" spans="1:8" ht="27.6" customHeight="1" thickBot="1" x14ac:dyDescent="0.35">
      <c r="A4" s="349" t="s">
        <v>581</v>
      </c>
      <c r="B4" s="132"/>
      <c r="C4" s="350"/>
      <c r="D4" s="350"/>
      <c r="E4" s="350"/>
      <c r="F4" s="350"/>
      <c r="G4" s="239"/>
      <c r="H4" s="240"/>
    </row>
    <row r="5" spans="1:8" ht="27.6" customHeight="1" thickBot="1" x14ac:dyDescent="0.35">
      <c r="A5" s="26" t="s">
        <v>582</v>
      </c>
      <c r="B5" s="13"/>
      <c r="C5" s="27"/>
      <c r="D5" s="27"/>
      <c r="E5" s="27"/>
      <c r="F5" s="27"/>
      <c r="G5" s="261"/>
      <c r="H5" s="262"/>
    </row>
    <row r="6" spans="1:8" ht="13.2" customHeight="1" x14ac:dyDescent="0.25">
      <c r="A6" s="4">
        <v>19001</v>
      </c>
      <c r="B6" s="11" t="s">
        <v>0</v>
      </c>
      <c r="C6" s="28">
        <v>1.57</v>
      </c>
      <c r="D6" s="41">
        <v>1.38</v>
      </c>
      <c r="E6" s="48">
        <f>+$C6*$E$2</f>
        <v>60706.656200000005</v>
      </c>
      <c r="F6" s="323">
        <f t="shared" ref="F6:F69" si="0">+$D6*$F$2</f>
        <v>58528.56</v>
      </c>
      <c r="G6" s="338">
        <f t="shared" ref="G6:G69" si="1">+$D6*$G$2</f>
        <v>64949.7</v>
      </c>
      <c r="H6" s="338">
        <f t="shared" ref="H6:H69" si="2">+$D6*$H$2</f>
        <v>68722.62</v>
      </c>
    </row>
    <row r="7" spans="1:8" ht="13.2" customHeight="1" x14ac:dyDescent="0.25">
      <c r="A7" s="3">
        <v>19002</v>
      </c>
      <c r="B7" s="2" t="s">
        <v>1</v>
      </c>
      <c r="C7" s="30">
        <v>4.22</v>
      </c>
      <c r="D7" s="42">
        <v>3.7</v>
      </c>
      <c r="E7" s="29">
        <f t="shared" ref="E7:E70" si="3">+$C7*$E$2</f>
        <v>163173.3052</v>
      </c>
      <c r="F7" s="323">
        <f t="shared" si="0"/>
        <v>156924.4</v>
      </c>
      <c r="G7" s="338">
        <f t="shared" si="1"/>
        <v>174140.5</v>
      </c>
      <c r="H7" s="338">
        <f t="shared" si="2"/>
        <v>184256.30000000002</v>
      </c>
    </row>
    <row r="8" spans="1:8" ht="13.2" customHeight="1" x14ac:dyDescent="0.25">
      <c r="A8" s="3">
        <v>19003</v>
      </c>
      <c r="B8" s="2" t="s">
        <v>2</v>
      </c>
      <c r="C8" s="30">
        <v>0.48</v>
      </c>
      <c r="D8" s="42">
        <v>0.42</v>
      </c>
      <c r="E8" s="29">
        <f t="shared" si="3"/>
        <v>18559.996800000001</v>
      </c>
      <c r="F8" s="323">
        <f t="shared" si="0"/>
        <v>17813.04</v>
      </c>
      <c r="G8" s="338">
        <f t="shared" si="1"/>
        <v>19767.3</v>
      </c>
      <c r="H8" s="338">
        <f t="shared" si="2"/>
        <v>20915.579999999998</v>
      </c>
    </row>
    <row r="9" spans="1:8" ht="13.2" customHeight="1" x14ac:dyDescent="0.25">
      <c r="A9" s="3">
        <v>19004</v>
      </c>
      <c r="B9" s="2" t="s">
        <v>3</v>
      </c>
      <c r="C9" s="30">
        <v>1.69</v>
      </c>
      <c r="D9" s="42">
        <v>1.48</v>
      </c>
      <c r="E9" s="29">
        <f t="shared" si="3"/>
        <v>65346.655400000003</v>
      </c>
      <c r="F9" s="323">
        <f t="shared" si="0"/>
        <v>62769.760000000002</v>
      </c>
      <c r="G9" s="338">
        <f t="shared" si="1"/>
        <v>69656.2</v>
      </c>
      <c r="H9" s="338">
        <f t="shared" si="2"/>
        <v>73702.52</v>
      </c>
    </row>
    <row r="10" spans="1:8" ht="13.2" customHeight="1" x14ac:dyDescent="0.25">
      <c r="A10" s="3">
        <v>19005</v>
      </c>
      <c r="B10" s="2" t="s">
        <v>4</v>
      </c>
      <c r="C10" s="30">
        <v>2.4700000000000002</v>
      </c>
      <c r="D10" s="42">
        <v>2.17</v>
      </c>
      <c r="E10" s="29">
        <f t="shared" si="3"/>
        <v>95506.650200000018</v>
      </c>
      <c r="F10" s="323">
        <f t="shared" si="0"/>
        <v>92034.04</v>
      </c>
      <c r="G10" s="338">
        <f t="shared" si="1"/>
        <v>102131.05</v>
      </c>
      <c r="H10" s="338">
        <f t="shared" si="2"/>
        <v>108063.83</v>
      </c>
    </row>
    <row r="11" spans="1:8" ht="13.2" customHeight="1" x14ac:dyDescent="0.25">
      <c r="A11" s="3">
        <v>19006</v>
      </c>
      <c r="B11" s="2" t="s">
        <v>5</v>
      </c>
      <c r="C11" s="30">
        <v>2.13</v>
      </c>
      <c r="D11" s="42">
        <v>1.87</v>
      </c>
      <c r="E11" s="29">
        <f t="shared" si="3"/>
        <v>82359.985800000009</v>
      </c>
      <c r="F11" s="323">
        <f t="shared" si="0"/>
        <v>79310.44</v>
      </c>
      <c r="G11" s="338">
        <f t="shared" si="1"/>
        <v>88011.55</v>
      </c>
      <c r="H11" s="338">
        <f t="shared" si="2"/>
        <v>93124.13</v>
      </c>
    </row>
    <row r="12" spans="1:8" ht="13.2" customHeight="1" x14ac:dyDescent="0.25">
      <c r="A12" s="3">
        <v>19007</v>
      </c>
      <c r="B12" s="2" t="s">
        <v>6</v>
      </c>
      <c r="C12" s="30">
        <v>16.91</v>
      </c>
      <c r="D12" s="42">
        <v>14.83</v>
      </c>
      <c r="E12" s="29">
        <f t="shared" si="3"/>
        <v>653853.22060000012</v>
      </c>
      <c r="F12" s="323">
        <f t="shared" si="0"/>
        <v>628969.96</v>
      </c>
      <c r="G12" s="338">
        <f t="shared" si="1"/>
        <v>697973.95</v>
      </c>
      <c r="H12" s="338">
        <f t="shared" si="2"/>
        <v>738519.17</v>
      </c>
    </row>
    <row r="13" spans="1:8" ht="13.2" customHeight="1" x14ac:dyDescent="0.25">
      <c r="A13" s="3">
        <v>19008</v>
      </c>
      <c r="B13" s="2" t="s">
        <v>7</v>
      </c>
      <c r="C13" s="30">
        <v>1.39</v>
      </c>
      <c r="D13" s="42">
        <v>1.22</v>
      </c>
      <c r="E13" s="29">
        <f t="shared" si="3"/>
        <v>53746.657400000004</v>
      </c>
      <c r="F13" s="323">
        <f t="shared" si="0"/>
        <v>51742.64</v>
      </c>
      <c r="G13" s="338">
        <f t="shared" si="1"/>
        <v>57419.299999999996</v>
      </c>
      <c r="H13" s="338">
        <f t="shared" si="2"/>
        <v>60754.78</v>
      </c>
    </row>
    <row r="14" spans="1:8" ht="13.2" customHeight="1" x14ac:dyDescent="0.25">
      <c r="A14" s="3">
        <v>19009</v>
      </c>
      <c r="B14" s="2" t="s">
        <v>8</v>
      </c>
      <c r="C14" s="30">
        <v>3.66</v>
      </c>
      <c r="D14" s="42">
        <v>3.21</v>
      </c>
      <c r="E14" s="29">
        <f t="shared" si="3"/>
        <v>141519.97560000001</v>
      </c>
      <c r="F14" s="323">
        <f t="shared" si="0"/>
        <v>136142.51999999999</v>
      </c>
      <c r="G14" s="338">
        <f t="shared" si="1"/>
        <v>151078.65</v>
      </c>
      <c r="H14" s="338">
        <f t="shared" si="2"/>
        <v>159854.79</v>
      </c>
    </row>
    <row r="15" spans="1:8" ht="13.2" customHeight="1" x14ac:dyDescent="0.25">
      <c r="A15" s="3">
        <v>19010</v>
      </c>
      <c r="B15" s="2" t="s">
        <v>9</v>
      </c>
      <c r="C15" s="30">
        <v>1.45</v>
      </c>
      <c r="D15" s="42">
        <v>1.27</v>
      </c>
      <c r="E15" s="29">
        <f t="shared" si="3"/>
        <v>56066.657000000007</v>
      </c>
      <c r="F15" s="323">
        <f t="shared" si="0"/>
        <v>53863.24</v>
      </c>
      <c r="G15" s="338">
        <f t="shared" si="1"/>
        <v>59772.55</v>
      </c>
      <c r="H15" s="338">
        <f t="shared" si="2"/>
        <v>63244.73</v>
      </c>
    </row>
    <row r="16" spans="1:8" ht="13.2" customHeight="1" x14ac:dyDescent="0.25">
      <c r="A16" s="3">
        <v>19011</v>
      </c>
      <c r="B16" s="2" t="s">
        <v>10</v>
      </c>
      <c r="C16" s="30">
        <v>8.4499999999999993</v>
      </c>
      <c r="D16" s="42">
        <v>7.41</v>
      </c>
      <c r="E16" s="29">
        <f t="shared" si="3"/>
        <v>326733.277</v>
      </c>
      <c r="F16" s="323">
        <f t="shared" si="0"/>
        <v>314272.92</v>
      </c>
      <c r="G16" s="338">
        <f t="shared" si="1"/>
        <v>348751.65</v>
      </c>
      <c r="H16" s="338">
        <f t="shared" si="2"/>
        <v>369010.59</v>
      </c>
    </row>
    <row r="17" spans="1:8" ht="13.2" customHeight="1" x14ac:dyDescent="0.25">
      <c r="A17" s="3">
        <v>19012</v>
      </c>
      <c r="B17" s="2" t="s">
        <v>11</v>
      </c>
      <c r="C17" s="30">
        <v>5.61</v>
      </c>
      <c r="D17" s="42">
        <v>4.92</v>
      </c>
      <c r="E17" s="29">
        <f t="shared" si="3"/>
        <v>216919.96260000003</v>
      </c>
      <c r="F17" s="323">
        <f t="shared" si="0"/>
        <v>208667.04</v>
      </c>
      <c r="G17" s="338">
        <f t="shared" si="1"/>
        <v>231559.8</v>
      </c>
      <c r="H17" s="338">
        <f t="shared" si="2"/>
        <v>245011.08</v>
      </c>
    </row>
    <row r="18" spans="1:8" ht="13.2" customHeight="1" x14ac:dyDescent="0.25">
      <c r="A18" s="3">
        <v>19013</v>
      </c>
      <c r="B18" s="2" t="s">
        <v>12</v>
      </c>
      <c r="C18" s="31">
        <v>2.2999999999999998</v>
      </c>
      <c r="D18" s="42">
        <v>2.02</v>
      </c>
      <c r="E18" s="29">
        <f t="shared" si="3"/>
        <v>88933.317999999999</v>
      </c>
      <c r="F18" s="323">
        <f t="shared" si="0"/>
        <v>85672.24</v>
      </c>
      <c r="G18" s="338">
        <f t="shared" si="1"/>
        <v>95071.3</v>
      </c>
      <c r="H18" s="338">
        <f t="shared" si="2"/>
        <v>100593.98</v>
      </c>
    </row>
    <row r="19" spans="1:8" ht="13.2" customHeight="1" x14ac:dyDescent="0.25">
      <c r="A19" s="3">
        <v>19014</v>
      </c>
      <c r="B19" s="2" t="s">
        <v>13</v>
      </c>
      <c r="C19" s="30">
        <v>2.87</v>
      </c>
      <c r="D19" s="42">
        <v>2.52</v>
      </c>
      <c r="E19" s="29">
        <f t="shared" si="3"/>
        <v>110973.31420000001</v>
      </c>
      <c r="F19" s="323">
        <f t="shared" si="0"/>
        <v>106878.24</v>
      </c>
      <c r="G19" s="338">
        <f t="shared" si="1"/>
        <v>118603.8</v>
      </c>
      <c r="H19" s="338">
        <f t="shared" si="2"/>
        <v>125493.48</v>
      </c>
    </row>
    <row r="20" spans="1:8" ht="13.2" customHeight="1" x14ac:dyDescent="0.25">
      <c r="A20" s="3">
        <v>19015</v>
      </c>
      <c r="B20" s="2" t="s">
        <v>14</v>
      </c>
      <c r="C20" s="30">
        <v>1.51</v>
      </c>
      <c r="D20" s="42">
        <v>1.32</v>
      </c>
      <c r="E20" s="29">
        <f t="shared" si="3"/>
        <v>58386.656600000002</v>
      </c>
      <c r="F20" s="323">
        <f t="shared" si="0"/>
        <v>55983.840000000004</v>
      </c>
      <c r="G20" s="338">
        <f t="shared" si="1"/>
        <v>62125.8</v>
      </c>
      <c r="H20" s="338">
        <f t="shared" si="2"/>
        <v>65734.680000000008</v>
      </c>
    </row>
    <row r="21" spans="1:8" ht="13.2" customHeight="1" x14ac:dyDescent="0.25">
      <c r="A21" s="3">
        <v>19016</v>
      </c>
      <c r="B21" s="2" t="s">
        <v>15</v>
      </c>
      <c r="C21" s="30">
        <v>0.84</v>
      </c>
      <c r="D21" s="42">
        <v>0.74</v>
      </c>
      <c r="E21" s="29">
        <f t="shared" si="3"/>
        <v>32479.994400000003</v>
      </c>
      <c r="F21" s="323">
        <f t="shared" si="0"/>
        <v>31384.880000000001</v>
      </c>
      <c r="G21" s="338">
        <f t="shared" si="1"/>
        <v>34828.1</v>
      </c>
      <c r="H21" s="338">
        <f t="shared" si="2"/>
        <v>36851.26</v>
      </c>
    </row>
    <row r="22" spans="1:8" ht="13.2" customHeight="1" x14ac:dyDescent="0.25">
      <c r="A22" s="3">
        <v>19017</v>
      </c>
      <c r="B22" s="2" t="s">
        <v>16</v>
      </c>
      <c r="C22" s="30">
        <v>0.56000000000000005</v>
      </c>
      <c r="D22" s="42">
        <v>0.49</v>
      </c>
      <c r="E22" s="29">
        <f t="shared" si="3"/>
        <v>21653.329600000005</v>
      </c>
      <c r="F22" s="323">
        <f t="shared" si="0"/>
        <v>20781.88</v>
      </c>
      <c r="G22" s="338">
        <f t="shared" si="1"/>
        <v>23061.85</v>
      </c>
      <c r="H22" s="338">
        <f t="shared" si="2"/>
        <v>24401.51</v>
      </c>
    </row>
    <row r="23" spans="1:8" ht="13.2" customHeight="1" x14ac:dyDescent="0.25">
      <c r="A23" s="3">
        <v>19019</v>
      </c>
      <c r="B23" s="2" t="s">
        <v>17</v>
      </c>
      <c r="C23" s="31">
        <v>2.1</v>
      </c>
      <c r="D23" s="42">
        <v>1.84</v>
      </c>
      <c r="E23" s="29">
        <f t="shared" si="3"/>
        <v>81199.986000000004</v>
      </c>
      <c r="F23" s="323">
        <f t="shared" si="0"/>
        <v>78038.080000000002</v>
      </c>
      <c r="G23" s="338">
        <f t="shared" si="1"/>
        <v>86599.6</v>
      </c>
      <c r="H23" s="338">
        <f t="shared" si="2"/>
        <v>91630.16</v>
      </c>
    </row>
    <row r="24" spans="1:8" ht="13.2" customHeight="1" x14ac:dyDescent="0.25">
      <c r="A24" s="3">
        <v>19020</v>
      </c>
      <c r="B24" s="2" t="s">
        <v>18</v>
      </c>
      <c r="C24" s="31">
        <v>3.1</v>
      </c>
      <c r="D24" s="42">
        <v>2.72</v>
      </c>
      <c r="E24" s="29">
        <f t="shared" si="3"/>
        <v>119866.64600000001</v>
      </c>
      <c r="F24" s="323">
        <f t="shared" si="0"/>
        <v>115360.64000000001</v>
      </c>
      <c r="G24" s="338">
        <f t="shared" si="1"/>
        <v>128016.8</v>
      </c>
      <c r="H24" s="338">
        <f t="shared" si="2"/>
        <v>135453.28</v>
      </c>
    </row>
    <row r="25" spans="1:8" ht="13.2" customHeight="1" x14ac:dyDescent="0.25">
      <c r="A25" s="3">
        <v>19021</v>
      </c>
      <c r="B25" s="2" t="s">
        <v>19</v>
      </c>
      <c r="C25" s="30">
        <v>0.55000000000000004</v>
      </c>
      <c r="D25" s="42">
        <v>0.48</v>
      </c>
      <c r="E25" s="29">
        <f t="shared" si="3"/>
        <v>21266.663000000004</v>
      </c>
      <c r="F25" s="323">
        <f t="shared" si="0"/>
        <v>20357.759999999998</v>
      </c>
      <c r="G25" s="338">
        <f t="shared" si="1"/>
        <v>22591.200000000001</v>
      </c>
      <c r="H25" s="338">
        <f t="shared" si="2"/>
        <v>23903.52</v>
      </c>
    </row>
    <row r="26" spans="1:8" ht="13.2" customHeight="1" x14ac:dyDescent="0.25">
      <c r="A26" s="3">
        <v>19022</v>
      </c>
      <c r="B26" s="2" t="s">
        <v>20</v>
      </c>
      <c r="C26" s="30">
        <v>0.56000000000000005</v>
      </c>
      <c r="D26" s="42">
        <v>0.49</v>
      </c>
      <c r="E26" s="29">
        <f t="shared" si="3"/>
        <v>21653.329600000005</v>
      </c>
      <c r="F26" s="323">
        <f t="shared" si="0"/>
        <v>20781.88</v>
      </c>
      <c r="G26" s="338">
        <f t="shared" si="1"/>
        <v>23061.85</v>
      </c>
      <c r="H26" s="338">
        <f t="shared" si="2"/>
        <v>24401.51</v>
      </c>
    </row>
    <row r="27" spans="1:8" ht="13.2" customHeight="1" x14ac:dyDescent="0.25">
      <c r="A27" s="3">
        <v>19025</v>
      </c>
      <c r="B27" s="2" t="s">
        <v>21</v>
      </c>
      <c r="C27" s="30">
        <v>2.27</v>
      </c>
      <c r="D27" s="42">
        <v>1.99</v>
      </c>
      <c r="E27" s="29">
        <f t="shared" si="3"/>
        <v>87773.318200000009</v>
      </c>
      <c r="F27" s="323">
        <f t="shared" si="0"/>
        <v>84399.88</v>
      </c>
      <c r="G27" s="338">
        <f t="shared" si="1"/>
        <v>93659.35</v>
      </c>
      <c r="H27" s="338">
        <f t="shared" si="2"/>
        <v>99100.01</v>
      </c>
    </row>
    <row r="28" spans="1:8" ht="13.2" customHeight="1" x14ac:dyDescent="0.25">
      <c r="A28" s="3">
        <v>19026</v>
      </c>
      <c r="B28" s="2" t="s">
        <v>22</v>
      </c>
      <c r="C28" s="31">
        <v>0.5</v>
      </c>
      <c r="D28" s="42">
        <v>0.44</v>
      </c>
      <c r="E28" s="29">
        <f t="shared" si="3"/>
        <v>19333.330000000002</v>
      </c>
      <c r="F28" s="323">
        <f t="shared" si="0"/>
        <v>18661.28</v>
      </c>
      <c r="G28" s="338">
        <f t="shared" si="1"/>
        <v>20708.599999999999</v>
      </c>
      <c r="H28" s="338">
        <f t="shared" si="2"/>
        <v>21911.56</v>
      </c>
    </row>
    <row r="29" spans="1:8" ht="13.2" customHeight="1" x14ac:dyDescent="0.25">
      <c r="A29" s="3">
        <v>19027</v>
      </c>
      <c r="B29" s="2" t="s">
        <v>23</v>
      </c>
      <c r="C29" s="30">
        <v>0.96</v>
      </c>
      <c r="D29" s="42">
        <v>0.84</v>
      </c>
      <c r="E29" s="29">
        <f t="shared" si="3"/>
        <v>37119.993600000002</v>
      </c>
      <c r="F29" s="323">
        <f t="shared" si="0"/>
        <v>35626.080000000002</v>
      </c>
      <c r="G29" s="338">
        <f t="shared" si="1"/>
        <v>39534.6</v>
      </c>
      <c r="H29" s="338">
        <f t="shared" si="2"/>
        <v>41831.159999999996</v>
      </c>
    </row>
    <row r="30" spans="1:8" ht="13.2" customHeight="1" x14ac:dyDescent="0.25">
      <c r="A30" s="3">
        <v>19031</v>
      </c>
      <c r="B30" s="2" t="s">
        <v>24</v>
      </c>
      <c r="C30" s="30">
        <v>1.81</v>
      </c>
      <c r="D30" s="42">
        <v>1.59</v>
      </c>
      <c r="E30" s="29">
        <f t="shared" si="3"/>
        <v>69986.654600000009</v>
      </c>
      <c r="F30" s="323">
        <f t="shared" si="0"/>
        <v>67435.08</v>
      </c>
      <c r="G30" s="338">
        <f t="shared" si="1"/>
        <v>74833.350000000006</v>
      </c>
      <c r="H30" s="338">
        <f t="shared" si="2"/>
        <v>79180.41</v>
      </c>
    </row>
    <row r="31" spans="1:8" ht="13.2" customHeight="1" x14ac:dyDescent="0.25">
      <c r="A31" s="3">
        <v>19032</v>
      </c>
      <c r="B31" s="2" t="s">
        <v>25</v>
      </c>
      <c r="C31" s="30">
        <v>1.81</v>
      </c>
      <c r="D31" s="42">
        <v>1.59</v>
      </c>
      <c r="E31" s="29">
        <f t="shared" si="3"/>
        <v>69986.654600000009</v>
      </c>
      <c r="F31" s="323">
        <f t="shared" si="0"/>
        <v>67435.08</v>
      </c>
      <c r="G31" s="338">
        <f t="shared" si="1"/>
        <v>74833.350000000006</v>
      </c>
      <c r="H31" s="338">
        <f t="shared" si="2"/>
        <v>79180.41</v>
      </c>
    </row>
    <row r="32" spans="1:8" ht="13.2" customHeight="1" x14ac:dyDescent="0.25">
      <c r="A32" s="3">
        <v>19033</v>
      </c>
      <c r="B32" s="2" t="s">
        <v>26</v>
      </c>
      <c r="C32" s="30">
        <v>0.59</v>
      </c>
      <c r="D32" s="42">
        <v>0.52</v>
      </c>
      <c r="E32" s="29">
        <f t="shared" si="3"/>
        <v>22813.329400000002</v>
      </c>
      <c r="F32" s="323">
        <f t="shared" si="0"/>
        <v>22054.240000000002</v>
      </c>
      <c r="G32" s="338">
        <f t="shared" si="1"/>
        <v>24473.8</v>
      </c>
      <c r="H32" s="338">
        <f t="shared" si="2"/>
        <v>25895.48</v>
      </c>
    </row>
    <row r="33" spans="1:8" ht="13.2" customHeight="1" x14ac:dyDescent="0.25">
      <c r="A33" s="3">
        <v>19036</v>
      </c>
      <c r="B33" s="2" t="s">
        <v>27</v>
      </c>
      <c r="C33" s="30">
        <v>0.34</v>
      </c>
      <c r="D33" s="42">
        <v>0.3</v>
      </c>
      <c r="E33" s="29">
        <f t="shared" si="3"/>
        <v>13146.664400000001</v>
      </c>
      <c r="F33" s="323">
        <f t="shared" si="0"/>
        <v>12723.6</v>
      </c>
      <c r="G33" s="338">
        <f t="shared" si="1"/>
        <v>14119.5</v>
      </c>
      <c r="H33" s="338">
        <f t="shared" si="2"/>
        <v>14939.699999999999</v>
      </c>
    </row>
    <row r="34" spans="1:8" ht="13.2" customHeight="1" x14ac:dyDescent="0.25">
      <c r="A34" s="3">
        <v>19037</v>
      </c>
      <c r="B34" s="2" t="s">
        <v>28</v>
      </c>
      <c r="C34" s="30">
        <v>0.84</v>
      </c>
      <c r="D34" s="42">
        <v>0.74</v>
      </c>
      <c r="E34" s="29">
        <f t="shared" si="3"/>
        <v>32479.994400000003</v>
      </c>
      <c r="F34" s="323">
        <f t="shared" si="0"/>
        <v>31384.880000000001</v>
      </c>
      <c r="G34" s="338">
        <f t="shared" si="1"/>
        <v>34828.1</v>
      </c>
      <c r="H34" s="338">
        <f t="shared" si="2"/>
        <v>36851.26</v>
      </c>
    </row>
    <row r="35" spans="1:8" ht="13.2" customHeight="1" x14ac:dyDescent="0.25">
      <c r="A35" s="3">
        <v>19038</v>
      </c>
      <c r="B35" s="2" t="s">
        <v>29</v>
      </c>
      <c r="C35" s="30">
        <v>1.86</v>
      </c>
      <c r="D35" s="42">
        <v>1.63</v>
      </c>
      <c r="E35" s="29">
        <f t="shared" si="3"/>
        <v>71919.987600000008</v>
      </c>
      <c r="F35" s="323">
        <f t="shared" si="0"/>
        <v>69131.56</v>
      </c>
      <c r="G35" s="338">
        <f t="shared" si="1"/>
        <v>76715.95</v>
      </c>
      <c r="H35" s="338">
        <f t="shared" si="2"/>
        <v>81172.37</v>
      </c>
    </row>
    <row r="36" spans="1:8" ht="13.2" customHeight="1" x14ac:dyDescent="0.25">
      <c r="A36" s="3">
        <v>19039</v>
      </c>
      <c r="B36" s="2" t="s">
        <v>30</v>
      </c>
      <c r="C36" s="30">
        <v>1.36</v>
      </c>
      <c r="D36" s="42">
        <v>1.19</v>
      </c>
      <c r="E36" s="29">
        <f t="shared" si="3"/>
        <v>52586.657600000006</v>
      </c>
      <c r="F36" s="323">
        <f t="shared" si="0"/>
        <v>50470.28</v>
      </c>
      <c r="G36" s="338">
        <f t="shared" si="1"/>
        <v>56007.35</v>
      </c>
      <c r="H36" s="338">
        <f t="shared" si="2"/>
        <v>59260.81</v>
      </c>
    </row>
    <row r="37" spans="1:8" ht="13.2" customHeight="1" x14ac:dyDescent="0.25">
      <c r="A37" s="3">
        <v>19043</v>
      </c>
      <c r="B37" s="2" t="s">
        <v>31</v>
      </c>
      <c r="C37" s="30">
        <v>1.36</v>
      </c>
      <c r="D37" s="42">
        <v>1.19</v>
      </c>
      <c r="E37" s="29">
        <f t="shared" si="3"/>
        <v>52586.657600000006</v>
      </c>
      <c r="F37" s="323">
        <f t="shared" si="0"/>
        <v>50470.28</v>
      </c>
      <c r="G37" s="338">
        <f t="shared" si="1"/>
        <v>56007.35</v>
      </c>
      <c r="H37" s="338">
        <f t="shared" si="2"/>
        <v>59260.81</v>
      </c>
    </row>
    <row r="38" spans="1:8" ht="13.2" customHeight="1" x14ac:dyDescent="0.25">
      <c r="A38" s="3">
        <v>19044</v>
      </c>
      <c r="B38" s="2" t="s">
        <v>32</v>
      </c>
      <c r="C38" s="30">
        <v>1.35</v>
      </c>
      <c r="D38" s="42">
        <v>1.18</v>
      </c>
      <c r="E38" s="29">
        <f t="shared" si="3"/>
        <v>52199.991000000009</v>
      </c>
      <c r="F38" s="323">
        <f t="shared" si="0"/>
        <v>50046.159999999996</v>
      </c>
      <c r="G38" s="338">
        <f t="shared" si="1"/>
        <v>55536.7</v>
      </c>
      <c r="H38" s="338">
        <f t="shared" si="2"/>
        <v>58762.82</v>
      </c>
    </row>
    <row r="39" spans="1:8" ht="13.2" customHeight="1" x14ac:dyDescent="0.25">
      <c r="A39" s="3">
        <v>19045</v>
      </c>
      <c r="B39" s="2" t="s">
        <v>33</v>
      </c>
      <c r="C39" s="30">
        <v>4.4800000000000004</v>
      </c>
      <c r="D39" s="42">
        <v>3.93</v>
      </c>
      <c r="E39" s="29">
        <f t="shared" si="3"/>
        <v>173226.63680000004</v>
      </c>
      <c r="F39" s="323">
        <f t="shared" si="0"/>
        <v>166679.16</v>
      </c>
      <c r="G39" s="338">
        <f t="shared" si="1"/>
        <v>184965.45</v>
      </c>
      <c r="H39" s="338">
        <f t="shared" si="2"/>
        <v>195710.07</v>
      </c>
    </row>
    <row r="40" spans="1:8" ht="13.2" customHeight="1" x14ac:dyDescent="0.25">
      <c r="A40" s="3">
        <v>19049</v>
      </c>
      <c r="B40" s="2" t="s">
        <v>34</v>
      </c>
      <c r="C40" s="30">
        <v>1.52</v>
      </c>
      <c r="D40" s="42">
        <v>1.33</v>
      </c>
      <c r="E40" s="29">
        <f t="shared" si="3"/>
        <v>58773.323200000006</v>
      </c>
      <c r="F40" s="323">
        <f t="shared" si="0"/>
        <v>56407.960000000006</v>
      </c>
      <c r="G40" s="338">
        <f t="shared" si="1"/>
        <v>62596.450000000004</v>
      </c>
      <c r="H40" s="338">
        <f t="shared" si="2"/>
        <v>66232.67</v>
      </c>
    </row>
    <row r="41" spans="1:8" ht="13.2" customHeight="1" x14ac:dyDescent="0.25">
      <c r="A41" s="3">
        <v>19050</v>
      </c>
      <c r="B41" s="2" t="s">
        <v>35</v>
      </c>
      <c r="C41" s="30">
        <v>0.87</v>
      </c>
      <c r="D41" s="42">
        <v>0.76</v>
      </c>
      <c r="E41" s="29">
        <f t="shared" si="3"/>
        <v>33639.994200000001</v>
      </c>
      <c r="F41" s="323">
        <f t="shared" si="0"/>
        <v>32233.119999999999</v>
      </c>
      <c r="G41" s="338">
        <f t="shared" si="1"/>
        <v>35769.4</v>
      </c>
      <c r="H41" s="338">
        <f t="shared" si="2"/>
        <v>37847.24</v>
      </c>
    </row>
    <row r="42" spans="1:8" ht="13.2" customHeight="1" x14ac:dyDescent="0.25">
      <c r="A42" s="3">
        <v>19051</v>
      </c>
      <c r="B42" s="2" t="s">
        <v>36</v>
      </c>
      <c r="C42" s="30">
        <v>0.87</v>
      </c>
      <c r="D42" s="42">
        <v>0.76</v>
      </c>
      <c r="E42" s="29">
        <f t="shared" si="3"/>
        <v>33639.994200000001</v>
      </c>
      <c r="F42" s="323">
        <f t="shared" si="0"/>
        <v>32233.119999999999</v>
      </c>
      <c r="G42" s="338">
        <f t="shared" si="1"/>
        <v>35769.4</v>
      </c>
      <c r="H42" s="338">
        <f t="shared" si="2"/>
        <v>37847.24</v>
      </c>
    </row>
    <row r="43" spans="1:8" ht="13.2" customHeight="1" x14ac:dyDescent="0.25">
      <c r="A43" s="3">
        <v>19055</v>
      </c>
      <c r="B43" s="2" t="s">
        <v>37</v>
      </c>
      <c r="C43" s="30">
        <v>0.82</v>
      </c>
      <c r="D43" s="42">
        <v>0.72</v>
      </c>
      <c r="E43" s="29">
        <f t="shared" si="3"/>
        <v>31706.661200000002</v>
      </c>
      <c r="F43" s="323">
        <f t="shared" si="0"/>
        <v>30536.639999999999</v>
      </c>
      <c r="G43" s="338">
        <f t="shared" si="1"/>
        <v>33886.799999999996</v>
      </c>
      <c r="H43" s="338">
        <f t="shared" si="2"/>
        <v>35855.279999999999</v>
      </c>
    </row>
    <row r="44" spans="1:8" ht="13.2" customHeight="1" x14ac:dyDescent="0.25">
      <c r="A44" s="3">
        <v>19056</v>
      </c>
      <c r="B44" s="2" t="s">
        <v>38</v>
      </c>
      <c r="C44" s="30">
        <v>2.81</v>
      </c>
      <c r="D44" s="42">
        <v>2.46</v>
      </c>
      <c r="E44" s="29">
        <f t="shared" si="3"/>
        <v>108653.31460000001</v>
      </c>
      <c r="F44" s="323">
        <f t="shared" si="0"/>
        <v>104333.52</v>
      </c>
      <c r="G44" s="338">
        <f t="shared" si="1"/>
        <v>115779.9</v>
      </c>
      <c r="H44" s="338">
        <f t="shared" si="2"/>
        <v>122505.54</v>
      </c>
    </row>
    <row r="45" spans="1:8" ht="13.2" customHeight="1" x14ac:dyDescent="0.25">
      <c r="A45" s="3">
        <v>19057</v>
      </c>
      <c r="B45" s="2" t="s">
        <v>39</v>
      </c>
      <c r="C45" s="30">
        <v>3.66</v>
      </c>
      <c r="D45" s="42">
        <v>3.21</v>
      </c>
      <c r="E45" s="29">
        <f t="shared" si="3"/>
        <v>141519.97560000001</v>
      </c>
      <c r="F45" s="323">
        <f t="shared" si="0"/>
        <v>136142.51999999999</v>
      </c>
      <c r="G45" s="338">
        <f t="shared" si="1"/>
        <v>151078.65</v>
      </c>
      <c r="H45" s="338">
        <f t="shared" si="2"/>
        <v>159854.79</v>
      </c>
    </row>
    <row r="46" spans="1:8" ht="13.2" customHeight="1" x14ac:dyDescent="0.25">
      <c r="A46" s="3">
        <v>19058</v>
      </c>
      <c r="B46" s="2" t="s">
        <v>40</v>
      </c>
      <c r="C46" s="30">
        <v>1.63</v>
      </c>
      <c r="D46" s="42">
        <v>1.43</v>
      </c>
      <c r="E46" s="29">
        <f t="shared" si="3"/>
        <v>63026.6558</v>
      </c>
      <c r="F46" s="323">
        <f t="shared" si="0"/>
        <v>60649.159999999996</v>
      </c>
      <c r="G46" s="338">
        <f t="shared" si="1"/>
        <v>67302.95</v>
      </c>
      <c r="H46" s="338">
        <f t="shared" si="2"/>
        <v>71212.569999999992</v>
      </c>
    </row>
    <row r="47" spans="1:8" ht="13.2" customHeight="1" x14ac:dyDescent="0.25">
      <c r="A47" s="3">
        <v>19061</v>
      </c>
      <c r="B47" s="2" t="s">
        <v>41</v>
      </c>
      <c r="C47" s="30">
        <v>1.42</v>
      </c>
      <c r="D47" s="42">
        <v>1.25</v>
      </c>
      <c r="E47" s="29">
        <f t="shared" si="3"/>
        <v>54906.657200000001</v>
      </c>
      <c r="F47" s="323">
        <f t="shared" si="0"/>
        <v>53015</v>
      </c>
      <c r="G47" s="338">
        <f t="shared" si="1"/>
        <v>58831.25</v>
      </c>
      <c r="H47" s="338">
        <f t="shared" si="2"/>
        <v>62248.75</v>
      </c>
    </row>
    <row r="48" spans="1:8" ht="13.2" customHeight="1" x14ac:dyDescent="0.25">
      <c r="A48" s="3">
        <v>19062</v>
      </c>
      <c r="B48" s="2" t="s">
        <v>42</v>
      </c>
      <c r="C48" s="30">
        <v>0.65</v>
      </c>
      <c r="D48" s="42">
        <v>0.56999999999999995</v>
      </c>
      <c r="E48" s="29">
        <f t="shared" si="3"/>
        <v>25133.329000000002</v>
      </c>
      <c r="F48" s="323">
        <f t="shared" si="0"/>
        <v>24174.839999999997</v>
      </c>
      <c r="G48" s="338">
        <f t="shared" si="1"/>
        <v>26827.05</v>
      </c>
      <c r="H48" s="338">
        <f t="shared" si="2"/>
        <v>28385.429999999997</v>
      </c>
    </row>
    <row r="49" spans="1:8" ht="13.2" customHeight="1" x14ac:dyDescent="0.25">
      <c r="A49" s="3">
        <v>19063</v>
      </c>
      <c r="B49" s="2" t="s">
        <v>43</v>
      </c>
      <c r="C49" s="31">
        <v>2.5</v>
      </c>
      <c r="D49" s="42">
        <v>2.19</v>
      </c>
      <c r="E49" s="29">
        <f t="shared" si="3"/>
        <v>96666.650000000009</v>
      </c>
      <c r="F49" s="323">
        <f t="shared" si="0"/>
        <v>92882.28</v>
      </c>
      <c r="G49" s="338">
        <f t="shared" si="1"/>
        <v>103072.34999999999</v>
      </c>
      <c r="H49" s="338">
        <f t="shared" si="2"/>
        <v>109059.81</v>
      </c>
    </row>
    <row r="50" spans="1:8" ht="13.2" customHeight="1" x14ac:dyDescent="0.25">
      <c r="A50" s="3">
        <v>19064</v>
      </c>
      <c r="B50" s="2" t="s">
        <v>44</v>
      </c>
      <c r="C50" s="30">
        <v>0.79</v>
      </c>
      <c r="D50" s="42">
        <v>0.69</v>
      </c>
      <c r="E50" s="29">
        <f t="shared" si="3"/>
        <v>30546.661400000005</v>
      </c>
      <c r="F50" s="323">
        <f t="shared" si="0"/>
        <v>29264.28</v>
      </c>
      <c r="G50" s="338">
        <f t="shared" si="1"/>
        <v>32474.85</v>
      </c>
      <c r="H50" s="338">
        <f t="shared" si="2"/>
        <v>34361.31</v>
      </c>
    </row>
    <row r="51" spans="1:8" ht="13.2" customHeight="1" x14ac:dyDescent="0.25">
      <c r="A51" s="3">
        <v>19065</v>
      </c>
      <c r="B51" s="2" t="s">
        <v>45</v>
      </c>
      <c r="C51" s="30">
        <v>2.31</v>
      </c>
      <c r="D51" s="42">
        <v>2.0299999999999998</v>
      </c>
      <c r="E51" s="29">
        <f t="shared" si="3"/>
        <v>89319.984600000011</v>
      </c>
      <c r="F51" s="323">
        <f t="shared" si="0"/>
        <v>86096.359999999986</v>
      </c>
      <c r="G51" s="338">
        <f t="shared" si="1"/>
        <v>95541.95</v>
      </c>
      <c r="H51" s="338">
        <f t="shared" si="2"/>
        <v>101091.96999999999</v>
      </c>
    </row>
    <row r="52" spans="1:8" ht="13.2" customHeight="1" x14ac:dyDescent="0.25">
      <c r="A52" s="3">
        <v>19066</v>
      </c>
      <c r="B52" s="2" t="s">
        <v>46</v>
      </c>
      <c r="C52" s="30">
        <v>16.91</v>
      </c>
      <c r="D52" s="42">
        <v>14.83</v>
      </c>
      <c r="E52" s="29">
        <f t="shared" si="3"/>
        <v>653853.22060000012</v>
      </c>
      <c r="F52" s="323">
        <f t="shared" si="0"/>
        <v>628969.96</v>
      </c>
      <c r="G52" s="338">
        <f t="shared" si="1"/>
        <v>697973.95</v>
      </c>
      <c r="H52" s="338">
        <f t="shared" si="2"/>
        <v>738519.17</v>
      </c>
    </row>
    <row r="53" spans="1:8" ht="13.2" customHeight="1" x14ac:dyDescent="0.25">
      <c r="A53" s="3">
        <v>19067</v>
      </c>
      <c r="B53" s="2" t="s">
        <v>47</v>
      </c>
      <c r="C53" s="30">
        <v>5.64</v>
      </c>
      <c r="D53" s="42">
        <v>4.95</v>
      </c>
      <c r="E53" s="29">
        <f t="shared" si="3"/>
        <v>218079.96240000002</v>
      </c>
      <c r="F53" s="323">
        <f t="shared" si="0"/>
        <v>209939.4</v>
      </c>
      <c r="G53" s="338">
        <f t="shared" si="1"/>
        <v>232971.75</v>
      </c>
      <c r="H53" s="338">
        <f t="shared" si="2"/>
        <v>246505.05000000002</v>
      </c>
    </row>
    <row r="54" spans="1:8" ht="13.2" customHeight="1" x14ac:dyDescent="0.25">
      <c r="A54" s="3">
        <v>19068</v>
      </c>
      <c r="B54" s="2" t="s">
        <v>48</v>
      </c>
      <c r="C54" s="30">
        <v>2.12</v>
      </c>
      <c r="D54" s="42">
        <v>1.86</v>
      </c>
      <c r="E54" s="29">
        <f t="shared" si="3"/>
        <v>81973.319200000013</v>
      </c>
      <c r="F54" s="323">
        <f t="shared" si="0"/>
        <v>78886.320000000007</v>
      </c>
      <c r="G54" s="338">
        <f t="shared" si="1"/>
        <v>87540.900000000009</v>
      </c>
      <c r="H54" s="338">
        <f t="shared" si="2"/>
        <v>92626.14</v>
      </c>
    </row>
    <row r="55" spans="1:8" ht="13.2" customHeight="1" x14ac:dyDescent="0.25">
      <c r="A55" s="3">
        <v>19069</v>
      </c>
      <c r="B55" s="2" t="s">
        <v>49</v>
      </c>
      <c r="C55" s="31">
        <v>1.3</v>
      </c>
      <c r="D55" s="42">
        <v>1.1399999999999999</v>
      </c>
      <c r="E55" s="29">
        <f t="shared" si="3"/>
        <v>50266.658000000003</v>
      </c>
      <c r="F55" s="323">
        <f t="shared" si="0"/>
        <v>48349.679999999993</v>
      </c>
      <c r="G55" s="338">
        <f t="shared" si="1"/>
        <v>53654.1</v>
      </c>
      <c r="H55" s="338">
        <f t="shared" si="2"/>
        <v>56770.859999999993</v>
      </c>
    </row>
    <row r="56" spans="1:8" ht="13.2" customHeight="1" x14ac:dyDescent="0.25">
      <c r="A56" s="3">
        <v>19070</v>
      </c>
      <c r="B56" s="2" t="s">
        <v>50</v>
      </c>
      <c r="C56" s="30">
        <v>4.25</v>
      </c>
      <c r="D56" s="42">
        <v>3.73</v>
      </c>
      <c r="E56" s="29">
        <f t="shared" si="3"/>
        <v>164333.30500000002</v>
      </c>
      <c r="F56" s="323">
        <f t="shared" si="0"/>
        <v>158196.76</v>
      </c>
      <c r="G56" s="338">
        <f t="shared" si="1"/>
        <v>175552.45</v>
      </c>
      <c r="H56" s="338">
        <f t="shared" si="2"/>
        <v>185750.27</v>
      </c>
    </row>
    <row r="57" spans="1:8" ht="13.2" customHeight="1" x14ac:dyDescent="0.25">
      <c r="A57" s="3">
        <v>19073</v>
      </c>
      <c r="B57" s="2" t="s">
        <v>51</v>
      </c>
      <c r="C57" s="30">
        <v>2.93</v>
      </c>
      <c r="D57" s="42">
        <v>2.57</v>
      </c>
      <c r="E57" s="29">
        <f t="shared" si="3"/>
        <v>113293.31380000002</v>
      </c>
      <c r="F57" s="323">
        <f t="shared" si="0"/>
        <v>108998.84</v>
      </c>
      <c r="G57" s="338">
        <f t="shared" si="1"/>
        <v>120957.04999999999</v>
      </c>
      <c r="H57" s="338">
        <f t="shared" si="2"/>
        <v>127983.43</v>
      </c>
    </row>
    <row r="58" spans="1:8" ht="13.2" customHeight="1" x14ac:dyDescent="0.25">
      <c r="A58" s="3">
        <v>19074</v>
      </c>
      <c r="B58" s="2" t="s">
        <v>52</v>
      </c>
      <c r="C58" s="30">
        <v>2.09</v>
      </c>
      <c r="D58" s="42">
        <v>1.83</v>
      </c>
      <c r="E58" s="29">
        <f t="shared" si="3"/>
        <v>80813.319400000008</v>
      </c>
      <c r="F58" s="323">
        <f t="shared" si="0"/>
        <v>77613.960000000006</v>
      </c>
      <c r="G58" s="338">
        <f t="shared" si="1"/>
        <v>86128.95</v>
      </c>
      <c r="H58" s="338">
        <f t="shared" si="2"/>
        <v>91132.17</v>
      </c>
    </row>
    <row r="59" spans="1:8" ht="13.2" customHeight="1" x14ac:dyDescent="0.25">
      <c r="A59" s="3">
        <v>19075</v>
      </c>
      <c r="B59" s="2" t="s">
        <v>53</v>
      </c>
      <c r="C59" s="30">
        <v>1.04</v>
      </c>
      <c r="D59" s="42">
        <v>0.91</v>
      </c>
      <c r="E59" s="29">
        <f t="shared" si="3"/>
        <v>40213.326400000005</v>
      </c>
      <c r="F59" s="323">
        <f t="shared" si="0"/>
        <v>38594.92</v>
      </c>
      <c r="G59" s="338">
        <f t="shared" si="1"/>
        <v>42829.15</v>
      </c>
      <c r="H59" s="338">
        <f t="shared" si="2"/>
        <v>45317.090000000004</v>
      </c>
    </row>
    <row r="60" spans="1:8" ht="13.2" customHeight="1" x14ac:dyDescent="0.25">
      <c r="A60" s="3">
        <v>19079</v>
      </c>
      <c r="B60" s="2" t="s">
        <v>54</v>
      </c>
      <c r="C60" s="30">
        <v>2.12</v>
      </c>
      <c r="D60" s="42">
        <v>1.86</v>
      </c>
      <c r="E60" s="29">
        <f t="shared" si="3"/>
        <v>81973.319200000013</v>
      </c>
      <c r="F60" s="323">
        <f t="shared" si="0"/>
        <v>78886.320000000007</v>
      </c>
      <c r="G60" s="338">
        <f t="shared" si="1"/>
        <v>87540.900000000009</v>
      </c>
      <c r="H60" s="338">
        <f t="shared" si="2"/>
        <v>92626.14</v>
      </c>
    </row>
    <row r="61" spans="1:8" ht="13.2" customHeight="1" x14ac:dyDescent="0.25">
      <c r="A61" s="3">
        <v>19080</v>
      </c>
      <c r="B61" s="2" t="s">
        <v>55</v>
      </c>
      <c r="C61" s="30">
        <v>2.3199999999999998</v>
      </c>
      <c r="D61" s="42">
        <v>2.0299999999999998</v>
      </c>
      <c r="E61" s="29">
        <f t="shared" si="3"/>
        <v>89706.651200000008</v>
      </c>
      <c r="F61" s="323">
        <f t="shared" si="0"/>
        <v>86096.359999999986</v>
      </c>
      <c r="G61" s="338">
        <f t="shared" si="1"/>
        <v>95541.95</v>
      </c>
      <c r="H61" s="338">
        <f t="shared" si="2"/>
        <v>101091.96999999999</v>
      </c>
    </row>
    <row r="62" spans="1:8" ht="13.2" customHeight="1" x14ac:dyDescent="0.25">
      <c r="A62" s="3">
        <v>19081</v>
      </c>
      <c r="B62" s="2" t="s">
        <v>56</v>
      </c>
      <c r="C62" s="30">
        <v>2.5299999999999998</v>
      </c>
      <c r="D62" s="42">
        <v>2.2200000000000002</v>
      </c>
      <c r="E62" s="29">
        <f t="shared" si="3"/>
        <v>97826.649799999999</v>
      </c>
      <c r="F62" s="323">
        <f t="shared" si="0"/>
        <v>94154.640000000014</v>
      </c>
      <c r="G62" s="338">
        <f t="shared" si="1"/>
        <v>104484.3</v>
      </c>
      <c r="H62" s="338">
        <f t="shared" si="2"/>
        <v>110553.78000000001</v>
      </c>
    </row>
    <row r="63" spans="1:8" ht="13.2" customHeight="1" x14ac:dyDescent="0.25">
      <c r="A63" s="3">
        <v>19082</v>
      </c>
      <c r="B63" s="2" t="s">
        <v>57</v>
      </c>
      <c r="C63" s="30">
        <v>3.72</v>
      </c>
      <c r="D63" s="42">
        <v>3.26</v>
      </c>
      <c r="E63" s="29">
        <f t="shared" si="3"/>
        <v>143839.97520000002</v>
      </c>
      <c r="F63" s="323">
        <f t="shared" si="0"/>
        <v>138263.12</v>
      </c>
      <c r="G63" s="338">
        <f t="shared" si="1"/>
        <v>153431.9</v>
      </c>
      <c r="H63" s="338">
        <f t="shared" si="2"/>
        <v>162344.74</v>
      </c>
    </row>
    <row r="64" spans="1:8" ht="13.2" customHeight="1" x14ac:dyDescent="0.25">
      <c r="A64" s="3">
        <v>19083</v>
      </c>
      <c r="B64" s="2" t="s">
        <v>58</v>
      </c>
      <c r="C64" s="30">
        <v>2.37</v>
      </c>
      <c r="D64" s="42">
        <v>2.08</v>
      </c>
      <c r="E64" s="29">
        <f t="shared" si="3"/>
        <v>91639.984200000006</v>
      </c>
      <c r="F64" s="323">
        <f t="shared" si="0"/>
        <v>88216.960000000006</v>
      </c>
      <c r="G64" s="338">
        <f t="shared" si="1"/>
        <v>97895.2</v>
      </c>
      <c r="H64" s="338">
        <f t="shared" si="2"/>
        <v>103581.92</v>
      </c>
    </row>
    <row r="65" spans="1:8" ht="13.2" customHeight="1" x14ac:dyDescent="0.25">
      <c r="A65" s="3">
        <v>19084</v>
      </c>
      <c r="B65" s="2" t="s">
        <v>59</v>
      </c>
      <c r="C65" s="30">
        <v>3.49</v>
      </c>
      <c r="D65" s="42">
        <v>3.06</v>
      </c>
      <c r="E65" s="29">
        <f t="shared" si="3"/>
        <v>134946.64340000003</v>
      </c>
      <c r="F65" s="323">
        <f t="shared" si="0"/>
        <v>129780.72</v>
      </c>
      <c r="G65" s="338">
        <f t="shared" si="1"/>
        <v>144018.9</v>
      </c>
      <c r="H65" s="338">
        <f t="shared" si="2"/>
        <v>152384.94</v>
      </c>
    </row>
    <row r="66" spans="1:8" ht="13.2" customHeight="1" x14ac:dyDescent="0.25">
      <c r="A66" s="3">
        <v>19085</v>
      </c>
      <c r="B66" s="2" t="s">
        <v>60</v>
      </c>
      <c r="C66" s="30">
        <v>2.68</v>
      </c>
      <c r="D66" s="42">
        <v>2.35</v>
      </c>
      <c r="E66" s="29">
        <f t="shared" si="3"/>
        <v>103626.64880000001</v>
      </c>
      <c r="F66" s="323">
        <f t="shared" si="0"/>
        <v>99668.2</v>
      </c>
      <c r="G66" s="338">
        <f t="shared" si="1"/>
        <v>110602.75</v>
      </c>
      <c r="H66" s="338">
        <f t="shared" si="2"/>
        <v>117027.65000000001</v>
      </c>
    </row>
    <row r="67" spans="1:8" ht="13.2" customHeight="1" x14ac:dyDescent="0.25">
      <c r="A67" s="3">
        <v>19086</v>
      </c>
      <c r="B67" s="2" t="s">
        <v>61</v>
      </c>
      <c r="C67" s="31">
        <v>4.2</v>
      </c>
      <c r="D67" s="42">
        <v>3.68</v>
      </c>
      <c r="E67" s="29">
        <f t="shared" si="3"/>
        <v>162399.97200000001</v>
      </c>
      <c r="F67" s="323">
        <f t="shared" si="0"/>
        <v>156076.16</v>
      </c>
      <c r="G67" s="338">
        <f t="shared" si="1"/>
        <v>173199.2</v>
      </c>
      <c r="H67" s="338">
        <f t="shared" si="2"/>
        <v>183260.32</v>
      </c>
    </row>
    <row r="68" spans="1:8" ht="13.2" customHeight="1" x14ac:dyDescent="0.25">
      <c r="A68" s="3">
        <v>19087</v>
      </c>
      <c r="B68" s="2" t="s">
        <v>62</v>
      </c>
      <c r="C68" s="30">
        <v>2.56</v>
      </c>
      <c r="D68" s="42">
        <v>2.25</v>
      </c>
      <c r="E68" s="29">
        <f t="shared" si="3"/>
        <v>98986.649600000004</v>
      </c>
      <c r="F68" s="323">
        <f t="shared" si="0"/>
        <v>95427</v>
      </c>
      <c r="G68" s="338">
        <f t="shared" si="1"/>
        <v>105896.25</v>
      </c>
      <c r="H68" s="338">
        <f t="shared" si="2"/>
        <v>112047.75</v>
      </c>
    </row>
    <row r="69" spans="1:8" ht="13.2" customHeight="1" x14ac:dyDescent="0.25">
      <c r="A69" s="3">
        <v>19088</v>
      </c>
      <c r="B69" s="2" t="s">
        <v>63</v>
      </c>
      <c r="C69" s="31">
        <v>3.1</v>
      </c>
      <c r="D69" s="42">
        <v>2.72</v>
      </c>
      <c r="E69" s="29">
        <f t="shared" si="3"/>
        <v>119866.64600000001</v>
      </c>
      <c r="F69" s="323">
        <f t="shared" si="0"/>
        <v>115360.64000000001</v>
      </c>
      <c r="G69" s="338">
        <f t="shared" si="1"/>
        <v>128016.8</v>
      </c>
      <c r="H69" s="338">
        <f t="shared" si="2"/>
        <v>135453.28</v>
      </c>
    </row>
    <row r="70" spans="1:8" ht="13.2" customHeight="1" x14ac:dyDescent="0.25">
      <c r="A70" s="3">
        <v>19089</v>
      </c>
      <c r="B70" s="2" t="s">
        <v>64</v>
      </c>
      <c r="C70" s="30">
        <v>2.69</v>
      </c>
      <c r="D70" s="42">
        <v>2.36</v>
      </c>
      <c r="E70" s="29">
        <f t="shared" si="3"/>
        <v>104013.31540000001</v>
      </c>
      <c r="F70" s="323">
        <f t="shared" ref="F70:F133" si="4">+$D70*$F$2</f>
        <v>100092.31999999999</v>
      </c>
      <c r="G70" s="338">
        <f t="shared" ref="G70:G133" si="5">+$D70*$G$2</f>
        <v>111073.4</v>
      </c>
      <c r="H70" s="338">
        <f t="shared" ref="H70:H133" si="6">+$D70*$H$2</f>
        <v>117525.64</v>
      </c>
    </row>
    <row r="71" spans="1:8" ht="13.2" customHeight="1" x14ac:dyDescent="0.25">
      <c r="A71" s="3">
        <v>19090</v>
      </c>
      <c r="B71" s="2" t="s">
        <v>65</v>
      </c>
      <c r="C71" s="30">
        <v>2.63</v>
      </c>
      <c r="D71" s="42">
        <v>2.31</v>
      </c>
      <c r="E71" s="29">
        <f t="shared" ref="E71:E134" si="7">+$C71*$E$2</f>
        <v>101693.31580000001</v>
      </c>
      <c r="F71" s="323">
        <f t="shared" si="4"/>
        <v>97971.72</v>
      </c>
      <c r="G71" s="338">
        <f t="shared" si="5"/>
        <v>108720.15000000001</v>
      </c>
      <c r="H71" s="338">
        <f t="shared" si="6"/>
        <v>115035.69</v>
      </c>
    </row>
    <row r="72" spans="1:8" ht="13.2" customHeight="1" x14ac:dyDescent="0.25">
      <c r="A72" s="3">
        <v>19091</v>
      </c>
      <c r="B72" s="2" t="s">
        <v>66</v>
      </c>
      <c r="C72" s="30">
        <v>2.09</v>
      </c>
      <c r="D72" s="42">
        <v>1.83</v>
      </c>
      <c r="E72" s="29">
        <f t="shared" si="7"/>
        <v>80813.319400000008</v>
      </c>
      <c r="F72" s="323">
        <f t="shared" si="4"/>
        <v>77613.960000000006</v>
      </c>
      <c r="G72" s="338">
        <f t="shared" si="5"/>
        <v>86128.95</v>
      </c>
      <c r="H72" s="338">
        <f t="shared" si="6"/>
        <v>91132.17</v>
      </c>
    </row>
    <row r="73" spans="1:8" ht="13.2" customHeight="1" x14ac:dyDescent="0.25">
      <c r="A73" s="3">
        <v>19092</v>
      </c>
      <c r="B73" s="2" t="s">
        <v>67</v>
      </c>
      <c r="C73" s="30">
        <v>2.56</v>
      </c>
      <c r="D73" s="42">
        <v>2.25</v>
      </c>
      <c r="E73" s="29">
        <f t="shared" si="7"/>
        <v>98986.649600000004</v>
      </c>
      <c r="F73" s="323">
        <f t="shared" si="4"/>
        <v>95427</v>
      </c>
      <c r="G73" s="338">
        <f t="shared" si="5"/>
        <v>105896.25</v>
      </c>
      <c r="H73" s="338">
        <f t="shared" si="6"/>
        <v>112047.75</v>
      </c>
    </row>
    <row r="74" spans="1:8" ht="13.2" customHeight="1" x14ac:dyDescent="0.25">
      <c r="A74" s="3">
        <v>19093</v>
      </c>
      <c r="B74" s="2" t="s">
        <v>68</v>
      </c>
      <c r="C74" s="31">
        <v>1.7</v>
      </c>
      <c r="D74" s="42">
        <v>1.49</v>
      </c>
      <c r="E74" s="29">
        <f t="shared" si="7"/>
        <v>65733.322</v>
      </c>
      <c r="F74" s="323">
        <f t="shared" si="4"/>
        <v>63193.88</v>
      </c>
      <c r="G74" s="338">
        <f t="shared" si="5"/>
        <v>70126.850000000006</v>
      </c>
      <c r="H74" s="338">
        <f t="shared" si="6"/>
        <v>74200.509999999995</v>
      </c>
    </row>
    <row r="75" spans="1:8" ht="13.2" customHeight="1" x14ac:dyDescent="0.25">
      <c r="A75" s="3">
        <v>19094</v>
      </c>
      <c r="B75" s="2" t="s">
        <v>69</v>
      </c>
      <c r="C75" s="30">
        <v>1.69</v>
      </c>
      <c r="D75" s="42">
        <v>1.48</v>
      </c>
      <c r="E75" s="29">
        <f t="shared" si="7"/>
        <v>65346.655400000003</v>
      </c>
      <c r="F75" s="323">
        <f t="shared" si="4"/>
        <v>62769.760000000002</v>
      </c>
      <c r="G75" s="338">
        <f t="shared" si="5"/>
        <v>69656.2</v>
      </c>
      <c r="H75" s="338">
        <f t="shared" si="6"/>
        <v>73702.52</v>
      </c>
    </row>
    <row r="76" spans="1:8" ht="13.2" customHeight="1" x14ac:dyDescent="0.25">
      <c r="A76" s="3">
        <v>19097</v>
      </c>
      <c r="B76" s="2" t="s">
        <v>70</v>
      </c>
      <c r="C76" s="30">
        <v>2.38</v>
      </c>
      <c r="D76" s="42">
        <v>2.09</v>
      </c>
      <c r="E76" s="29">
        <f t="shared" si="7"/>
        <v>92026.650800000003</v>
      </c>
      <c r="F76" s="323">
        <f t="shared" si="4"/>
        <v>88641.079999999987</v>
      </c>
      <c r="G76" s="338">
        <f t="shared" si="5"/>
        <v>98365.849999999991</v>
      </c>
      <c r="H76" s="338">
        <f t="shared" si="6"/>
        <v>104079.90999999999</v>
      </c>
    </row>
    <row r="77" spans="1:8" ht="13.2" customHeight="1" x14ac:dyDescent="0.25">
      <c r="A77" s="3">
        <v>19098</v>
      </c>
      <c r="B77" s="2" t="s">
        <v>71</v>
      </c>
      <c r="C77" s="30">
        <v>5.08</v>
      </c>
      <c r="D77" s="42">
        <v>4.46</v>
      </c>
      <c r="E77" s="29">
        <f t="shared" si="7"/>
        <v>196426.63280000002</v>
      </c>
      <c r="F77" s="323">
        <f t="shared" si="4"/>
        <v>189157.52</v>
      </c>
      <c r="G77" s="338">
        <f t="shared" si="5"/>
        <v>209909.9</v>
      </c>
      <c r="H77" s="338">
        <f t="shared" si="6"/>
        <v>222103.54</v>
      </c>
    </row>
    <row r="78" spans="1:8" ht="13.2" customHeight="1" x14ac:dyDescent="0.25">
      <c r="A78" s="3">
        <v>19099</v>
      </c>
      <c r="B78" s="2" t="s">
        <v>72</v>
      </c>
      <c r="C78" s="30">
        <v>1.55</v>
      </c>
      <c r="D78" s="42">
        <v>1.36</v>
      </c>
      <c r="E78" s="29">
        <f t="shared" si="7"/>
        <v>59933.323000000004</v>
      </c>
      <c r="F78" s="323">
        <f t="shared" si="4"/>
        <v>57680.320000000007</v>
      </c>
      <c r="G78" s="338">
        <f t="shared" si="5"/>
        <v>64008.4</v>
      </c>
      <c r="H78" s="338">
        <f t="shared" si="6"/>
        <v>67726.64</v>
      </c>
    </row>
    <row r="79" spans="1:8" ht="13.2" customHeight="1" x14ac:dyDescent="0.25">
      <c r="A79" s="3">
        <v>19103</v>
      </c>
      <c r="B79" s="2" t="s">
        <v>73</v>
      </c>
      <c r="C79" s="30">
        <v>3.82</v>
      </c>
      <c r="D79" s="42">
        <v>3.35</v>
      </c>
      <c r="E79" s="29">
        <f t="shared" si="7"/>
        <v>147706.64120000001</v>
      </c>
      <c r="F79" s="323">
        <f t="shared" si="4"/>
        <v>142080.20000000001</v>
      </c>
      <c r="G79" s="338">
        <f t="shared" si="5"/>
        <v>157667.75</v>
      </c>
      <c r="H79" s="338">
        <f t="shared" si="6"/>
        <v>166826.65</v>
      </c>
    </row>
    <row r="80" spans="1:8" ht="13.2" customHeight="1" x14ac:dyDescent="0.25">
      <c r="A80" s="3">
        <v>19104</v>
      </c>
      <c r="B80" s="2" t="s">
        <v>74</v>
      </c>
      <c r="C80" s="30">
        <v>3.82</v>
      </c>
      <c r="D80" s="42">
        <v>3.35</v>
      </c>
      <c r="E80" s="29">
        <f t="shared" si="7"/>
        <v>147706.64120000001</v>
      </c>
      <c r="F80" s="323">
        <f t="shared" si="4"/>
        <v>142080.20000000001</v>
      </c>
      <c r="G80" s="338">
        <f t="shared" si="5"/>
        <v>157667.75</v>
      </c>
      <c r="H80" s="338">
        <f t="shared" si="6"/>
        <v>166826.65</v>
      </c>
    </row>
    <row r="81" spans="1:8" ht="13.2" customHeight="1" x14ac:dyDescent="0.25">
      <c r="A81" s="3">
        <v>19105</v>
      </c>
      <c r="B81" s="2" t="s">
        <v>75</v>
      </c>
      <c r="C81" s="30">
        <v>3.82</v>
      </c>
      <c r="D81" s="42">
        <v>3.35</v>
      </c>
      <c r="E81" s="29">
        <f t="shared" si="7"/>
        <v>147706.64120000001</v>
      </c>
      <c r="F81" s="323">
        <f t="shared" si="4"/>
        <v>142080.20000000001</v>
      </c>
      <c r="G81" s="338">
        <f t="shared" si="5"/>
        <v>157667.75</v>
      </c>
      <c r="H81" s="338">
        <f t="shared" si="6"/>
        <v>166826.65</v>
      </c>
    </row>
    <row r="82" spans="1:8" ht="13.2" customHeight="1" x14ac:dyDescent="0.25">
      <c r="A82" s="3">
        <v>19109</v>
      </c>
      <c r="B82" s="2" t="s">
        <v>76</v>
      </c>
      <c r="C82" s="30">
        <v>3.82</v>
      </c>
      <c r="D82" s="42">
        <v>3.35</v>
      </c>
      <c r="E82" s="29">
        <f t="shared" si="7"/>
        <v>147706.64120000001</v>
      </c>
      <c r="F82" s="323">
        <f t="shared" si="4"/>
        <v>142080.20000000001</v>
      </c>
      <c r="G82" s="338">
        <f t="shared" si="5"/>
        <v>157667.75</v>
      </c>
      <c r="H82" s="338">
        <f t="shared" si="6"/>
        <v>166826.65</v>
      </c>
    </row>
    <row r="83" spans="1:8" ht="13.2" customHeight="1" x14ac:dyDescent="0.25">
      <c r="A83" s="3">
        <v>19110</v>
      </c>
      <c r="B83" s="2" t="s">
        <v>77</v>
      </c>
      <c r="C83" s="30">
        <v>3.82</v>
      </c>
      <c r="D83" s="42">
        <v>3.35</v>
      </c>
      <c r="E83" s="29">
        <f t="shared" si="7"/>
        <v>147706.64120000001</v>
      </c>
      <c r="F83" s="323">
        <f t="shared" si="4"/>
        <v>142080.20000000001</v>
      </c>
      <c r="G83" s="338">
        <f t="shared" si="5"/>
        <v>157667.75</v>
      </c>
      <c r="H83" s="338">
        <f t="shared" si="6"/>
        <v>166826.65</v>
      </c>
    </row>
    <row r="84" spans="1:8" ht="13.2" customHeight="1" x14ac:dyDescent="0.25">
      <c r="A84" s="3">
        <v>19111</v>
      </c>
      <c r="B84" s="2" t="s">
        <v>78</v>
      </c>
      <c r="C84" s="30">
        <v>3.82</v>
      </c>
      <c r="D84" s="42">
        <v>3.35</v>
      </c>
      <c r="E84" s="29">
        <f t="shared" si="7"/>
        <v>147706.64120000001</v>
      </c>
      <c r="F84" s="323">
        <f t="shared" si="4"/>
        <v>142080.20000000001</v>
      </c>
      <c r="G84" s="338">
        <f t="shared" si="5"/>
        <v>157667.75</v>
      </c>
      <c r="H84" s="338">
        <f t="shared" si="6"/>
        <v>166826.65</v>
      </c>
    </row>
    <row r="85" spans="1:8" ht="13.2" customHeight="1" x14ac:dyDescent="0.25">
      <c r="A85" s="3">
        <v>19115</v>
      </c>
      <c r="B85" s="2" t="s">
        <v>79</v>
      </c>
      <c r="C85" s="30">
        <v>3.82</v>
      </c>
      <c r="D85" s="42">
        <v>3.35</v>
      </c>
      <c r="E85" s="29">
        <f t="shared" si="7"/>
        <v>147706.64120000001</v>
      </c>
      <c r="F85" s="323">
        <f t="shared" si="4"/>
        <v>142080.20000000001</v>
      </c>
      <c r="G85" s="338">
        <f t="shared" si="5"/>
        <v>157667.75</v>
      </c>
      <c r="H85" s="338">
        <f t="shared" si="6"/>
        <v>166826.65</v>
      </c>
    </row>
    <row r="86" spans="1:8" ht="13.2" customHeight="1" x14ac:dyDescent="0.25">
      <c r="A86" s="3">
        <v>19116</v>
      </c>
      <c r="B86" s="2" t="s">
        <v>80</v>
      </c>
      <c r="C86" s="30">
        <v>2.13</v>
      </c>
      <c r="D86" s="42">
        <v>1.87</v>
      </c>
      <c r="E86" s="29">
        <f t="shared" si="7"/>
        <v>82359.985800000009</v>
      </c>
      <c r="F86" s="323">
        <f t="shared" si="4"/>
        <v>79310.44</v>
      </c>
      <c r="G86" s="338">
        <f t="shared" si="5"/>
        <v>88011.55</v>
      </c>
      <c r="H86" s="338">
        <f t="shared" si="6"/>
        <v>93124.13</v>
      </c>
    </row>
    <row r="87" spans="1:8" ht="13.2" customHeight="1" x14ac:dyDescent="0.25">
      <c r="A87" s="3">
        <v>19117</v>
      </c>
      <c r="B87" s="2" t="s">
        <v>81</v>
      </c>
      <c r="C87" s="30">
        <v>2.46</v>
      </c>
      <c r="D87" s="42">
        <v>2.16</v>
      </c>
      <c r="E87" s="29">
        <f t="shared" si="7"/>
        <v>95119.983600000007</v>
      </c>
      <c r="F87" s="323">
        <f t="shared" si="4"/>
        <v>91609.920000000013</v>
      </c>
      <c r="G87" s="338">
        <f t="shared" si="5"/>
        <v>101660.40000000001</v>
      </c>
      <c r="H87" s="338">
        <f t="shared" si="6"/>
        <v>107565.84000000001</v>
      </c>
    </row>
    <row r="88" spans="1:8" ht="13.2" customHeight="1" x14ac:dyDescent="0.25">
      <c r="A88" s="3">
        <v>19121</v>
      </c>
      <c r="B88" s="2" t="s">
        <v>82</v>
      </c>
      <c r="C88" s="30">
        <v>2.46</v>
      </c>
      <c r="D88" s="42">
        <v>2.16</v>
      </c>
      <c r="E88" s="29">
        <f t="shared" si="7"/>
        <v>95119.983600000007</v>
      </c>
      <c r="F88" s="323">
        <f t="shared" si="4"/>
        <v>91609.920000000013</v>
      </c>
      <c r="G88" s="338">
        <f t="shared" si="5"/>
        <v>101660.40000000001</v>
      </c>
      <c r="H88" s="338">
        <f t="shared" si="6"/>
        <v>107565.84000000001</v>
      </c>
    </row>
    <row r="89" spans="1:8" ht="13.2" customHeight="1" x14ac:dyDescent="0.25">
      <c r="A89" s="3">
        <v>19122</v>
      </c>
      <c r="B89" s="2" t="s">
        <v>83</v>
      </c>
      <c r="C89" s="30">
        <v>9.74</v>
      </c>
      <c r="D89" s="42">
        <v>8.5399999999999991</v>
      </c>
      <c r="E89" s="29">
        <f t="shared" si="7"/>
        <v>376613.26840000006</v>
      </c>
      <c r="F89" s="323">
        <f t="shared" si="4"/>
        <v>362198.48</v>
      </c>
      <c r="G89" s="338">
        <f t="shared" si="5"/>
        <v>401935.1</v>
      </c>
      <c r="H89" s="338">
        <f t="shared" si="6"/>
        <v>425283.45999999996</v>
      </c>
    </row>
    <row r="90" spans="1:8" ht="13.2" customHeight="1" x14ac:dyDescent="0.25">
      <c r="A90" s="3">
        <v>19123</v>
      </c>
      <c r="B90" s="2" t="s">
        <v>84</v>
      </c>
      <c r="C90" s="30">
        <v>0.66</v>
      </c>
      <c r="D90" s="42">
        <v>0.57999999999999996</v>
      </c>
      <c r="E90" s="29">
        <f t="shared" si="7"/>
        <v>25519.995600000002</v>
      </c>
      <c r="F90" s="323">
        <f t="shared" si="4"/>
        <v>24598.959999999999</v>
      </c>
      <c r="G90" s="338">
        <f t="shared" si="5"/>
        <v>27297.699999999997</v>
      </c>
      <c r="H90" s="338">
        <f t="shared" si="6"/>
        <v>28883.42</v>
      </c>
    </row>
    <row r="91" spans="1:8" ht="13.2" customHeight="1" x14ac:dyDescent="0.25">
      <c r="A91" s="3">
        <v>19127</v>
      </c>
      <c r="B91" s="2" t="s">
        <v>85</v>
      </c>
      <c r="C91" s="30">
        <v>1.21</v>
      </c>
      <c r="D91" s="42">
        <v>1.06</v>
      </c>
      <c r="E91" s="29">
        <f t="shared" si="7"/>
        <v>46786.658600000002</v>
      </c>
      <c r="F91" s="323">
        <f t="shared" si="4"/>
        <v>44956.72</v>
      </c>
      <c r="G91" s="338">
        <f t="shared" si="5"/>
        <v>49888.9</v>
      </c>
      <c r="H91" s="338">
        <f t="shared" si="6"/>
        <v>52786.94</v>
      </c>
    </row>
    <row r="92" spans="1:8" ht="13.2" customHeight="1" x14ac:dyDescent="0.25">
      <c r="A92" s="3">
        <v>19128</v>
      </c>
      <c r="B92" s="2" t="s">
        <v>86</v>
      </c>
      <c r="C92" s="30">
        <v>1.18</v>
      </c>
      <c r="D92" s="42">
        <v>1.03</v>
      </c>
      <c r="E92" s="29">
        <f t="shared" si="7"/>
        <v>45626.658800000005</v>
      </c>
      <c r="F92" s="323">
        <f t="shared" si="4"/>
        <v>43684.36</v>
      </c>
      <c r="G92" s="338">
        <f t="shared" si="5"/>
        <v>48476.950000000004</v>
      </c>
      <c r="H92" s="338">
        <f t="shared" si="6"/>
        <v>51292.97</v>
      </c>
    </row>
    <row r="93" spans="1:8" ht="13.2" customHeight="1" x14ac:dyDescent="0.25">
      <c r="A93" s="3">
        <v>19129</v>
      </c>
      <c r="B93" s="2" t="s">
        <v>87</v>
      </c>
      <c r="C93" s="30">
        <v>1.41</v>
      </c>
      <c r="D93" s="42">
        <v>1.24</v>
      </c>
      <c r="E93" s="29">
        <f t="shared" si="7"/>
        <v>54519.990600000005</v>
      </c>
      <c r="F93" s="323">
        <f t="shared" si="4"/>
        <v>52590.879999999997</v>
      </c>
      <c r="G93" s="338">
        <f t="shared" si="5"/>
        <v>58360.6</v>
      </c>
      <c r="H93" s="338">
        <f t="shared" si="6"/>
        <v>61750.76</v>
      </c>
    </row>
    <row r="94" spans="1:8" ht="13.2" customHeight="1" x14ac:dyDescent="0.25">
      <c r="A94" s="3">
        <v>19133</v>
      </c>
      <c r="B94" s="2" t="s">
        <v>88</v>
      </c>
      <c r="C94" s="31">
        <v>6.4</v>
      </c>
      <c r="D94" s="42">
        <v>5.61</v>
      </c>
      <c r="E94" s="29">
        <f t="shared" si="7"/>
        <v>247466.62400000004</v>
      </c>
      <c r="F94" s="323">
        <f t="shared" si="4"/>
        <v>237931.32</v>
      </c>
      <c r="G94" s="338">
        <f t="shared" si="5"/>
        <v>264034.65000000002</v>
      </c>
      <c r="H94" s="338">
        <f t="shared" si="6"/>
        <v>279372.39</v>
      </c>
    </row>
    <row r="95" spans="1:8" ht="13.2" customHeight="1" x14ac:dyDescent="0.25">
      <c r="A95" s="3">
        <v>19134</v>
      </c>
      <c r="B95" s="2" t="s">
        <v>89</v>
      </c>
      <c r="C95" s="30">
        <v>5.14</v>
      </c>
      <c r="D95" s="42">
        <v>4.51</v>
      </c>
      <c r="E95" s="29">
        <f t="shared" si="7"/>
        <v>198746.6324</v>
      </c>
      <c r="F95" s="323">
        <f t="shared" si="4"/>
        <v>191278.12</v>
      </c>
      <c r="G95" s="338">
        <f t="shared" si="5"/>
        <v>212263.15</v>
      </c>
      <c r="H95" s="338">
        <f t="shared" si="6"/>
        <v>224593.49</v>
      </c>
    </row>
    <row r="96" spans="1:8" ht="13.2" customHeight="1" x14ac:dyDescent="0.25">
      <c r="A96" s="3">
        <v>19135</v>
      </c>
      <c r="B96" s="2" t="s">
        <v>90</v>
      </c>
      <c r="C96" s="30">
        <v>5.14</v>
      </c>
      <c r="D96" s="42">
        <v>4.51</v>
      </c>
      <c r="E96" s="29">
        <f t="shared" si="7"/>
        <v>198746.6324</v>
      </c>
      <c r="F96" s="323">
        <f t="shared" si="4"/>
        <v>191278.12</v>
      </c>
      <c r="G96" s="338">
        <f t="shared" si="5"/>
        <v>212263.15</v>
      </c>
      <c r="H96" s="338">
        <f t="shared" si="6"/>
        <v>224593.49</v>
      </c>
    </row>
    <row r="97" spans="1:8" ht="13.2" customHeight="1" x14ac:dyDescent="0.25">
      <c r="A97" s="3">
        <v>19136</v>
      </c>
      <c r="B97" s="2" t="s">
        <v>91</v>
      </c>
      <c r="C97" s="30">
        <v>5.64</v>
      </c>
      <c r="D97" s="42">
        <v>4.95</v>
      </c>
      <c r="E97" s="29">
        <f t="shared" si="7"/>
        <v>218079.96240000002</v>
      </c>
      <c r="F97" s="323">
        <f t="shared" si="4"/>
        <v>209939.4</v>
      </c>
      <c r="G97" s="338">
        <f t="shared" si="5"/>
        <v>232971.75</v>
      </c>
      <c r="H97" s="338">
        <f t="shared" si="6"/>
        <v>246505.05000000002</v>
      </c>
    </row>
    <row r="98" spans="1:8" ht="13.2" customHeight="1" x14ac:dyDescent="0.25">
      <c r="A98" s="3">
        <v>19139</v>
      </c>
      <c r="B98" s="2" t="s">
        <v>92</v>
      </c>
      <c r="C98" s="30">
        <v>4.25</v>
      </c>
      <c r="D98" s="42">
        <v>3.73</v>
      </c>
      <c r="E98" s="29">
        <f t="shared" si="7"/>
        <v>164333.30500000002</v>
      </c>
      <c r="F98" s="323">
        <f t="shared" si="4"/>
        <v>158196.76</v>
      </c>
      <c r="G98" s="338">
        <f t="shared" si="5"/>
        <v>175552.45</v>
      </c>
      <c r="H98" s="338">
        <f t="shared" si="6"/>
        <v>185750.27</v>
      </c>
    </row>
    <row r="99" spans="1:8" ht="13.2" customHeight="1" x14ac:dyDescent="0.25">
      <c r="A99" s="3">
        <v>19140</v>
      </c>
      <c r="B99" s="2" t="s">
        <v>93</v>
      </c>
      <c r="C99" s="30">
        <v>5.18</v>
      </c>
      <c r="D99" s="42">
        <v>4.54</v>
      </c>
      <c r="E99" s="29">
        <f t="shared" si="7"/>
        <v>200293.29880000002</v>
      </c>
      <c r="F99" s="323">
        <f t="shared" si="4"/>
        <v>192550.48</v>
      </c>
      <c r="G99" s="338">
        <f t="shared" si="5"/>
        <v>213675.1</v>
      </c>
      <c r="H99" s="338">
        <f t="shared" si="6"/>
        <v>226087.46</v>
      </c>
    </row>
    <row r="100" spans="1:8" ht="13.2" customHeight="1" x14ac:dyDescent="0.25">
      <c r="A100" s="3">
        <v>19141</v>
      </c>
      <c r="B100" s="2" t="s">
        <v>94</v>
      </c>
      <c r="C100" s="30">
        <v>2.06</v>
      </c>
      <c r="D100" s="42">
        <v>1.81</v>
      </c>
      <c r="E100" s="29">
        <f t="shared" si="7"/>
        <v>79653.319600000003</v>
      </c>
      <c r="F100" s="323">
        <f t="shared" si="4"/>
        <v>76765.72</v>
      </c>
      <c r="G100" s="338">
        <f t="shared" si="5"/>
        <v>85187.650000000009</v>
      </c>
      <c r="H100" s="338">
        <f t="shared" si="6"/>
        <v>90136.19</v>
      </c>
    </row>
    <row r="101" spans="1:8" ht="13.2" customHeight="1" x14ac:dyDescent="0.25">
      <c r="A101" s="3">
        <v>19142</v>
      </c>
      <c r="B101" s="2" t="s">
        <v>95</v>
      </c>
      <c r="C101" s="30">
        <v>2.46</v>
      </c>
      <c r="D101" s="42">
        <v>2.16</v>
      </c>
      <c r="E101" s="29">
        <f t="shared" si="7"/>
        <v>95119.983600000007</v>
      </c>
      <c r="F101" s="323">
        <f t="shared" si="4"/>
        <v>91609.920000000013</v>
      </c>
      <c r="G101" s="338">
        <f t="shared" si="5"/>
        <v>101660.40000000001</v>
      </c>
      <c r="H101" s="338">
        <f t="shared" si="6"/>
        <v>107565.84000000001</v>
      </c>
    </row>
    <row r="102" spans="1:8" ht="13.2" customHeight="1" x14ac:dyDescent="0.25">
      <c r="A102" s="3">
        <v>19143</v>
      </c>
      <c r="B102" s="2" t="s">
        <v>96</v>
      </c>
      <c r="C102" s="31">
        <v>4.4000000000000004</v>
      </c>
      <c r="D102" s="42">
        <v>3.86</v>
      </c>
      <c r="E102" s="29">
        <f t="shared" si="7"/>
        <v>170133.30400000003</v>
      </c>
      <c r="F102" s="323">
        <f t="shared" si="4"/>
        <v>163710.32</v>
      </c>
      <c r="G102" s="338">
        <f t="shared" si="5"/>
        <v>181670.9</v>
      </c>
      <c r="H102" s="338">
        <f t="shared" si="6"/>
        <v>192224.13999999998</v>
      </c>
    </row>
    <row r="103" spans="1:8" ht="13.2" customHeight="1" x14ac:dyDescent="0.25">
      <c r="A103" s="3">
        <v>19144</v>
      </c>
      <c r="B103" s="2" t="s">
        <v>97</v>
      </c>
      <c r="C103" s="30">
        <v>3.55</v>
      </c>
      <c r="D103" s="42">
        <v>3.11</v>
      </c>
      <c r="E103" s="29">
        <f t="shared" si="7"/>
        <v>137266.64300000001</v>
      </c>
      <c r="F103" s="323">
        <f t="shared" si="4"/>
        <v>131901.32</v>
      </c>
      <c r="G103" s="338">
        <f t="shared" si="5"/>
        <v>146372.15</v>
      </c>
      <c r="H103" s="338">
        <f t="shared" si="6"/>
        <v>154874.88999999998</v>
      </c>
    </row>
    <row r="104" spans="1:8" ht="13.2" customHeight="1" x14ac:dyDescent="0.25">
      <c r="A104" s="3">
        <v>19145</v>
      </c>
      <c r="B104" s="2" t="s">
        <v>98</v>
      </c>
      <c r="C104" s="30">
        <v>7.24</v>
      </c>
      <c r="D104" s="42">
        <v>6.35</v>
      </c>
      <c r="E104" s="29">
        <f t="shared" si="7"/>
        <v>279946.61840000004</v>
      </c>
      <c r="F104" s="323">
        <f t="shared" si="4"/>
        <v>269316.2</v>
      </c>
      <c r="G104" s="338">
        <f t="shared" si="5"/>
        <v>298862.75</v>
      </c>
      <c r="H104" s="338">
        <f t="shared" si="6"/>
        <v>316223.64999999997</v>
      </c>
    </row>
    <row r="105" spans="1:8" ht="13.2" customHeight="1" x14ac:dyDescent="0.25">
      <c r="A105" s="3">
        <v>19146</v>
      </c>
      <c r="B105" s="2" t="s">
        <v>99</v>
      </c>
      <c r="C105" s="30">
        <v>3.89</v>
      </c>
      <c r="D105" s="42">
        <v>3.41</v>
      </c>
      <c r="E105" s="29">
        <f t="shared" si="7"/>
        <v>150413.30740000002</v>
      </c>
      <c r="F105" s="323">
        <f t="shared" si="4"/>
        <v>144624.92000000001</v>
      </c>
      <c r="G105" s="338">
        <f t="shared" si="5"/>
        <v>160491.65</v>
      </c>
      <c r="H105" s="338">
        <f t="shared" si="6"/>
        <v>169814.59</v>
      </c>
    </row>
    <row r="106" spans="1:8" ht="13.2" customHeight="1" x14ac:dyDescent="0.25">
      <c r="A106" s="3">
        <v>19147</v>
      </c>
      <c r="B106" s="2" t="s">
        <v>100</v>
      </c>
      <c r="C106" s="30">
        <v>2.63</v>
      </c>
      <c r="D106" s="42">
        <v>2.31</v>
      </c>
      <c r="E106" s="29">
        <f t="shared" si="7"/>
        <v>101693.31580000001</v>
      </c>
      <c r="F106" s="323">
        <f t="shared" si="4"/>
        <v>97971.72</v>
      </c>
      <c r="G106" s="338">
        <f t="shared" si="5"/>
        <v>108720.15000000001</v>
      </c>
      <c r="H106" s="338">
        <f t="shared" si="6"/>
        <v>115035.69</v>
      </c>
    </row>
    <row r="107" spans="1:8" ht="13.2" customHeight="1" x14ac:dyDescent="0.25">
      <c r="A107" s="3">
        <v>19148</v>
      </c>
      <c r="B107" s="2" t="s">
        <v>101</v>
      </c>
      <c r="C107" s="30">
        <v>4.0599999999999996</v>
      </c>
      <c r="D107" s="42">
        <v>3.56</v>
      </c>
      <c r="E107" s="29">
        <f t="shared" si="7"/>
        <v>156986.63959999999</v>
      </c>
      <c r="F107" s="323">
        <f t="shared" si="4"/>
        <v>150986.72</v>
      </c>
      <c r="G107" s="338">
        <f t="shared" si="5"/>
        <v>167551.4</v>
      </c>
      <c r="H107" s="338">
        <f t="shared" si="6"/>
        <v>177284.44</v>
      </c>
    </row>
    <row r="108" spans="1:8" ht="13.2" customHeight="1" x14ac:dyDescent="0.25">
      <c r="A108" s="3">
        <v>19149</v>
      </c>
      <c r="B108" s="2" t="s">
        <v>102</v>
      </c>
      <c r="C108" s="31">
        <v>1.2</v>
      </c>
      <c r="D108" s="42">
        <v>1.05</v>
      </c>
      <c r="E108" s="29">
        <f t="shared" si="7"/>
        <v>46399.992000000006</v>
      </c>
      <c r="F108" s="323">
        <f t="shared" si="4"/>
        <v>44532.6</v>
      </c>
      <c r="G108" s="338">
        <f t="shared" si="5"/>
        <v>49418.25</v>
      </c>
      <c r="H108" s="338">
        <f t="shared" si="6"/>
        <v>52288.950000000004</v>
      </c>
    </row>
    <row r="109" spans="1:8" ht="13.2" customHeight="1" x14ac:dyDescent="0.25">
      <c r="A109" s="3">
        <v>19150</v>
      </c>
      <c r="B109" s="2" t="s">
        <v>103</v>
      </c>
      <c r="C109" s="30">
        <v>4.0599999999999996</v>
      </c>
      <c r="D109" s="42">
        <v>3.56</v>
      </c>
      <c r="E109" s="29">
        <f t="shared" si="7"/>
        <v>156986.63959999999</v>
      </c>
      <c r="F109" s="323">
        <f t="shared" si="4"/>
        <v>150986.72</v>
      </c>
      <c r="G109" s="338">
        <f t="shared" si="5"/>
        <v>167551.4</v>
      </c>
      <c r="H109" s="338">
        <f t="shared" si="6"/>
        <v>177284.44</v>
      </c>
    </row>
    <row r="110" spans="1:8" ht="13.2" customHeight="1" x14ac:dyDescent="0.25">
      <c r="A110" s="3">
        <v>19151</v>
      </c>
      <c r="B110" s="2" t="s">
        <v>104</v>
      </c>
      <c r="C110" s="30">
        <v>5.64</v>
      </c>
      <c r="D110" s="42">
        <v>4.95</v>
      </c>
      <c r="E110" s="29">
        <f t="shared" si="7"/>
        <v>218079.96240000002</v>
      </c>
      <c r="F110" s="323">
        <f t="shared" si="4"/>
        <v>209939.4</v>
      </c>
      <c r="G110" s="338">
        <f t="shared" si="5"/>
        <v>232971.75</v>
      </c>
      <c r="H110" s="338">
        <f t="shared" si="6"/>
        <v>246505.05000000002</v>
      </c>
    </row>
    <row r="111" spans="1:8" ht="13.2" customHeight="1" x14ac:dyDescent="0.25">
      <c r="A111" s="3">
        <v>19152</v>
      </c>
      <c r="B111" s="2" t="s">
        <v>105</v>
      </c>
      <c r="C111" s="30">
        <v>1.72</v>
      </c>
      <c r="D111" s="42">
        <v>1.51</v>
      </c>
      <c r="E111" s="29">
        <f t="shared" si="7"/>
        <v>66506.655200000008</v>
      </c>
      <c r="F111" s="323">
        <f t="shared" si="4"/>
        <v>64042.12</v>
      </c>
      <c r="G111" s="338">
        <f t="shared" si="5"/>
        <v>71068.149999999994</v>
      </c>
      <c r="H111" s="338">
        <f t="shared" si="6"/>
        <v>75196.490000000005</v>
      </c>
    </row>
    <row r="112" spans="1:8" ht="13.2" customHeight="1" x14ac:dyDescent="0.25">
      <c r="A112" s="3">
        <v>19153</v>
      </c>
      <c r="B112" s="2" t="s">
        <v>106</v>
      </c>
      <c r="C112" s="30">
        <v>0.37</v>
      </c>
      <c r="D112" s="42">
        <v>0.33</v>
      </c>
      <c r="E112" s="29">
        <f t="shared" si="7"/>
        <v>14306.664200000001</v>
      </c>
      <c r="F112" s="323">
        <f t="shared" si="4"/>
        <v>13995.960000000001</v>
      </c>
      <c r="G112" s="338">
        <f t="shared" si="5"/>
        <v>15531.45</v>
      </c>
      <c r="H112" s="338">
        <f t="shared" si="6"/>
        <v>16433.670000000002</v>
      </c>
    </row>
    <row r="113" spans="1:8" ht="13.2" customHeight="1" x14ac:dyDescent="0.25">
      <c r="A113" s="3">
        <v>19154</v>
      </c>
      <c r="B113" s="2" t="s">
        <v>107</v>
      </c>
      <c r="C113" s="30">
        <v>4.0599999999999996</v>
      </c>
      <c r="D113" s="42">
        <v>3.56</v>
      </c>
      <c r="E113" s="29">
        <f t="shared" si="7"/>
        <v>156986.63959999999</v>
      </c>
      <c r="F113" s="323">
        <f t="shared" si="4"/>
        <v>150986.72</v>
      </c>
      <c r="G113" s="338">
        <f t="shared" si="5"/>
        <v>167551.4</v>
      </c>
      <c r="H113" s="338">
        <f t="shared" si="6"/>
        <v>177284.44</v>
      </c>
    </row>
    <row r="114" spans="1:8" ht="13.2" customHeight="1" x14ac:dyDescent="0.25">
      <c r="A114" s="3">
        <v>19155</v>
      </c>
      <c r="B114" s="2" t="s">
        <v>108</v>
      </c>
      <c r="C114" s="30">
        <v>4.0599999999999996</v>
      </c>
      <c r="D114" s="42">
        <v>3.56</v>
      </c>
      <c r="E114" s="29">
        <f t="shared" si="7"/>
        <v>156986.63959999999</v>
      </c>
      <c r="F114" s="323">
        <f t="shared" si="4"/>
        <v>150986.72</v>
      </c>
      <c r="G114" s="338">
        <f t="shared" si="5"/>
        <v>167551.4</v>
      </c>
      <c r="H114" s="338">
        <f t="shared" si="6"/>
        <v>177284.44</v>
      </c>
    </row>
    <row r="115" spans="1:8" ht="13.2" customHeight="1" x14ac:dyDescent="0.25">
      <c r="A115" s="3">
        <v>19156</v>
      </c>
      <c r="B115" s="2" t="s">
        <v>109</v>
      </c>
      <c r="C115" s="30">
        <v>29.14</v>
      </c>
      <c r="D115" s="42">
        <v>25.56</v>
      </c>
      <c r="E115" s="29">
        <f t="shared" si="7"/>
        <v>1126746.4724000001</v>
      </c>
      <c r="F115" s="323">
        <f t="shared" si="4"/>
        <v>1084050.72</v>
      </c>
      <c r="G115" s="338">
        <f t="shared" si="5"/>
        <v>1202981.3999999999</v>
      </c>
      <c r="H115" s="338">
        <f t="shared" si="6"/>
        <v>1272862.44</v>
      </c>
    </row>
    <row r="116" spans="1:8" ht="13.2" customHeight="1" x14ac:dyDescent="0.25">
      <c r="A116" s="3">
        <v>19157</v>
      </c>
      <c r="B116" s="2" t="s">
        <v>110</v>
      </c>
      <c r="C116" s="30">
        <v>0.53</v>
      </c>
      <c r="D116" s="42">
        <v>0.47</v>
      </c>
      <c r="E116" s="29">
        <f t="shared" si="7"/>
        <v>20493.329800000003</v>
      </c>
      <c r="F116" s="323">
        <f t="shared" si="4"/>
        <v>19933.64</v>
      </c>
      <c r="G116" s="338">
        <f t="shared" si="5"/>
        <v>22120.55</v>
      </c>
      <c r="H116" s="338">
        <f t="shared" si="6"/>
        <v>23405.53</v>
      </c>
    </row>
    <row r="117" spans="1:8" ht="13.2" customHeight="1" x14ac:dyDescent="0.25">
      <c r="A117" s="3">
        <v>19158</v>
      </c>
      <c r="B117" s="2" t="s">
        <v>111</v>
      </c>
      <c r="C117" s="30">
        <v>2.13</v>
      </c>
      <c r="D117" s="42">
        <v>1.87</v>
      </c>
      <c r="E117" s="29">
        <f t="shared" si="7"/>
        <v>82359.985800000009</v>
      </c>
      <c r="F117" s="323">
        <f t="shared" si="4"/>
        <v>79310.44</v>
      </c>
      <c r="G117" s="338">
        <f t="shared" si="5"/>
        <v>88011.55</v>
      </c>
      <c r="H117" s="338">
        <f t="shared" si="6"/>
        <v>93124.13</v>
      </c>
    </row>
    <row r="118" spans="1:8" ht="13.2" customHeight="1" x14ac:dyDescent="0.25">
      <c r="A118" s="3">
        <v>19159</v>
      </c>
      <c r="B118" s="2" t="s">
        <v>112</v>
      </c>
      <c r="C118" s="30">
        <v>1.86</v>
      </c>
      <c r="D118" s="42">
        <v>1.63</v>
      </c>
      <c r="E118" s="29">
        <f t="shared" si="7"/>
        <v>71919.987600000008</v>
      </c>
      <c r="F118" s="323">
        <f t="shared" si="4"/>
        <v>69131.56</v>
      </c>
      <c r="G118" s="338">
        <f t="shared" si="5"/>
        <v>76715.95</v>
      </c>
      <c r="H118" s="338">
        <f t="shared" si="6"/>
        <v>81172.37</v>
      </c>
    </row>
    <row r="119" spans="1:8" ht="13.2" customHeight="1" x14ac:dyDescent="0.25">
      <c r="A119" s="3">
        <v>19160</v>
      </c>
      <c r="B119" s="2" t="s">
        <v>113</v>
      </c>
      <c r="C119" s="30">
        <v>1.98</v>
      </c>
      <c r="D119" s="42">
        <v>1.74</v>
      </c>
      <c r="E119" s="29">
        <f t="shared" si="7"/>
        <v>76559.986800000013</v>
      </c>
      <c r="F119" s="323">
        <f t="shared" si="4"/>
        <v>73796.88</v>
      </c>
      <c r="G119" s="338">
        <f t="shared" si="5"/>
        <v>81893.100000000006</v>
      </c>
      <c r="H119" s="338">
        <f t="shared" si="6"/>
        <v>86650.26</v>
      </c>
    </row>
    <row r="120" spans="1:8" ht="13.2" customHeight="1" x14ac:dyDescent="0.25">
      <c r="A120" s="3">
        <v>19163</v>
      </c>
      <c r="B120" s="2" t="s">
        <v>114</v>
      </c>
      <c r="C120" s="30">
        <v>1.29</v>
      </c>
      <c r="D120" s="42">
        <v>1.1299999999999999</v>
      </c>
      <c r="E120" s="29">
        <f t="shared" si="7"/>
        <v>49879.991400000006</v>
      </c>
      <c r="F120" s="323">
        <f t="shared" si="4"/>
        <v>47925.56</v>
      </c>
      <c r="G120" s="338">
        <f t="shared" si="5"/>
        <v>53183.45</v>
      </c>
      <c r="H120" s="338">
        <f t="shared" si="6"/>
        <v>56272.869999999995</v>
      </c>
    </row>
    <row r="121" spans="1:8" ht="13.2" customHeight="1" x14ac:dyDescent="0.25">
      <c r="A121" s="3">
        <v>19164</v>
      </c>
      <c r="B121" s="2" t="s">
        <v>115</v>
      </c>
      <c r="C121" s="30">
        <v>2.35</v>
      </c>
      <c r="D121" s="42">
        <v>2.06</v>
      </c>
      <c r="E121" s="29">
        <f t="shared" si="7"/>
        <v>90866.651000000013</v>
      </c>
      <c r="F121" s="323">
        <f t="shared" si="4"/>
        <v>87368.72</v>
      </c>
      <c r="G121" s="338">
        <f t="shared" si="5"/>
        <v>96953.900000000009</v>
      </c>
      <c r="H121" s="338">
        <f t="shared" si="6"/>
        <v>102585.94</v>
      </c>
    </row>
    <row r="122" spans="1:8" ht="13.2" customHeight="1" x14ac:dyDescent="0.25">
      <c r="A122" s="3">
        <v>19165</v>
      </c>
      <c r="B122" s="2" t="s">
        <v>116</v>
      </c>
      <c r="C122" s="30">
        <v>1.83</v>
      </c>
      <c r="D122" s="42">
        <v>1.61</v>
      </c>
      <c r="E122" s="29">
        <f t="shared" si="7"/>
        <v>70759.987800000003</v>
      </c>
      <c r="F122" s="323">
        <f t="shared" si="4"/>
        <v>68283.320000000007</v>
      </c>
      <c r="G122" s="338">
        <f t="shared" si="5"/>
        <v>75774.650000000009</v>
      </c>
      <c r="H122" s="338">
        <f t="shared" si="6"/>
        <v>80176.39</v>
      </c>
    </row>
    <row r="123" spans="1:8" ht="13.2" customHeight="1" x14ac:dyDescent="0.25">
      <c r="A123" s="3">
        <v>19166</v>
      </c>
      <c r="B123" s="2" t="s">
        <v>117</v>
      </c>
      <c r="C123" s="30">
        <v>4.22</v>
      </c>
      <c r="D123" s="42">
        <v>3.7</v>
      </c>
      <c r="E123" s="29">
        <f t="shared" si="7"/>
        <v>163173.3052</v>
      </c>
      <c r="F123" s="323">
        <f t="shared" si="4"/>
        <v>156924.4</v>
      </c>
      <c r="G123" s="338">
        <f t="shared" si="5"/>
        <v>174140.5</v>
      </c>
      <c r="H123" s="338">
        <f t="shared" si="6"/>
        <v>184256.30000000002</v>
      </c>
    </row>
    <row r="124" spans="1:8" ht="13.2" customHeight="1" x14ac:dyDescent="0.25">
      <c r="A124" s="3">
        <v>19169</v>
      </c>
      <c r="B124" s="2" t="s">
        <v>118</v>
      </c>
      <c r="C124" s="30">
        <v>0.35</v>
      </c>
      <c r="D124" s="42">
        <v>0.31</v>
      </c>
      <c r="E124" s="29">
        <f t="shared" si="7"/>
        <v>13533.331</v>
      </c>
      <c r="F124" s="323">
        <f t="shared" si="4"/>
        <v>13147.72</v>
      </c>
      <c r="G124" s="338">
        <f t="shared" si="5"/>
        <v>14590.15</v>
      </c>
      <c r="H124" s="338">
        <f t="shared" si="6"/>
        <v>15437.69</v>
      </c>
    </row>
    <row r="125" spans="1:8" ht="13.2" customHeight="1" x14ac:dyDescent="0.25">
      <c r="A125" s="3">
        <v>19170</v>
      </c>
      <c r="B125" s="2" t="s">
        <v>119</v>
      </c>
      <c r="C125" s="30">
        <v>0.45</v>
      </c>
      <c r="D125" s="42">
        <v>0.4</v>
      </c>
      <c r="E125" s="29">
        <f t="shared" si="7"/>
        <v>17399.997000000003</v>
      </c>
      <c r="F125" s="323">
        <f t="shared" si="4"/>
        <v>16964.8</v>
      </c>
      <c r="G125" s="338">
        <f t="shared" si="5"/>
        <v>18826</v>
      </c>
      <c r="H125" s="338">
        <f t="shared" si="6"/>
        <v>19919.600000000002</v>
      </c>
    </row>
    <row r="126" spans="1:8" ht="13.2" customHeight="1" x14ac:dyDescent="0.25">
      <c r="A126" s="3">
        <v>19171</v>
      </c>
      <c r="B126" s="2" t="s">
        <v>120</v>
      </c>
      <c r="C126" s="30">
        <v>2.0299999999999998</v>
      </c>
      <c r="D126" s="42">
        <v>1.78</v>
      </c>
      <c r="E126" s="29">
        <f t="shared" si="7"/>
        <v>78493.319799999997</v>
      </c>
      <c r="F126" s="323">
        <f t="shared" si="4"/>
        <v>75493.36</v>
      </c>
      <c r="G126" s="338">
        <f t="shared" si="5"/>
        <v>83775.7</v>
      </c>
      <c r="H126" s="338">
        <f t="shared" si="6"/>
        <v>88642.22</v>
      </c>
    </row>
    <row r="127" spans="1:8" ht="13.2" customHeight="1" x14ac:dyDescent="0.25">
      <c r="A127" s="3">
        <v>19175</v>
      </c>
      <c r="B127" s="2" t="s">
        <v>121</v>
      </c>
      <c r="C127" s="30">
        <v>1.75</v>
      </c>
      <c r="D127" s="42">
        <v>1.53</v>
      </c>
      <c r="E127" s="29">
        <f t="shared" si="7"/>
        <v>67666.654999999999</v>
      </c>
      <c r="F127" s="323">
        <f t="shared" si="4"/>
        <v>64890.36</v>
      </c>
      <c r="G127" s="338">
        <f t="shared" si="5"/>
        <v>72009.45</v>
      </c>
      <c r="H127" s="338">
        <f t="shared" si="6"/>
        <v>76192.47</v>
      </c>
    </row>
    <row r="128" spans="1:8" ht="13.2" customHeight="1" x14ac:dyDescent="0.25">
      <c r="A128" s="3">
        <v>19176</v>
      </c>
      <c r="B128" s="2" t="s">
        <v>122</v>
      </c>
      <c r="C128" s="30">
        <v>1.52</v>
      </c>
      <c r="D128" s="42">
        <v>1.33</v>
      </c>
      <c r="E128" s="29">
        <f t="shared" si="7"/>
        <v>58773.323200000006</v>
      </c>
      <c r="F128" s="323">
        <f t="shared" si="4"/>
        <v>56407.960000000006</v>
      </c>
      <c r="G128" s="338">
        <f t="shared" si="5"/>
        <v>62596.450000000004</v>
      </c>
      <c r="H128" s="338">
        <f t="shared" si="6"/>
        <v>66232.67</v>
      </c>
    </row>
    <row r="129" spans="1:8" ht="13.2" customHeight="1" x14ac:dyDescent="0.25">
      <c r="A129" s="3">
        <v>19177</v>
      </c>
      <c r="B129" s="2" t="s">
        <v>123</v>
      </c>
      <c r="C129" s="30">
        <v>0.71</v>
      </c>
      <c r="D129" s="42">
        <v>0.62</v>
      </c>
      <c r="E129" s="29">
        <f t="shared" si="7"/>
        <v>27453.328600000001</v>
      </c>
      <c r="F129" s="323">
        <f t="shared" si="4"/>
        <v>26295.439999999999</v>
      </c>
      <c r="G129" s="338">
        <f t="shared" si="5"/>
        <v>29180.3</v>
      </c>
      <c r="H129" s="338">
        <f t="shared" si="6"/>
        <v>30875.38</v>
      </c>
    </row>
    <row r="130" spans="1:8" ht="13.2" customHeight="1" x14ac:dyDescent="0.25">
      <c r="A130" s="3">
        <v>19181</v>
      </c>
      <c r="B130" s="2" t="s">
        <v>124</v>
      </c>
      <c r="C130" s="30">
        <v>4.8600000000000003</v>
      </c>
      <c r="D130" s="42">
        <v>4.26</v>
      </c>
      <c r="E130" s="29">
        <f t="shared" si="7"/>
        <v>187919.96760000003</v>
      </c>
      <c r="F130" s="323">
        <f t="shared" si="4"/>
        <v>180675.12</v>
      </c>
      <c r="G130" s="338">
        <f t="shared" si="5"/>
        <v>200496.9</v>
      </c>
      <c r="H130" s="338">
        <f t="shared" si="6"/>
        <v>212143.74</v>
      </c>
    </row>
    <row r="131" spans="1:8" ht="13.2" customHeight="1" x14ac:dyDescent="0.25">
      <c r="A131" s="3">
        <v>19182</v>
      </c>
      <c r="B131" s="2" t="s">
        <v>125</v>
      </c>
      <c r="C131" s="30">
        <v>1.1299999999999999</v>
      </c>
      <c r="D131" s="42">
        <v>0.99</v>
      </c>
      <c r="E131" s="29">
        <f t="shared" si="7"/>
        <v>43693.325799999999</v>
      </c>
      <c r="F131" s="323">
        <f t="shared" si="4"/>
        <v>41987.88</v>
      </c>
      <c r="G131" s="338">
        <f t="shared" si="5"/>
        <v>46594.35</v>
      </c>
      <c r="H131" s="338">
        <f t="shared" si="6"/>
        <v>49301.01</v>
      </c>
    </row>
    <row r="132" spans="1:8" ht="13.2" customHeight="1" x14ac:dyDescent="0.25">
      <c r="A132" s="3">
        <v>19183</v>
      </c>
      <c r="B132" s="2" t="s">
        <v>126</v>
      </c>
      <c r="C132" s="30">
        <v>2.5299999999999998</v>
      </c>
      <c r="D132" s="42">
        <v>2.2200000000000002</v>
      </c>
      <c r="E132" s="29">
        <f t="shared" si="7"/>
        <v>97826.649799999999</v>
      </c>
      <c r="F132" s="323">
        <f t="shared" si="4"/>
        <v>94154.640000000014</v>
      </c>
      <c r="G132" s="338">
        <f t="shared" si="5"/>
        <v>104484.3</v>
      </c>
      <c r="H132" s="338">
        <f t="shared" si="6"/>
        <v>110553.78000000001</v>
      </c>
    </row>
    <row r="133" spans="1:8" ht="13.2" customHeight="1" x14ac:dyDescent="0.25">
      <c r="A133" s="3">
        <v>19187</v>
      </c>
      <c r="B133" s="2" t="s">
        <v>127</v>
      </c>
      <c r="C133" s="30">
        <v>1.1499999999999999</v>
      </c>
      <c r="D133" s="42">
        <v>1.01</v>
      </c>
      <c r="E133" s="29">
        <f t="shared" si="7"/>
        <v>44466.659</v>
      </c>
      <c r="F133" s="323">
        <f t="shared" si="4"/>
        <v>42836.12</v>
      </c>
      <c r="G133" s="338">
        <f t="shared" si="5"/>
        <v>47535.65</v>
      </c>
      <c r="H133" s="338">
        <f t="shared" si="6"/>
        <v>50296.99</v>
      </c>
    </row>
    <row r="134" spans="1:8" ht="13.2" customHeight="1" x14ac:dyDescent="0.25">
      <c r="A134" s="3">
        <v>19188</v>
      </c>
      <c r="B134" s="2" t="s">
        <v>128</v>
      </c>
      <c r="C134" s="30">
        <v>1.02</v>
      </c>
      <c r="D134" s="42">
        <v>0.9</v>
      </c>
      <c r="E134" s="29">
        <f t="shared" si="7"/>
        <v>39439.993200000004</v>
      </c>
      <c r="F134" s="323">
        <f t="shared" ref="F134:F197" si="8">+$D134*$F$2</f>
        <v>38170.800000000003</v>
      </c>
      <c r="G134" s="338">
        <f t="shared" ref="G134:G197" si="9">+$D134*$G$2</f>
        <v>42358.5</v>
      </c>
      <c r="H134" s="338">
        <f t="shared" ref="H134:H197" si="10">+$D134*$H$2</f>
        <v>44819.1</v>
      </c>
    </row>
    <row r="135" spans="1:8" ht="13.2" customHeight="1" x14ac:dyDescent="0.25">
      <c r="A135" s="3">
        <v>19189</v>
      </c>
      <c r="B135" s="2" t="s">
        <v>129</v>
      </c>
      <c r="C135" s="30">
        <v>3.12</v>
      </c>
      <c r="D135" s="42">
        <v>2.74</v>
      </c>
      <c r="E135" s="29">
        <f t="shared" ref="E135:E198" si="11">+$C135*$E$2</f>
        <v>120639.97920000002</v>
      </c>
      <c r="F135" s="323">
        <f t="shared" si="8"/>
        <v>116208.88</v>
      </c>
      <c r="G135" s="338">
        <f t="shared" si="9"/>
        <v>128958.1</v>
      </c>
      <c r="H135" s="338">
        <f t="shared" si="10"/>
        <v>136449.26</v>
      </c>
    </row>
    <row r="136" spans="1:8" ht="13.2" customHeight="1" x14ac:dyDescent="0.25">
      <c r="A136" s="3">
        <v>19190</v>
      </c>
      <c r="B136" s="2" t="s">
        <v>130</v>
      </c>
      <c r="C136" s="30">
        <v>1.1399999999999999</v>
      </c>
      <c r="D136" s="42">
        <v>1</v>
      </c>
      <c r="E136" s="29">
        <f t="shared" si="11"/>
        <v>44079.992400000003</v>
      </c>
      <c r="F136" s="323">
        <f t="shared" si="8"/>
        <v>42412</v>
      </c>
      <c r="G136" s="338">
        <f t="shared" si="9"/>
        <v>47065</v>
      </c>
      <c r="H136" s="338">
        <f t="shared" si="10"/>
        <v>49799</v>
      </c>
    </row>
    <row r="137" spans="1:8" ht="13.2" customHeight="1" x14ac:dyDescent="0.25">
      <c r="A137" s="3">
        <v>19193</v>
      </c>
      <c r="B137" s="2" t="s">
        <v>131</v>
      </c>
      <c r="C137" s="30">
        <v>1.21</v>
      </c>
      <c r="D137" s="42">
        <v>1.06</v>
      </c>
      <c r="E137" s="29">
        <f t="shared" si="11"/>
        <v>46786.658600000002</v>
      </c>
      <c r="F137" s="323">
        <f t="shared" si="8"/>
        <v>44956.72</v>
      </c>
      <c r="G137" s="338">
        <f t="shared" si="9"/>
        <v>49888.9</v>
      </c>
      <c r="H137" s="338">
        <f t="shared" si="10"/>
        <v>52786.94</v>
      </c>
    </row>
    <row r="138" spans="1:8" ht="13.2" customHeight="1" x14ac:dyDescent="0.25">
      <c r="A138" s="3">
        <v>19194</v>
      </c>
      <c r="B138" s="2" t="s">
        <v>132</v>
      </c>
      <c r="C138" s="30">
        <v>0.92</v>
      </c>
      <c r="D138" s="42">
        <v>0.81</v>
      </c>
      <c r="E138" s="29">
        <f t="shared" si="11"/>
        <v>35573.327200000007</v>
      </c>
      <c r="F138" s="323">
        <f t="shared" si="8"/>
        <v>34353.72</v>
      </c>
      <c r="G138" s="338">
        <f t="shared" si="9"/>
        <v>38122.65</v>
      </c>
      <c r="H138" s="338">
        <f t="shared" si="10"/>
        <v>40337.19</v>
      </c>
    </row>
    <row r="139" spans="1:8" ht="13.2" customHeight="1" x14ac:dyDescent="0.25">
      <c r="A139" s="3">
        <v>19195</v>
      </c>
      <c r="B139" s="2" t="s">
        <v>133</v>
      </c>
      <c r="C139" s="30">
        <v>1.32</v>
      </c>
      <c r="D139" s="42">
        <v>1.1599999999999999</v>
      </c>
      <c r="E139" s="29">
        <f t="shared" si="11"/>
        <v>51039.991200000004</v>
      </c>
      <c r="F139" s="323">
        <f t="shared" si="8"/>
        <v>49197.919999999998</v>
      </c>
      <c r="G139" s="338">
        <f t="shared" si="9"/>
        <v>54595.399999999994</v>
      </c>
      <c r="H139" s="338">
        <f t="shared" si="10"/>
        <v>57766.84</v>
      </c>
    </row>
    <row r="140" spans="1:8" ht="13.2" customHeight="1" x14ac:dyDescent="0.25">
      <c r="A140" s="3">
        <v>19199</v>
      </c>
      <c r="B140" s="2" t="s">
        <v>134</v>
      </c>
      <c r="C140" s="30">
        <v>1.66</v>
      </c>
      <c r="D140" s="42">
        <v>1.46</v>
      </c>
      <c r="E140" s="29">
        <f t="shared" si="11"/>
        <v>64186.655600000006</v>
      </c>
      <c r="F140" s="323">
        <f t="shared" si="8"/>
        <v>61921.52</v>
      </c>
      <c r="G140" s="338">
        <f t="shared" si="9"/>
        <v>68714.899999999994</v>
      </c>
      <c r="H140" s="338">
        <f t="shared" si="10"/>
        <v>72706.539999999994</v>
      </c>
    </row>
    <row r="141" spans="1:8" ht="13.2" customHeight="1" x14ac:dyDescent="0.25">
      <c r="A141" s="3">
        <v>19200</v>
      </c>
      <c r="B141" s="2" t="s">
        <v>135</v>
      </c>
      <c r="C141" s="30">
        <v>0.31</v>
      </c>
      <c r="D141" s="42">
        <v>0.27</v>
      </c>
      <c r="E141" s="29">
        <f t="shared" si="11"/>
        <v>11986.664600000002</v>
      </c>
      <c r="F141" s="323">
        <f t="shared" si="8"/>
        <v>11451.240000000002</v>
      </c>
      <c r="G141" s="338">
        <f t="shared" si="9"/>
        <v>12707.550000000001</v>
      </c>
      <c r="H141" s="338">
        <f t="shared" si="10"/>
        <v>13445.730000000001</v>
      </c>
    </row>
    <row r="142" spans="1:8" ht="13.2" customHeight="1" x14ac:dyDescent="0.25">
      <c r="A142" s="3">
        <v>19201</v>
      </c>
      <c r="B142" s="2" t="s">
        <v>136</v>
      </c>
      <c r="C142" s="30">
        <v>1.21</v>
      </c>
      <c r="D142" s="42">
        <v>1.06</v>
      </c>
      <c r="E142" s="29">
        <f t="shared" si="11"/>
        <v>46786.658600000002</v>
      </c>
      <c r="F142" s="323">
        <f t="shared" si="8"/>
        <v>44956.72</v>
      </c>
      <c r="G142" s="338">
        <f t="shared" si="9"/>
        <v>49888.9</v>
      </c>
      <c r="H142" s="338">
        <f t="shared" si="10"/>
        <v>52786.94</v>
      </c>
    </row>
    <row r="143" spans="1:8" ht="13.2" customHeight="1" x14ac:dyDescent="0.25">
      <c r="A143" s="3">
        <v>19205</v>
      </c>
      <c r="B143" s="2" t="s">
        <v>137</v>
      </c>
      <c r="C143" s="31">
        <v>3.1</v>
      </c>
      <c r="D143" s="42">
        <v>2.72</v>
      </c>
      <c r="E143" s="29">
        <f t="shared" si="11"/>
        <v>119866.64600000001</v>
      </c>
      <c r="F143" s="323">
        <f t="shared" si="8"/>
        <v>115360.64000000001</v>
      </c>
      <c r="G143" s="338">
        <f t="shared" si="9"/>
        <v>128016.8</v>
      </c>
      <c r="H143" s="338">
        <f t="shared" si="10"/>
        <v>135453.28</v>
      </c>
    </row>
    <row r="144" spans="1:8" ht="13.2" customHeight="1" x14ac:dyDescent="0.25">
      <c r="A144" s="3">
        <v>19206</v>
      </c>
      <c r="B144" s="2" t="s">
        <v>138</v>
      </c>
      <c r="C144" s="30">
        <v>2.13</v>
      </c>
      <c r="D144" s="42">
        <v>1.87</v>
      </c>
      <c r="E144" s="29">
        <f t="shared" si="11"/>
        <v>82359.985800000009</v>
      </c>
      <c r="F144" s="323">
        <f t="shared" si="8"/>
        <v>79310.44</v>
      </c>
      <c r="G144" s="338">
        <f t="shared" si="9"/>
        <v>88011.55</v>
      </c>
      <c r="H144" s="338">
        <f t="shared" si="10"/>
        <v>93124.13</v>
      </c>
    </row>
    <row r="145" spans="1:8" ht="13.2" customHeight="1" x14ac:dyDescent="0.25">
      <c r="A145" s="3">
        <v>19207</v>
      </c>
      <c r="B145" s="2" t="s">
        <v>139</v>
      </c>
      <c r="C145" s="30">
        <v>2.2200000000000002</v>
      </c>
      <c r="D145" s="42">
        <v>1.95</v>
      </c>
      <c r="E145" s="29">
        <f t="shared" si="11"/>
        <v>85839.98520000001</v>
      </c>
      <c r="F145" s="323">
        <f t="shared" si="8"/>
        <v>82703.399999999994</v>
      </c>
      <c r="G145" s="338">
        <f t="shared" si="9"/>
        <v>91776.75</v>
      </c>
      <c r="H145" s="338">
        <f t="shared" si="10"/>
        <v>97108.05</v>
      </c>
    </row>
    <row r="146" spans="1:8" ht="13.2" customHeight="1" x14ac:dyDescent="0.25">
      <c r="A146" s="3">
        <v>19211</v>
      </c>
      <c r="B146" s="2" t="s">
        <v>140</v>
      </c>
      <c r="C146" s="30">
        <v>2.2200000000000002</v>
      </c>
      <c r="D146" s="42">
        <v>1.95</v>
      </c>
      <c r="E146" s="29">
        <f t="shared" si="11"/>
        <v>85839.98520000001</v>
      </c>
      <c r="F146" s="323">
        <f t="shared" si="8"/>
        <v>82703.399999999994</v>
      </c>
      <c r="G146" s="338">
        <f t="shared" si="9"/>
        <v>91776.75</v>
      </c>
      <c r="H146" s="338">
        <f t="shared" si="10"/>
        <v>97108.05</v>
      </c>
    </row>
    <row r="147" spans="1:8" ht="13.2" customHeight="1" x14ac:dyDescent="0.25">
      <c r="A147" s="3">
        <v>19213</v>
      </c>
      <c r="B147" s="2" t="s">
        <v>141</v>
      </c>
      <c r="C147" s="30">
        <v>2.21</v>
      </c>
      <c r="D147" s="42">
        <v>1.94</v>
      </c>
      <c r="E147" s="29">
        <f t="shared" si="11"/>
        <v>85453.318600000013</v>
      </c>
      <c r="F147" s="323">
        <f t="shared" si="8"/>
        <v>82279.28</v>
      </c>
      <c r="G147" s="338">
        <f t="shared" si="9"/>
        <v>91306.099999999991</v>
      </c>
      <c r="H147" s="338">
        <f t="shared" si="10"/>
        <v>96610.06</v>
      </c>
    </row>
    <row r="148" spans="1:8" ht="13.2" customHeight="1" x14ac:dyDescent="0.25">
      <c r="A148" s="3">
        <v>19217</v>
      </c>
      <c r="B148" s="2" t="s">
        <v>142</v>
      </c>
      <c r="C148" s="30">
        <v>4.79</v>
      </c>
      <c r="D148" s="42">
        <v>4.2</v>
      </c>
      <c r="E148" s="29">
        <f t="shared" si="11"/>
        <v>185213.30140000003</v>
      </c>
      <c r="F148" s="323">
        <f t="shared" si="8"/>
        <v>178130.4</v>
      </c>
      <c r="G148" s="338">
        <f t="shared" si="9"/>
        <v>197673</v>
      </c>
      <c r="H148" s="338">
        <f t="shared" si="10"/>
        <v>209155.80000000002</v>
      </c>
    </row>
    <row r="149" spans="1:8" ht="13.2" customHeight="1" x14ac:dyDescent="0.25">
      <c r="A149" s="3">
        <v>19218</v>
      </c>
      <c r="B149" s="2" t="s">
        <v>143</v>
      </c>
      <c r="C149" s="30">
        <v>5.64</v>
      </c>
      <c r="D149" s="42">
        <v>4.95</v>
      </c>
      <c r="E149" s="29">
        <f t="shared" si="11"/>
        <v>218079.96240000002</v>
      </c>
      <c r="F149" s="323">
        <f t="shared" si="8"/>
        <v>209939.4</v>
      </c>
      <c r="G149" s="338">
        <f t="shared" si="9"/>
        <v>232971.75</v>
      </c>
      <c r="H149" s="338">
        <f t="shared" si="10"/>
        <v>246505.05000000002</v>
      </c>
    </row>
    <row r="150" spans="1:8" ht="13.2" customHeight="1" x14ac:dyDescent="0.25">
      <c r="A150" s="3">
        <v>19219</v>
      </c>
      <c r="B150" s="2" t="s">
        <v>144</v>
      </c>
      <c r="C150" s="30">
        <v>2.17</v>
      </c>
      <c r="D150" s="42">
        <v>1.9</v>
      </c>
      <c r="E150" s="29">
        <f t="shared" si="11"/>
        <v>83906.652200000011</v>
      </c>
      <c r="F150" s="323">
        <f t="shared" si="8"/>
        <v>80582.8</v>
      </c>
      <c r="G150" s="338">
        <f t="shared" si="9"/>
        <v>89423.5</v>
      </c>
      <c r="H150" s="338">
        <f t="shared" si="10"/>
        <v>94618.099999999991</v>
      </c>
    </row>
    <row r="151" spans="1:8" ht="13.2" customHeight="1" x14ac:dyDescent="0.25">
      <c r="A151" s="3">
        <v>19223</v>
      </c>
      <c r="B151" s="2" t="s">
        <v>145</v>
      </c>
      <c r="C151" s="30">
        <v>1.42</v>
      </c>
      <c r="D151" s="42">
        <v>1.25</v>
      </c>
      <c r="E151" s="29">
        <f t="shared" si="11"/>
        <v>54906.657200000001</v>
      </c>
      <c r="F151" s="323">
        <f t="shared" si="8"/>
        <v>53015</v>
      </c>
      <c r="G151" s="338">
        <f t="shared" si="9"/>
        <v>58831.25</v>
      </c>
      <c r="H151" s="338">
        <f t="shared" si="10"/>
        <v>62248.75</v>
      </c>
    </row>
    <row r="152" spans="1:8" ht="13.2" customHeight="1" x14ac:dyDescent="0.25">
      <c r="A152" s="3">
        <v>19224</v>
      </c>
      <c r="B152" s="2" t="s">
        <v>146</v>
      </c>
      <c r="C152" s="30">
        <v>0.38</v>
      </c>
      <c r="D152" s="42">
        <v>0.33</v>
      </c>
      <c r="E152" s="29">
        <f t="shared" si="11"/>
        <v>14693.330800000002</v>
      </c>
      <c r="F152" s="323">
        <f t="shared" si="8"/>
        <v>13995.960000000001</v>
      </c>
      <c r="G152" s="338">
        <f t="shared" si="9"/>
        <v>15531.45</v>
      </c>
      <c r="H152" s="338">
        <f t="shared" si="10"/>
        <v>16433.670000000002</v>
      </c>
    </row>
    <row r="153" spans="1:8" ht="13.2" customHeight="1" x14ac:dyDescent="0.25">
      <c r="A153" s="3">
        <v>19225</v>
      </c>
      <c r="B153" s="2" t="s">
        <v>147</v>
      </c>
      <c r="C153" s="30">
        <v>1.69</v>
      </c>
      <c r="D153" s="42">
        <v>1.48</v>
      </c>
      <c r="E153" s="29">
        <f t="shared" si="11"/>
        <v>65346.655400000003</v>
      </c>
      <c r="F153" s="323">
        <f t="shared" si="8"/>
        <v>62769.760000000002</v>
      </c>
      <c r="G153" s="338">
        <f t="shared" si="9"/>
        <v>69656.2</v>
      </c>
      <c r="H153" s="338">
        <f t="shared" si="10"/>
        <v>73702.52</v>
      </c>
    </row>
    <row r="154" spans="1:8" ht="13.2" customHeight="1" x14ac:dyDescent="0.25">
      <c r="A154" s="3">
        <v>19226</v>
      </c>
      <c r="B154" s="2" t="s">
        <v>148</v>
      </c>
      <c r="C154" s="30">
        <v>0.57999999999999996</v>
      </c>
      <c r="D154" s="42">
        <v>0.51</v>
      </c>
      <c r="E154" s="29">
        <f t="shared" si="11"/>
        <v>22426.662800000002</v>
      </c>
      <c r="F154" s="323">
        <f t="shared" si="8"/>
        <v>21630.12</v>
      </c>
      <c r="G154" s="338">
        <f t="shared" si="9"/>
        <v>24003.15</v>
      </c>
      <c r="H154" s="338">
        <f t="shared" si="10"/>
        <v>25397.49</v>
      </c>
    </row>
    <row r="155" spans="1:8" ht="13.2" customHeight="1" x14ac:dyDescent="0.25">
      <c r="A155" s="3">
        <v>19227</v>
      </c>
      <c r="B155" s="2" t="s">
        <v>149</v>
      </c>
      <c r="C155" s="30">
        <v>0.49</v>
      </c>
      <c r="D155" s="42">
        <v>0.43</v>
      </c>
      <c r="E155" s="29">
        <f t="shared" si="11"/>
        <v>18946.663400000001</v>
      </c>
      <c r="F155" s="323">
        <f t="shared" si="8"/>
        <v>18237.16</v>
      </c>
      <c r="G155" s="338">
        <f t="shared" si="9"/>
        <v>20237.95</v>
      </c>
      <c r="H155" s="338">
        <f t="shared" si="10"/>
        <v>21413.57</v>
      </c>
    </row>
    <row r="156" spans="1:8" ht="13.2" customHeight="1" x14ac:dyDescent="0.25">
      <c r="A156" s="3">
        <v>19230</v>
      </c>
      <c r="B156" s="2" t="s">
        <v>150</v>
      </c>
      <c r="C156" s="30">
        <v>0.53</v>
      </c>
      <c r="D156" s="42">
        <v>0.47</v>
      </c>
      <c r="E156" s="29">
        <f t="shared" si="11"/>
        <v>20493.329800000003</v>
      </c>
      <c r="F156" s="323">
        <f t="shared" si="8"/>
        <v>19933.64</v>
      </c>
      <c r="G156" s="338">
        <f t="shared" si="9"/>
        <v>22120.55</v>
      </c>
      <c r="H156" s="338">
        <f t="shared" si="10"/>
        <v>23405.53</v>
      </c>
    </row>
    <row r="157" spans="1:8" ht="13.2" customHeight="1" x14ac:dyDescent="0.25">
      <c r="A157" s="3">
        <v>19231</v>
      </c>
      <c r="B157" s="2" t="s">
        <v>151</v>
      </c>
      <c r="C157" s="30">
        <v>1.75</v>
      </c>
      <c r="D157" s="42">
        <v>1.53</v>
      </c>
      <c r="E157" s="29">
        <f t="shared" si="11"/>
        <v>67666.654999999999</v>
      </c>
      <c r="F157" s="323">
        <f t="shared" si="8"/>
        <v>64890.36</v>
      </c>
      <c r="G157" s="338">
        <f t="shared" si="9"/>
        <v>72009.45</v>
      </c>
      <c r="H157" s="338">
        <f t="shared" si="10"/>
        <v>76192.47</v>
      </c>
    </row>
    <row r="158" spans="1:8" ht="13.2" customHeight="1" x14ac:dyDescent="0.25">
      <c r="A158" s="3">
        <v>19235</v>
      </c>
      <c r="B158" s="2" t="s">
        <v>152</v>
      </c>
      <c r="C158" s="30">
        <v>1.89</v>
      </c>
      <c r="D158" s="42">
        <v>1.66</v>
      </c>
      <c r="E158" s="29">
        <f t="shared" si="11"/>
        <v>73079.987399999998</v>
      </c>
      <c r="F158" s="323">
        <f t="shared" si="8"/>
        <v>70403.92</v>
      </c>
      <c r="G158" s="338">
        <f t="shared" si="9"/>
        <v>78127.899999999994</v>
      </c>
      <c r="H158" s="338">
        <f t="shared" si="10"/>
        <v>82666.34</v>
      </c>
    </row>
    <row r="159" spans="1:8" ht="13.2" customHeight="1" x14ac:dyDescent="0.25">
      <c r="A159" s="3">
        <v>19236</v>
      </c>
      <c r="B159" s="2" t="s">
        <v>153</v>
      </c>
      <c r="C159" s="30">
        <v>1.69</v>
      </c>
      <c r="D159" s="42">
        <v>1.48</v>
      </c>
      <c r="E159" s="29">
        <f t="shared" si="11"/>
        <v>65346.655400000003</v>
      </c>
      <c r="F159" s="323">
        <f t="shared" si="8"/>
        <v>62769.760000000002</v>
      </c>
      <c r="G159" s="338">
        <f t="shared" si="9"/>
        <v>69656.2</v>
      </c>
      <c r="H159" s="338">
        <f t="shared" si="10"/>
        <v>73702.52</v>
      </c>
    </row>
    <row r="160" spans="1:8" ht="13.2" customHeight="1" x14ac:dyDescent="0.25">
      <c r="A160" s="3">
        <v>19237</v>
      </c>
      <c r="B160" s="2" t="s">
        <v>154</v>
      </c>
      <c r="C160" s="30">
        <v>0.84</v>
      </c>
      <c r="D160" s="42">
        <v>0.74</v>
      </c>
      <c r="E160" s="29">
        <f t="shared" si="11"/>
        <v>32479.994400000003</v>
      </c>
      <c r="F160" s="323">
        <f t="shared" si="8"/>
        <v>31384.880000000001</v>
      </c>
      <c r="G160" s="338">
        <f t="shared" si="9"/>
        <v>34828.1</v>
      </c>
      <c r="H160" s="338">
        <f t="shared" si="10"/>
        <v>36851.26</v>
      </c>
    </row>
    <row r="161" spans="1:8" ht="13.2" customHeight="1" x14ac:dyDescent="0.25">
      <c r="A161" s="3">
        <v>19241</v>
      </c>
      <c r="B161" s="2" t="s">
        <v>155</v>
      </c>
      <c r="C161" s="30">
        <v>0.99</v>
      </c>
      <c r="D161" s="42">
        <v>0.87</v>
      </c>
      <c r="E161" s="29">
        <f t="shared" si="11"/>
        <v>38279.993400000007</v>
      </c>
      <c r="F161" s="323">
        <f t="shared" si="8"/>
        <v>36898.44</v>
      </c>
      <c r="G161" s="338">
        <f t="shared" si="9"/>
        <v>40946.550000000003</v>
      </c>
      <c r="H161" s="338">
        <f t="shared" si="10"/>
        <v>43325.13</v>
      </c>
    </row>
    <row r="162" spans="1:8" ht="13.2" customHeight="1" x14ac:dyDescent="0.25">
      <c r="A162" s="3">
        <v>19242</v>
      </c>
      <c r="B162" s="2" t="s">
        <v>156</v>
      </c>
      <c r="C162" s="30">
        <v>1.02</v>
      </c>
      <c r="D162" s="42">
        <v>0.9</v>
      </c>
      <c r="E162" s="29">
        <f t="shared" si="11"/>
        <v>39439.993200000004</v>
      </c>
      <c r="F162" s="323">
        <f t="shared" si="8"/>
        <v>38170.800000000003</v>
      </c>
      <c r="G162" s="338">
        <f t="shared" si="9"/>
        <v>42358.5</v>
      </c>
      <c r="H162" s="338">
        <f t="shared" si="10"/>
        <v>44819.1</v>
      </c>
    </row>
    <row r="163" spans="1:8" ht="13.2" customHeight="1" x14ac:dyDescent="0.25">
      <c r="A163" s="3">
        <v>19243</v>
      </c>
      <c r="B163" s="2" t="s">
        <v>157</v>
      </c>
      <c r="C163" s="30">
        <v>1.21</v>
      </c>
      <c r="D163" s="42">
        <v>1.06</v>
      </c>
      <c r="E163" s="29">
        <f t="shared" si="11"/>
        <v>46786.658600000002</v>
      </c>
      <c r="F163" s="323">
        <f t="shared" si="8"/>
        <v>44956.72</v>
      </c>
      <c r="G163" s="338">
        <f t="shared" si="9"/>
        <v>49888.9</v>
      </c>
      <c r="H163" s="338">
        <f t="shared" si="10"/>
        <v>52786.94</v>
      </c>
    </row>
    <row r="164" spans="1:8" ht="13.2" customHeight="1" x14ac:dyDescent="0.25">
      <c r="A164" s="3">
        <v>19244</v>
      </c>
      <c r="B164" s="2" t="s">
        <v>158</v>
      </c>
      <c r="C164" s="30">
        <v>1.35</v>
      </c>
      <c r="D164" s="42">
        <v>1.18</v>
      </c>
      <c r="E164" s="29">
        <f t="shared" si="11"/>
        <v>52199.991000000009</v>
      </c>
      <c r="F164" s="323">
        <f t="shared" si="8"/>
        <v>50046.159999999996</v>
      </c>
      <c r="G164" s="338">
        <f t="shared" si="9"/>
        <v>55536.7</v>
      </c>
      <c r="H164" s="338">
        <f t="shared" si="10"/>
        <v>58762.82</v>
      </c>
    </row>
    <row r="165" spans="1:8" ht="13.2" customHeight="1" x14ac:dyDescent="0.25">
      <c r="A165" s="3">
        <v>19247</v>
      </c>
      <c r="B165" s="2" t="s">
        <v>159</v>
      </c>
      <c r="C165" s="30">
        <v>1.21</v>
      </c>
      <c r="D165" s="42">
        <v>1.06</v>
      </c>
      <c r="E165" s="29">
        <f t="shared" si="11"/>
        <v>46786.658600000002</v>
      </c>
      <c r="F165" s="323">
        <f t="shared" si="8"/>
        <v>44956.72</v>
      </c>
      <c r="G165" s="338">
        <f t="shared" si="9"/>
        <v>49888.9</v>
      </c>
      <c r="H165" s="338">
        <f t="shared" si="10"/>
        <v>52786.94</v>
      </c>
    </row>
    <row r="166" spans="1:8" ht="13.2" customHeight="1" x14ac:dyDescent="0.25">
      <c r="A166" s="3">
        <v>19248</v>
      </c>
      <c r="B166" s="2" t="s">
        <v>160</v>
      </c>
      <c r="C166" s="30">
        <v>1.18</v>
      </c>
      <c r="D166" s="42">
        <v>1.03</v>
      </c>
      <c r="E166" s="29">
        <f t="shared" si="11"/>
        <v>45626.658800000005</v>
      </c>
      <c r="F166" s="323">
        <f t="shared" si="8"/>
        <v>43684.36</v>
      </c>
      <c r="G166" s="338">
        <f t="shared" si="9"/>
        <v>48476.950000000004</v>
      </c>
      <c r="H166" s="338">
        <f t="shared" si="10"/>
        <v>51292.97</v>
      </c>
    </row>
    <row r="167" spans="1:8" ht="13.2" customHeight="1" x14ac:dyDescent="0.25">
      <c r="A167" s="3">
        <v>19249</v>
      </c>
      <c r="B167" s="2" t="s">
        <v>161</v>
      </c>
      <c r="C167" s="30">
        <v>3.05</v>
      </c>
      <c r="D167" s="42">
        <v>2.68</v>
      </c>
      <c r="E167" s="29">
        <f t="shared" si="11"/>
        <v>117933.31300000001</v>
      </c>
      <c r="F167" s="323">
        <f t="shared" si="8"/>
        <v>113664.16</v>
      </c>
      <c r="G167" s="338">
        <f t="shared" si="9"/>
        <v>126134.20000000001</v>
      </c>
      <c r="H167" s="338">
        <f t="shared" si="10"/>
        <v>133461.32</v>
      </c>
    </row>
    <row r="168" spans="1:8" ht="13.2" customHeight="1" x14ac:dyDescent="0.25">
      <c r="A168" s="3">
        <v>19253</v>
      </c>
      <c r="B168" s="2" t="s">
        <v>162</v>
      </c>
      <c r="C168" s="30">
        <v>0.57999999999999996</v>
      </c>
      <c r="D168" s="42">
        <v>0.51</v>
      </c>
      <c r="E168" s="29">
        <f t="shared" si="11"/>
        <v>22426.662800000002</v>
      </c>
      <c r="F168" s="323">
        <f t="shared" si="8"/>
        <v>21630.12</v>
      </c>
      <c r="G168" s="338">
        <f t="shared" si="9"/>
        <v>24003.15</v>
      </c>
      <c r="H168" s="338">
        <f t="shared" si="10"/>
        <v>25397.49</v>
      </c>
    </row>
    <row r="169" spans="1:8" ht="13.2" customHeight="1" x14ac:dyDescent="0.25">
      <c r="A169" s="3">
        <v>19254</v>
      </c>
      <c r="B169" s="2" t="s">
        <v>163</v>
      </c>
      <c r="C169" s="30">
        <v>3.41</v>
      </c>
      <c r="D169" s="42">
        <v>2.99</v>
      </c>
      <c r="E169" s="29">
        <f t="shared" si="11"/>
        <v>131853.31060000003</v>
      </c>
      <c r="F169" s="323">
        <f t="shared" si="8"/>
        <v>126811.88</v>
      </c>
      <c r="G169" s="338">
        <f t="shared" si="9"/>
        <v>140724.35</v>
      </c>
      <c r="H169" s="338">
        <f t="shared" si="10"/>
        <v>148899.01</v>
      </c>
    </row>
    <row r="170" spans="1:8" ht="13.2" customHeight="1" x14ac:dyDescent="0.25">
      <c r="A170" s="3">
        <v>19255</v>
      </c>
      <c r="B170" s="2" t="s">
        <v>164</v>
      </c>
      <c r="C170" s="30">
        <v>1.35</v>
      </c>
      <c r="D170" s="42">
        <v>1.18</v>
      </c>
      <c r="E170" s="29">
        <f t="shared" si="11"/>
        <v>52199.991000000009</v>
      </c>
      <c r="F170" s="323">
        <f t="shared" si="8"/>
        <v>50046.159999999996</v>
      </c>
      <c r="G170" s="338">
        <f t="shared" si="9"/>
        <v>55536.7</v>
      </c>
      <c r="H170" s="338">
        <f t="shared" si="10"/>
        <v>58762.82</v>
      </c>
    </row>
    <row r="171" spans="1:8" ht="13.2" customHeight="1" x14ac:dyDescent="0.25">
      <c r="A171" s="3">
        <v>19259</v>
      </c>
      <c r="B171" s="2" t="s">
        <v>165</v>
      </c>
      <c r="C171" s="30">
        <v>2.5499999999999998</v>
      </c>
      <c r="D171" s="42">
        <v>2.2400000000000002</v>
      </c>
      <c r="E171" s="29">
        <f t="shared" si="11"/>
        <v>98599.983000000007</v>
      </c>
      <c r="F171" s="323">
        <f t="shared" si="8"/>
        <v>95002.880000000005</v>
      </c>
      <c r="G171" s="338">
        <f t="shared" si="9"/>
        <v>105425.60000000001</v>
      </c>
      <c r="H171" s="338">
        <f t="shared" si="10"/>
        <v>111549.76000000001</v>
      </c>
    </row>
    <row r="172" spans="1:8" ht="13.2" customHeight="1" x14ac:dyDescent="0.25">
      <c r="A172" s="3">
        <v>19260</v>
      </c>
      <c r="B172" s="2" t="s">
        <v>166</v>
      </c>
      <c r="C172" s="30">
        <v>0.62</v>
      </c>
      <c r="D172" s="42">
        <v>0.54</v>
      </c>
      <c r="E172" s="29">
        <f t="shared" si="11"/>
        <v>23973.329200000004</v>
      </c>
      <c r="F172" s="323">
        <f t="shared" si="8"/>
        <v>22902.480000000003</v>
      </c>
      <c r="G172" s="338">
        <f t="shared" si="9"/>
        <v>25415.100000000002</v>
      </c>
      <c r="H172" s="338">
        <f t="shared" si="10"/>
        <v>26891.460000000003</v>
      </c>
    </row>
    <row r="173" spans="1:8" ht="13.2" customHeight="1" x14ac:dyDescent="0.25">
      <c r="A173" s="3">
        <v>19261</v>
      </c>
      <c r="B173" s="2" t="s">
        <v>167</v>
      </c>
      <c r="C173" s="30">
        <v>0.37</v>
      </c>
      <c r="D173" s="42">
        <v>0.33</v>
      </c>
      <c r="E173" s="29">
        <f t="shared" si="11"/>
        <v>14306.664200000001</v>
      </c>
      <c r="F173" s="323">
        <f t="shared" si="8"/>
        <v>13995.960000000001</v>
      </c>
      <c r="G173" s="338">
        <f t="shared" si="9"/>
        <v>15531.45</v>
      </c>
      <c r="H173" s="338">
        <f t="shared" si="10"/>
        <v>16433.670000000002</v>
      </c>
    </row>
    <row r="174" spans="1:8" ht="13.2" customHeight="1" x14ac:dyDescent="0.25">
      <c r="A174" s="3">
        <v>19265</v>
      </c>
      <c r="B174" s="2" t="s">
        <v>168</v>
      </c>
      <c r="C174" s="30">
        <v>0.62</v>
      </c>
      <c r="D174" s="42">
        <v>0.54</v>
      </c>
      <c r="E174" s="29">
        <f t="shared" si="11"/>
        <v>23973.329200000004</v>
      </c>
      <c r="F174" s="323">
        <f t="shared" si="8"/>
        <v>22902.480000000003</v>
      </c>
      <c r="G174" s="338">
        <f t="shared" si="9"/>
        <v>25415.100000000002</v>
      </c>
      <c r="H174" s="338">
        <f t="shared" si="10"/>
        <v>26891.460000000003</v>
      </c>
    </row>
    <row r="175" spans="1:8" ht="13.2" customHeight="1" x14ac:dyDescent="0.25">
      <c r="A175" s="3">
        <v>19266</v>
      </c>
      <c r="B175" s="2" t="s">
        <v>169</v>
      </c>
      <c r="C175" s="30">
        <v>2.65</v>
      </c>
      <c r="D175" s="42">
        <v>2.3199999999999998</v>
      </c>
      <c r="E175" s="29">
        <f t="shared" si="11"/>
        <v>102466.649</v>
      </c>
      <c r="F175" s="323">
        <f t="shared" si="8"/>
        <v>98395.839999999997</v>
      </c>
      <c r="G175" s="338">
        <f t="shared" si="9"/>
        <v>109190.79999999999</v>
      </c>
      <c r="H175" s="338">
        <f t="shared" si="10"/>
        <v>115533.68</v>
      </c>
    </row>
    <row r="176" spans="1:8" ht="13.2" customHeight="1" x14ac:dyDescent="0.25">
      <c r="A176" s="3">
        <v>19267</v>
      </c>
      <c r="B176" s="2" t="s">
        <v>170</v>
      </c>
      <c r="C176" s="30">
        <v>0.33</v>
      </c>
      <c r="D176" s="42">
        <v>0.28999999999999998</v>
      </c>
      <c r="E176" s="29">
        <f t="shared" si="11"/>
        <v>12759.997800000001</v>
      </c>
      <c r="F176" s="323">
        <f t="shared" si="8"/>
        <v>12299.48</v>
      </c>
      <c r="G176" s="338">
        <f t="shared" si="9"/>
        <v>13648.849999999999</v>
      </c>
      <c r="H176" s="338">
        <f t="shared" si="10"/>
        <v>14441.71</v>
      </c>
    </row>
    <row r="177" spans="1:8" ht="13.2" customHeight="1" x14ac:dyDescent="0.25">
      <c r="A177" s="3">
        <v>19271</v>
      </c>
      <c r="B177" s="2" t="s">
        <v>171</v>
      </c>
      <c r="C177" s="31">
        <v>0.5</v>
      </c>
      <c r="D177" s="42">
        <v>0.44</v>
      </c>
      <c r="E177" s="29">
        <f t="shared" si="11"/>
        <v>19333.330000000002</v>
      </c>
      <c r="F177" s="323">
        <f t="shared" si="8"/>
        <v>18661.28</v>
      </c>
      <c r="G177" s="338">
        <f t="shared" si="9"/>
        <v>20708.599999999999</v>
      </c>
      <c r="H177" s="338">
        <f t="shared" si="10"/>
        <v>21911.56</v>
      </c>
    </row>
    <row r="178" spans="1:8" ht="13.2" customHeight="1" x14ac:dyDescent="0.25">
      <c r="A178" s="3">
        <v>19272</v>
      </c>
      <c r="B178" s="2" t="s">
        <v>172</v>
      </c>
      <c r="C178" s="30">
        <v>1.02</v>
      </c>
      <c r="D178" s="42">
        <v>0.9</v>
      </c>
      <c r="E178" s="29">
        <f t="shared" si="11"/>
        <v>39439.993200000004</v>
      </c>
      <c r="F178" s="323">
        <f t="shared" si="8"/>
        <v>38170.800000000003</v>
      </c>
      <c r="G178" s="338">
        <f t="shared" si="9"/>
        <v>42358.5</v>
      </c>
      <c r="H178" s="338">
        <f t="shared" si="10"/>
        <v>44819.1</v>
      </c>
    </row>
    <row r="179" spans="1:8" ht="13.2" customHeight="1" x14ac:dyDescent="0.25">
      <c r="A179" s="3">
        <v>19273</v>
      </c>
      <c r="B179" s="2" t="s">
        <v>173</v>
      </c>
      <c r="C179" s="31">
        <v>1.3</v>
      </c>
      <c r="D179" s="42">
        <v>1.1399999999999999</v>
      </c>
      <c r="E179" s="29">
        <f t="shared" si="11"/>
        <v>50266.658000000003</v>
      </c>
      <c r="F179" s="323">
        <f t="shared" si="8"/>
        <v>48349.679999999993</v>
      </c>
      <c r="G179" s="338">
        <f t="shared" si="9"/>
        <v>53654.1</v>
      </c>
      <c r="H179" s="338">
        <f t="shared" si="10"/>
        <v>56770.859999999993</v>
      </c>
    </row>
    <row r="180" spans="1:8" ht="13.2" customHeight="1" x14ac:dyDescent="0.25">
      <c r="A180" s="3">
        <v>19277</v>
      </c>
      <c r="B180" s="2" t="s">
        <v>174</v>
      </c>
      <c r="C180" s="30">
        <v>1.31</v>
      </c>
      <c r="D180" s="42">
        <v>1.1499999999999999</v>
      </c>
      <c r="E180" s="29">
        <f t="shared" si="11"/>
        <v>50653.324600000007</v>
      </c>
      <c r="F180" s="323">
        <f t="shared" si="8"/>
        <v>48773.799999999996</v>
      </c>
      <c r="G180" s="338">
        <f t="shared" si="9"/>
        <v>54124.749999999993</v>
      </c>
      <c r="H180" s="338">
        <f t="shared" si="10"/>
        <v>57268.85</v>
      </c>
    </row>
    <row r="181" spans="1:8" ht="13.2" customHeight="1" x14ac:dyDescent="0.25">
      <c r="A181" s="3">
        <v>19278</v>
      </c>
      <c r="B181" s="2" t="s">
        <v>175</v>
      </c>
      <c r="C181" s="30">
        <v>2.37</v>
      </c>
      <c r="D181" s="42">
        <v>2.08</v>
      </c>
      <c r="E181" s="29">
        <f t="shared" si="11"/>
        <v>91639.984200000006</v>
      </c>
      <c r="F181" s="323">
        <f t="shared" si="8"/>
        <v>88216.960000000006</v>
      </c>
      <c r="G181" s="338">
        <f t="shared" si="9"/>
        <v>97895.2</v>
      </c>
      <c r="H181" s="338">
        <f t="shared" si="10"/>
        <v>103581.92</v>
      </c>
    </row>
    <row r="182" spans="1:8" ht="13.2" customHeight="1" x14ac:dyDescent="0.25">
      <c r="A182" s="3">
        <v>19279</v>
      </c>
      <c r="B182" s="2" t="s">
        <v>176</v>
      </c>
      <c r="C182" s="30">
        <v>3.02</v>
      </c>
      <c r="D182" s="42">
        <v>2.65</v>
      </c>
      <c r="E182" s="29">
        <f t="shared" si="11"/>
        <v>116773.3132</v>
      </c>
      <c r="F182" s="323">
        <f t="shared" si="8"/>
        <v>112391.8</v>
      </c>
      <c r="G182" s="338">
        <f t="shared" si="9"/>
        <v>124722.25</v>
      </c>
      <c r="H182" s="338">
        <f t="shared" si="10"/>
        <v>131967.35</v>
      </c>
    </row>
    <row r="183" spans="1:8" ht="13.2" customHeight="1" x14ac:dyDescent="0.25">
      <c r="A183" s="3">
        <v>19280</v>
      </c>
      <c r="B183" s="2" t="s">
        <v>177</v>
      </c>
      <c r="C183" s="30">
        <v>0.56000000000000005</v>
      </c>
      <c r="D183" s="42">
        <v>0.49</v>
      </c>
      <c r="E183" s="29">
        <f t="shared" si="11"/>
        <v>21653.329600000005</v>
      </c>
      <c r="F183" s="323">
        <f t="shared" si="8"/>
        <v>20781.88</v>
      </c>
      <c r="G183" s="338">
        <f t="shared" si="9"/>
        <v>23061.85</v>
      </c>
      <c r="H183" s="338">
        <f t="shared" si="10"/>
        <v>24401.51</v>
      </c>
    </row>
    <row r="184" spans="1:8" ht="13.2" customHeight="1" x14ac:dyDescent="0.25">
      <c r="A184" s="3">
        <v>19283</v>
      </c>
      <c r="B184" s="2" t="s">
        <v>178</v>
      </c>
      <c r="C184" s="30">
        <v>0.77</v>
      </c>
      <c r="D184" s="42">
        <v>0.68</v>
      </c>
      <c r="E184" s="29">
        <f t="shared" si="11"/>
        <v>29773.328200000004</v>
      </c>
      <c r="F184" s="323">
        <f t="shared" si="8"/>
        <v>28840.160000000003</v>
      </c>
      <c r="G184" s="338">
        <f t="shared" si="9"/>
        <v>32004.2</v>
      </c>
      <c r="H184" s="338">
        <f t="shared" si="10"/>
        <v>33863.32</v>
      </c>
    </row>
    <row r="185" spans="1:8" ht="13.2" customHeight="1" x14ac:dyDescent="0.25">
      <c r="A185" s="3">
        <v>19284</v>
      </c>
      <c r="B185" s="2" t="s">
        <v>179</v>
      </c>
      <c r="C185" s="30">
        <v>1.86</v>
      </c>
      <c r="D185" s="42">
        <v>1.63</v>
      </c>
      <c r="E185" s="29">
        <f t="shared" si="11"/>
        <v>71919.987600000008</v>
      </c>
      <c r="F185" s="323">
        <f t="shared" si="8"/>
        <v>69131.56</v>
      </c>
      <c r="G185" s="338">
        <f t="shared" si="9"/>
        <v>76715.95</v>
      </c>
      <c r="H185" s="338">
        <f t="shared" si="10"/>
        <v>81172.37</v>
      </c>
    </row>
    <row r="186" spans="1:8" ht="13.2" customHeight="1" x14ac:dyDescent="0.25">
      <c r="A186" s="3">
        <v>19285</v>
      </c>
      <c r="B186" s="2" t="s">
        <v>180</v>
      </c>
      <c r="C186" s="30">
        <v>1.08</v>
      </c>
      <c r="D186" s="42">
        <v>0.95</v>
      </c>
      <c r="E186" s="29">
        <f t="shared" si="11"/>
        <v>41759.992800000007</v>
      </c>
      <c r="F186" s="323">
        <f t="shared" si="8"/>
        <v>40291.4</v>
      </c>
      <c r="G186" s="338">
        <f t="shared" si="9"/>
        <v>44711.75</v>
      </c>
      <c r="H186" s="338">
        <f t="shared" si="10"/>
        <v>47309.049999999996</v>
      </c>
    </row>
    <row r="187" spans="1:8" ht="13.2" customHeight="1" x14ac:dyDescent="0.25">
      <c r="A187" s="3">
        <v>19289</v>
      </c>
      <c r="B187" s="2" t="s">
        <v>181</v>
      </c>
      <c r="C187" s="30">
        <v>0.77</v>
      </c>
      <c r="D187" s="42">
        <v>0.68</v>
      </c>
      <c r="E187" s="29">
        <f t="shared" si="11"/>
        <v>29773.328200000004</v>
      </c>
      <c r="F187" s="323">
        <f t="shared" si="8"/>
        <v>28840.160000000003</v>
      </c>
      <c r="G187" s="338">
        <f t="shared" si="9"/>
        <v>32004.2</v>
      </c>
      <c r="H187" s="338">
        <f t="shared" si="10"/>
        <v>33863.32</v>
      </c>
    </row>
    <row r="188" spans="1:8" ht="13.2" customHeight="1" x14ac:dyDescent="0.25">
      <c r="A188" s="3">
        <v>19290</v>
      </c>
      <c r="B188" s="2" t="s">
        <v>182</v>
      </c>
      <c r="C188" s="30">
        <v>0.48</v>
      </c>
      <c r="D188" s="42">
        <v>0.42</v>
      </c>
      <c r="E188" s="29">
        <f t="shared" si="11"/>
        <v>18559.996800000001</v>
      </c>
      <c r="F188" s="323">
        <f t="shared" si="8"/>
        <v>17813.04</v>
      </c>
      <c r="G188" s="338">
        <f t="shared" si="9"/>
        <v>19767.3</v>
      </c>
      <c r="H188" s="338">
        <f t="shared" si="10"/>
        <v>20915.579999999998</v>
      </c>
    </row>
    <row r="189" spans="1:8" ht="13.2" customHeight="1" x14ac:dyDescent="0.25">
      <c r="A189" s="3">
        <v>19291</v>
      </c>
      <c r="B189" s="2" t="s">
        <v>183</v>
      </c>
      <c r="C189" s="30">
        <v>6.59</v>
      </c>
      <c r="D189" s="42">
        <v>5.78</v>
      </c>
      <c r="E189" s="29">
        <f t="shared" si="11"/>
        <v>254813.28940000001</v>
      </c>
      <c r="F189" s="323">
        <f t="shared" si="8"/>
        <v>245141.36000000002</v>
      </c>
      <c r="G189" s="338">
        <f t="shared" si="9"/>
        <v>272035.7</v>
      </c>
      <c r="H189" s="338">
        <f t="shared" si="10"/>
        <v>287838.22000000003</v>
      </c>
    </row>
    <row r="190" spans="1:8" ht="13.2" customHeight="1" x14ac:dyDescent="0.25">
      <c r="A190" s="3">
        <v>19292</v>
      </c>
      <c r="B190" s="2" t="s">
        <v>184</v>
      </c>
      <c r="C190" s="30">
        <v>3.07</v>
      </c>
      <c r="D190" s="42">
        <v>2.69</v>
      </c>
      <c r="E190" s="29">
        <f t="shared" si="11"/>
        <v>118706.6462</v>
      </c>
      <c r="F190" s="323">
        <f t="shared" si="8"/>
        <v>114088.28</v>
      </c>
      <c r="G190" s="338">
        <f t="shared" si="9"/>
        <v>126604.84999999999</v>
      </c>
      <c r="H190" s="338">
        <f t="shared" si="10"/>
        <v>133959.31</v>
      </c>
    </row>
    <row r="191" spans="1:8" ht="13.2" customHeight="1" x14ac:dyDescent="0.25">
      <c r="A191" s="3">
        <v>19295</v>
      </c>
      <c r="B191" s="2" t="s">
        <v>185</v>
      </c>
      <c r="C191" s="31">
        <v>0.5</v>
      </c>
      <c r="D191" s="42">
        <v>0.44</v>
      </c>
      <c r="E191" s="29">
        <f t="shared" si="11"/>
        <v>19333.330000000002</v>
      </c>
      <c r="F191" s="323">
        <f t="shared" si="8"/>
        <v>18661.28</v>
      </c>
      <c r="G191" s="338">
        <f t="shared" si="9"/>
        <v>20708.599999999999</v>
      </c>
      <c r="H191" s="338">
        <f t="shared" si="10"/>
        <v>21911.56</v>
      </c>
    </row>
    <row r="192" spans="1:8" ht="13.2" customHeight="1" x14ac:dyDescent="0.25">
      <c r="A192" s="3">
        <v>19296</v>
      </c>
      <c r="B192" s="2" t="s">
        <v>186</v>
      </c>
      <c r="C192" s="30">
        <v>0.43</v>
      </c>
      <c r="D192" s="42">
        <v>0.38</v>
      </c>
      <c r="E192" s="29">
        <f t="shared" si="11"/>
        <v>16626.663800000002</v>
      </c>
      <c r="F192" s="323">
        <f t="shared" si="8"/>
        <v>16116.56</v>
      </c>
      <c r="G192" s="338">
        <f t="shared" si="9"/>
        <v>17884.7</v>
      </c>
      <c r="H192" s="338">
        <f t="shared" si="10"/>
        <v>18923.62</v>
      </c>
    </row>
    <row r="193" spans="1:8" ht="13.2" customHeight="1" x14ac:dyDescent="0.25">
      <c r="A193" s="3">
        <v>19297</v>
      </c>
      <c r="B193" s="2" t="s">
        <v>187</v>
      </c>
      <c r="C193" s="30">
        <v>1.35</v>
      </c>
      <c r="D193" s="42">
        <v>1.18</v>
      </c>
      <c r="E193" s="29">
        <f t="shared" si="11"/>
        <v>52199.991000000009</v>
      </c>
      <c r="F193" s="323">
        <f t="shared" si="8"/>
        <v>50046.159999999996</v>
      </c>
      <c r="G193" s="338">
        <f t="shared" si="9"/>
        <v>55536.7</v>
      </c>
      <c r="H193" s="338">
        <f t="shared" si="10"/>
        <v>58762.82</v>
      </c>
    </row>
    <row r="194" spans="1:8" ht="13.2" customHeight="1" x14ac:dyDescent="0.25">
      <c r="A194" s="3">
        <v>19301</v>
      </c>
      <c r="B194" s="2" t="s">
        <v>188</v>
      </c>
      <c r="C194" s="30">
        <v>1.31</v>
      </c>
      <c r="D194" s="42">
        <v>1.1499999999999999</v>
      </c>
      <c r="E194" s="29">
        <f t="shared" si="11"/>
        <v>50653.324600000007</v>
      </c>
      <c r="F194" s="323">
        <f t="shared" si="8"/>
        <v>48773.799999999996</v>
      </c>
      <c r="G194" s="338">
        <f t="shared" si="9"/>
        <v>54124.749999999993</v>
      </c>
      <c r="H194" s="338">
        <f t="shared" si="10"/>
        <v>57268.85</v>
      </c>
    </row>
    <row r="195" spans="1:8" ht="13.2" customHeight="1" x14ac:dyDescent="0.25">
      <c r="A195" s="3">
        <v>19302</v>
      </c>
      <c r="B195" s="2" t="s">
        <v>189</v>
      </c>
      <c r="C195" s="30">
        <v>0.65</v>
      </c>
      <c r="D195" s="42">
        <v>0.56999999999999995</v>
      </c>
      <c r="E195" s="29">
        <f t="shared" si="11"/>
        <v>25133.329000000002</v>
      </c>
      <c r="F195" s="323">
        <f t="shared" si="8"/>
        <v>24174.839999999997</v>
      </c>
      <c r="G195" s="338">
        <f t="shared" si="9"/>
        <v>26827.05</v>
      </c>
      <c r="H195" s="338">
        <f t="shared" si="10"/>
        <v>28385.429999999997</v>
      </c>
    </row>
    <row r="196" spans="1:8" ht="13.2" customHeight="1" x14ac:dyDescent="0.25">
      <c r="A196" s="3">
        <v>19303</v>
      </c>
      <c r="B196" s="2" t="s">
        <v>190</v>
      </c>
      <c r="C196" s="30">
        <v>0.95</v>
      </c>
      <c r="D196" s="42">
        <v>0.83</v>
      </c>
      <c r="E196" s="29">
        <f t="shared" si="11"/>
        <v>36733.327000000005</v>
      </c>
      <c r="F196" s="323">
        <f t="shared" si="8"/>
        <v>35201.96</v>
      </c>
      <c r="G196" s="338">
        <f t="shared" si="9"/>
        <v>39063.949999999997</v>
      </c>
      <c r="H196" s="338">
        <f t="shared" si="10"/>
        <v>41333.17</v>
      </c>
    </row>
    <row r="197" spans="1:8" ht="13.2" customHeight="1" x14ac:dyDescent="0.25">
      <c r="A197" s="3">
        <v>19304</v>
      </c>
      <c r="B197" s="2" t="s">
        <v>191</v>
      </c>
      <c r="C197" s="30">
        <v>0.83</v>
      </c>
      <c r="D197" s="42">
        <v>0.73</v>
      </c>
      <c r="E197" s="29">
        <f t="shared" si="11"/>
        <v>32093.327800000003</v>
      </c>
      <c r="F197" s="323">
        <f t="shared" si="8"/>
        <v>30960.76</v>
      </c>
      <c r="G197" s="338">
        <f t="shared" si="9"/>
        <v>34357.449999999997</v>
      </c>
      <c r="H197" s="338">
        <f t="shared" si="10"/>
        <v>36353.269999999997</v>
      </c>
    </row>
    <row r="198" spans="1:8" ht="13.2" customHeight="1" x14ac:dyDescent="0.25">
      <c r="A198" s="3">
        <v>19307</v>
      </c>
      <c r="B198" s="2" t="s">
        <v>192</v>
      </c>
      <c r="C198" s="30">
        <v>0.44</v>
      </c>
      <c r="D198" s="42">
        <v>0.39</v>
      </c>
      <c r="E198" s="29">
        <f t="shared" si="11"/>
        <v>17013.330400000003</v>
      </c>
      <c r="F198" s="323">
        <f t="shared" ref="F198:F261" si="12">+$D198*$F$2</f>
        <v>16540.68</v>
      </c>
      <c r="G198" s="338">
        <f t="shared" ref="G198:G261" si="13">+$D198*$G$2</f>
        <v>18355.350000000002</v>
      </c>
      <c r="H198" s="338">
        <f t="shared" ref="H198:H261" si="14">+$D198*$H$2</f>
        <v>19421.61</v>
      </c>
    </row>
    <row r="199" spans="1:8" ht="13.2" customHeight="1" x14ac:dyDescent="0.25">
      <c r="A199" s="3">
        <v>19308</v>
      </c>
      <c r="B199" s="2" t="s">
        <v>193</v>
      </c>
      <c r="C199" s="30">
        <v>2.2200000000000002</v>
      </c>
      <c r="D199" s="42">
        <v>1.95</v>
      </c>
      <c r="E199" s="29">
        <f t="shared" ref="E199:E262" si="15">+$C199*$E$2</f>
        <v>85839.98520000001</v>
      </c>
      <c r="F199" s="323">
        <f t="shared" si="12"/>
        <v>82703.399999999994</v>
      </c>
      <c r="G199" s="338">
        <f t="shared" si="13"/>
        <v>91776.75</v>
      </c>
      <c r="H199" s="338">
        <f t="shared" si="14"/>
        <v>97108.05</v>
      </c>
    </row>
    <row r="200" spans="1:8" ht="13.2" customHeight="1" x14ac:dyDescent="0.25">
      <c r="A200" s="3">
        <v>19309</v>
      </c>
      <c r="B200" s="2" t="s">
        <v>194</v>
      </c>
      <c r="C200" s="30">
        <v>1.18</v>
      </c>
      <c r="D200" s="42">
        <v>1.03</v>
      </c>
      <c r="E200" s="29">
        <f t="shared" si="15"/>
        <v>45626.658800000005</v>
      </c>
      <c r="F200" s="323">
        <f t="shared" si="12"/>
        <v>43684.36</v>
      </c>
      <c r="G200" s="338">
        <f t="shared" si="13"/>
        <v>48476.950000000004</v>
      </c>
      <c r="H200" s="338">
        <f t="shared" si="14"/>
        <v>51292.97</v>
      </c>
    </row>
    <row r="201" spans="1:8" ht="13.2" customHeight="1" x14ac:dyDescent="0.25">
      <c r="A201" s="3">
        <v>19313</v>
      </c>
      <c r="B201" s="2" t="s">
        <v>195</v>
      </c>
      <c r="C201" s="31">
        <v>2.4</v>
      </c>
      <c r="D201" s="42">
        <v>2.11</v>
      </c>
      <c r="E201" s="29">
        <f t="shared" si="15"/>
        <v>92799.984000000011</v>
      </c>
      <c r="F201" s="323">
        <f t="shared" si="12"/>
        <v>89489.319999999992</v>
      </c>
      <c r="G201" s="338">
        <f t="shared" si="13"/>
        <v>99307.15</v>
      </c>
      <c r="H201" s="338">
        <f t="shared" si="14"/>
        <v>105075.89</v>
      </c>
    </row>
    <row r="202" spans="1:8" ht="13.2" customHeight="1" x14ac:dyDescent="0.25">
      <c r="A202" s="3">
        <v>19314</v>
      </c>
      <c r="B202" s="2" t="s">
        <v>196</v>
      </c>
      <c r="C202" s="30">
        <v>1.02</v>
      </c>
      <c r="D202" s="42">
        <v>0.9</v>
      </c>
      <c r="E202" s="29">
        <f t="shared" si="15"/>
        <v>39439.993200000004</v>
      </c>
      <c r="F202" s="323">
        <f t="shared" si="12"/>
        <v>38170.800000000003</v>
      </c>
      <c r="G202" s="338">
        <f t="shared" si="13"/>
        <v>42358.5</v>
      </c>
      <c r="H202" s="338">
        <f t="shared" si="14"/>
        <v>44819.1</v>
      </c>
    </row>
    <row r="203" spans="1:8" ht="13.2" customHeight="1" x14ac:dyDescent="0.25">
      <c r="A203" s="3">
        <v>19315</v>
      </c>
      <c r="B203" s="2" t="s">
        <v>197</v>
      </c>
      <c r="C203" s="30">
        <v>7.43</v>
      </c>
      <c r="D203" s="42">
        <v>6.52</v>
      </c>
      <c r="E203" s="29">
        <f t="shared" si="15"/>
        <v>287293.28380000003</v>
      </c>
      <c r="F203" s="323">
        <f t="shared" si="12"/>
        <v>276526.24</v>
      </c>
      <c r="G203" s="338">
        <f t="shared" si="13"/>
        <v>306863.8</v>
      </c>
      <c r="H203" s="338">
        <f t="shared" si="14"/>
        <v>324689.48</v>
      </c>
    </row>
    <row r="204" spans="1:8" ht="13.2" customHeight="1" x14ac:dyDescent="0.25">
      <c r="A204" s="3">
        <v>19316</v>
      </c>
      <c r="B204" s="2" t="s">
        <v>198</v>
      </c>
      <c r="C204" s="30">
        <v>1.96</v>
      </c>
      <c r="D204" s="42">
        <v>1.72</v>
      </c>
      <c r="E204" s="29">
        <f t="shared" si="15"/>
        <v>75786.653600000005</v>
      </c>
      <c r="F204" s="323">
        <f t="shared" si="12"/>
        <v>72948.639999999999</v>
      </c>
      <c r="G204" s="338">
        <f t="shared" si="13"/>
        <v>80951.8</v>
      </c>
      <c r="H204" s="338">
        <f t="shared" si="14"/>
        <v>85654.28</v>
      </c>
    </row>
    <row r="205" spans="1:8" ht="13.2" customHeight="1" x14ac:dyDescent="0.25">
      <c r="A205" s="3">
        <v>19319</v>
      </c>
      <c r="B205" s="2" t="s">
        <v>199</v>
      </c>
      <c r="C205" s="30">
        <v>1.35</v>
      </c>
      <c r="D205" s="42">
        <v>1.18</v>
      </c>
      <c r="E205" s="29">
        <f t="shared" si="15"/>
        <v>52199.991000000009</v>
      </c>
      <c r="F205" s="323">
        <f t="shared" si="12"/>
        <v>50046.159999999996</v>
      </c>
      <c r="G205" s="338">
        <f t="shared" si="13"/>
        <v>55536.7</v>
      </c>
      <c r="H205" s="338">
        <f t="shared" si="14"/>
        <v>58762.82</v>
      </c>
    </row>
    <row r="206" spans="1:8" ht="13.2" customHeight="1" x14ac:dyDescent="0.25">
      <c r="A206" s="3">
        <v>19320</v>
      </c>
      <c r="B206" s="2" t="s">
        <v>200</v>
      </c>
      <c r="C206" s="30">
        <v>5.41</v>
      </c>
      <c r="D206" s="42">
        <v>4.75</v>
      </c>
      <c r="E206" s="29">
        <f t="shared" si="15"/>
        <v>209186.63060000003</v>
      </c>
      <c r="F206" s="323">
        <f t="shared" si="12"/>
        <v>201457</v>
      </c>
      <c r="G206" s="338">
        <f t="shared" si="13"/>
        <v>223558.75</v>
      </c>
      <c r="H206" s="338">
        <f t="shared" si="14"/>
        <v>236545.25</v>
      </c>
    </row>
    <row r="207" spans="1:8" ht="13.2" customHeight="1" x14ac:dyDescent="0.25">
      <c r="A207" s="3">
        <v>19321</v>
      </c>
      <c r="B207" s="2" t="s">
        <v>201</v>
      </c>
      <c r="C207" s="30">
        <v>10.14</v>
      </c>
      <c r="D207" s="42">
        <v>8.89</v>
      </c>
      <c r="E207" s="29">
        <f t="shared" si="15"/>
        <v>392079.93240000005</v>
      </c>
      <c r="F207" s="323">
        <f t="shared" si="12"/>
        <v>377042.68000000005</v>
      </c>
      <c r="G207" s="338">
        <f t="shared" si="13"/>
        <v>418407.85000000003</v>
      </c>
      <c r="H207" s="338">
        <f t="shared" si="14"/>
        <v>442713.11000000004</v>
      </c>
    </row>
    <row r="208" spans="1:8" ht="13.2" customHeight="1" x14ac:dyDescent="0.25">
      <c r="A208" s="3">
        <v>19322</v>
      </c>
      <c r="B208" s="2" t="s">
        <v>202</v>
      </c>
      <c r="C208" s="30">
        <v>2.0299999999999998</v>
      </c>
      <c r="D208" s="42">
        <v>1.78</v>
      </c>
      <c r="E208" s="29">
        <f t="shared" si="15"/>
        <v>78493.319799999997</v>
      </c>
      <c r="F208" s="323">
        <f t="shared" si="12"/>
        <v>75493.36</v>
      </c>
      <c r="G208" s="338">
        <f t="shared" si="13"/>
        <v>83775.7</v>
      </c>
      <c r="H208" s="338">
        <f t="shared" si="14"/>
        <v>88642.22</v>
      </c>
    </row>
    <row r="209" spans="1:8" ht="13.2" customHeight="1" x14ac:dyDescent="0.25">
      <c r="A209" s="3">
        <v>19323</v>
      </c>
      <c r="B209" s="2" t="s">
        <v>203</v>
      </c>
      <c r="C209" s="31">
        <v>2.2999999999999998</v>
      </c>
      <c r="D209" s="42">
        <v>2.02</v>
      </c>
      <c r="E209" s="29">
        <f t="shared" si="15"/>
        <v>88933.317999999999</v>
      </c>
      <c r="F209" s="323">
        <f t="shared" si="12"/>
        <v>85672.24</v>
      </c>
      <c r="G209" s="338">
        <f t="shared" si="13"/>
        <v>95071.3</v>
      </c>
      <c r="H209" s="338">
        <f t="shared" si="14"/>
        <v>100593.98</v>
      </c>
    </row>
    <row r="210" spans="1:8" ht="13.2" customHeight="1" x14ac:dyDescent="0.25">
      <c r="A210" s="3">
        <v>19326</v>
      </c>
      <c r="B210" s="2" t="s">
        <v>204</v>
      </c>
      <c r="C210" s="30">
        <v>3.89</v>
      </c>
      <c r="D210" s="42">
        <v>3.41</v>
      </c>
      <c r="E210" s="29">
        <f t="shared" si="15"/>
        <v>150413.30740000002</v>
      </c>
      <c r="F210" s="323">
        <f t="shared" si="12"/>
        <v>144624.92000000001</v>
      </c>
      <c r="G210" s="338">
        <f t="shared" si="13"/>
        <v>160491.65</v>
      </c>
      <c r="H210" s="338">
        <f t="shared" si="14"/>
        <v>169814.59</v>
      </c>
    </row>
    <row r="211" spans="1:8" ht="13.2" customHeight="1" x14ac:dyDescent="0.25">
      <c r="A211" s="3">
        <v>19327</v>
      </c>
      <c r="B211" s="2" t="s">
        <v>205</v>
      </c>
      <c r="C211" s="30">
        <v>3.05</v>
      </c>
      <c r="D211" s="42">
        <v>2.68</v>
      </c>
      <c r="E211" s="29">
        <f t="shared" si="15"/>
        <v>117933.31300000001</v>
      </c>
      <c r="F211" s="323">
        <f t="shared" si="12"/>
        <v>113664.16</v>
      </c>
      <c r="G211" s="338">
        <f t="shared" si="13"/>
        <v>126134.20000000001</v>
      </c>
      <c r="H211" s="338">
        <f t="shared" si="14"/>
        <v>133461.32</v>
      </c>
    </row>
    <row r="212" spans="1:8" ht="13.2" customHeight="1" x14ac:dyDescent="0.25">
      <c r="A212" s="3">
        <v>19329</v>
      </c>
      <c r="B212" s="2" t="s">
        <v>206</v>
      </c>
      <c r="C212" s="30">
        <v>2.06</v>
      </c>
      <c r="D212" s="42">
        <v>1.81</v>
      </c>
      <c r="E212" s="29">
        <f t="shared" si="15"/>
        <v>79653.319600000003</v>
      </c>
      <c r="F212" s="323">
        <f t="shared" si="12"/>
        <v>76765.72</v>
      </c>
      <c r="G212" s="338">
        <f t="shared" si="13"/>
        <v>85187.650000000009</v>
      </c>
      <c r="H212" s="338">
        <f t="shared" si="14"/>
        <v>90136.19</v>
      </c>
    </row>
    <row r="213" spans="1:8" ht="13.2" customHeight="1" x14ac:dyDescent="0.25">
      <c r="A213" s="3">
        <v>19332</v>
      </c>
      <c r="B213" s="2" t="s">
        <v>207</v>
      </c>
      <c r="C213" s="30">
        <v>0.59</v>
      </c>
      <c r="D213" s="42">
        <v>0.52</v>
      </c>
      <c r="E213" s="29">
        <f t="shared" si="15"/>
        <v>22813.329400000002</v>
      </c>
      <c r="F213" s="323">
        <f t="shared" si="12"/>
        <v>22054.240000000002</v>
      </c>
      <c r="G213" s="338">
        <f t="shared" si="13"/>
        <v>24473.8</v>
      </c>
      <c r="H213" s="338">
        <f t="shared" si="14"/>
        <v>25895.48</v>
      </c>
    </row>
    <row r="214" spans="1:8" ht="13.2" customHeight="1" x14ac:dyDescent="0.25">
      <c r="A214" s="3">
        <v>19333</v>
      </c>
      <c r="B214" s="2" t="s">
        <v>208</v>
      </c>
      <c r="C214" s="30">
        <v>1.83</v>
      </c>
      <c r="D214" s="42">
        <v>1.61</v>
      </c>
      <c r="E214" s="29">
        <f t="shared" si="15"/>
        <v>70759.987800000003</v>
      </c>
      <c r="F214" s="323">
        <f t="shared" si="12"/>
        <v>68283.320000000007</v>
      </c>
      <c r="G214" s="338">
        <f t="shared" si="13"/>
        <v>75774.650000000009</v>
      </c>
      <c r="H214" s="338">
        <f t="shared" si="14"/>
        <v>80176.39</v>
      </c>
    </row>
    <row r="215" spans="1:8" ht="13.2" customHeight="1" x14ac:dyDescent="0.25">
      <c r="A215" s="3">
        <v>19334</v>
      </c>
      <c r="B215" s="2" t="s">
        <v>209</v>
      </c>
      <c r="C215" s="30">
        <v>2.5299999999999998</v>
      </c>
      <c r="D215" s="42">
        <v>2.2200000000000002</v>
      </c>
      <c r="E215" s="29">
        <f t="shared" si="15"/>
        <v>97826.649799999999</v>
      </c>
      <c r="F215" s="323">
        <f t="shared" si="12"/>
        <v>94154.640000000014</v>
      </c>
      <c r="G215" s="338">
        <f t="shared" si="13"/>
        <v>104484.3</v>
      </c>
      <c r="H215" s="338">
        <f t="shared" si="14"/>
        <v>110553.78000000001</v>
      </c>
    </row>
    <row r="216" spans="1:8" ht="13.2" customHeight="1" x14ac:dyDescent="0.25">
      <c r="A216" s="3">
        <v>19338</v>
      </c>
      <c r="B216" s="2" t="s">
        <v>210</v>
      </c>
      <c r="C216" s="30">
        <v>1.96</v>
      </c>
      <c r="D216" s="42">
        <v>1.72</v>
      </c>
      <c r="E216" s="29">
        <f t="shared" si="15"/>
        <v>75786.653600000005</v>
      </c>
      <c r="F216" s="323">
        <f t="shared" si="12"/>
        <v>72948.639999999999</v>
      </c>
      <c r="G216" s="338">
        <f t="shared" si="13"/>
        <v>80951.8</v>
      </c>
      <c r="H216" s="338">
        <f t="shared" si="14"/>
        <v>85654.28</v>
      </c>
    </row>
    <row r="217" spans="1:8" ht="13.2" customHeight="1" x14ac:dyDescent="0.25">
      <c r="A217" s="3">
        <v>19339</v>
      </c>
      <c r="B217" s="2" t="s">
        <v>211</v>
      </c>
      <c r="C217" s="30">
        <v>2.59</v>
      </c>
      <c r="D217" s="42">
        <v>2.27</v>
      </c>
      <c r="E217" s="29">
        <f t="shared" si="15"/>
        <v>100146.64940000001</v>
      </c>
      <c r="F217" s="323">
        <f t="shared" si="12"/>
        <v>96275.24</v>
      </c>
      <c r="G217" s="338">
        <f t="shared" si="13"/>
        <v>106837.55</v>
      </c>
      <c r="H217" s="338">
        <f t="shared" si="14"/>
        <v>113043.73</v>
      </c>
    </row>
    <row r="218" spans="1:8" ht="13.2" customHeight="1" x14ac:dyDescent="0.25">
      <c r="A218" s="3">
        <v>19340</v>
      </c>
      <c r="B218" s="2" t="s">
        <v>212</v>
      </c>
      <c r="C218" s="30">
        <v>0.61</v>
      </c>
      <c r="D218" s="42">
        <v>0.54</v>
      </c>
      <c r="E218" s="29">
        <f t="shared" si="15"/>
        <v>23586.662600000003</v>
      </c>
      <c r="F218" s="323">
        <f t="shared" si="12"/>
        <v>22902.480000000003</v>
      </c>
      <c r="G218" s="338">
        <f t="shared" si="13"/>
        <v>25415.100000000002</v>
      </c>
      <c r="H218" s="338">
        <f t="shared" si="14"/>
        <v>26891.460000000003</v>
      </c>
    </row>
    <row r="219" spans="1:8" ht="13.2" customHeight="1" x14ac:dyDescent="0.25">
      <c r="A219" s="3">
        <v>19341</v>
      </c>
      <c r="B219" s="2" t="s">
        <v>213</v>
      </c>
      <c r="C219" s="30">
        <v>1.52</v>
      </c>
      <c r="D219" s="42">
        <v>1.33</v>
      </c>
      <c r="E219" s="29">
        <f t="shared" si="15"/>
        <v>58773.323200000006</v>
      </c>
      <c r="F219" s="323">
        <f t="shared" si="12"/>
        <v>56407.960000000006</v>
      </c>
      <c r="G219" s="338">
        <f t="shared" si="13"/>
        <v>62596.450000000004</v>
      </c>
      <c r="H219" s="338">
        <f t="shared" si="14"/>
        <v>66232.67</v>
      </c>
    </row>
    <row r="220" spans="1:8" ht="13.2" customHeight="1" x14ac:dyDescent="0.25">
      <c r="A220" s="3">
        <v>19344</v>
      </c>
      <c r="B220" s="2" t="s">
        <v>214</v>
      </c>
      <c r="C220" s="30">
        <v>0.37</v>
      </c>
      <c r="D220" s="42">
        <v>0.33</v>
      </c>
      <c r="E220" s="29">
        <f t="shared" si="15"/>
        <v>14306.664200000001</v>
      </c>
      <c r="F220" s="323">
        <f t="shared" si="12"/>
        <v>13995.960000000001</v>
      </c>
      <c r="G220" s="338">
        <f t="shared" si="13"/>
        <v>15531.45</v>
      </c>
      <c r="H220" s="338">
        <f t="shared" si="14"/>
        <v>16433.670000000002</v>
      </c>
    </row>
    <row r="221" spans="1:8" ht="13.2" customHeight="1" x14ac:dyDescent="0.25">
      <c r="A221" s="3">
        <v>19345</v>
      </c>
      <c r="B221" s="2" t="s">
        <v>215</v>
      </c>
      <c r="C221" s="30">
        <v>2.87</v>
      </c>
      <c r="D221" s="42">
        <v>2.52</v>
      </c>
      <c r="E221" s="29">
        <f t="shared" si="15"/>
        <v>110973.31420000001</v>
      </c>
      <c r="F221" s="323">
        <f t="shared" si="12"/>
        <v>106878.24</v>
      </c>
      <c r="G221" s="338">
        <f t="shared" si="13"/>
        <v>118603.8</v>
      </c>
      <c r="H221" s="338">
        <f t="shared" si="14"/>
        <v>125493.48</v>
      </c>
    </row>
    <row r="222" spans="1:8" ht="13.2" customHeight="1" x14ac:dyDescent="0.25">
      <c r="A222" s="3">
        <v>19350</v>
      </c>
      <c r="B222" s="2" t="s">
        <v>216</v>
      </c>
      <c r="C222" s="30">
        <v>0.92</v>
      </c>
      <c r="D222" s="42">
        <v>0.81</v>
      </c>
      <c r="E222" s="29">
        <f t="shared" si="15"/>
        <v>35573.327200000007</v>
      </c>
      <c r="F222" s="323">
        <f t="shared" si="12"/>
        <v>34353.72</v>
      </c>
      <c r="G222" s="338">
        <f t="shared" si="13"/>
        <v>38122.65</v>
      </c>
      <c r="H222" s="338">
        <f t="shared" si="14"/>
        <v>40337.19</v>
      </c>
    </row>
    <row r="223" spans="1:8" ht="13.2" customHeight="1" x14ac:dyDescent="0.25">
      <c r="A223" s="3">
        <v>19351</v>
      </c>
      <c r="B223" s="2" t="s">
        <v>217</v>
      </c>
      <c r="C223" s="30">
        <v>1.35</v>
      </c>
      <c r="D223" s="42">
        <v>1.18</v>
      </c>
      <c r="E223" s="29">
        <f t="shared" si="15"/>
        <v>52199.991000000009</v>
      </c>
      <c r="F223" s="323">
        <f t="shared" si="12"/>
        <v>50046.159999999996</v>
      </c>
      <c r="G223" s="338">
        <f t="shared" si="13"/>
        <v>55536.7</v>
      </c>
      <c r="H223" s="338">
        <f t="shared" si="14"/>
        <v>58762.82</v>
      </c>
    </row>
    <row r="224" spans="1:8" ht="13.2" customHeight="1" x14ac:dyDescent="0.25">
      <c r="A224" s="3">
        <v>19352</v>
      </c>
      <c r="B224" s="2" t="s">
        <v>218</v>
      </c>
      <c r="C224" s="30">
        <v>1.86</v>
      </c>
      <c r="D224" s="42">
        <v>1.63</v>
      </c>
      <c r="E224" s="29">
        <f t="shared" si="15"/>
        <v>71919.987600000008</v>
      </c>
      <c r="F224" s="323">
        <f t="shared" si="12"/>
        <v>69131.56</v>
      </c>
      <c r="G224" s="338">
        <f t="shared" si="13"/>
        <v>76715.95</v>
      </c>
      <c r="H224" s="338">
        <f t="shared" si="14"/>
        <v>81172.37</v>
      </c>
    </row>
    <row r="225" spans="1:8" ht="13.2" customHeight="1" x14ac:dyDescent="0.25">
      <c r="A225" s="3">
        <v>19353</v>
      </c>
      <c r="B225" s="2" t="s">
        <v>219</v>
      </c>
      <c r="C225" s="30">
        <v>1.62</v>
      </c>
      <c r="D225" s="42">
        <v>1.42</v>
      </c>
      <c r="E225" s="29">
        <f t="shared" si="15"/>
        <v>62639.989200000011</v>
      </c>
      <c r="F225" s="323">
        <f t="shared" si="12"/>
        <v>60225.039999999994</v>
      </c>
      <c r="G225" s="338">
        <f t="shared" si="13"/>
        <v>66832.3</v>
      </c>
      <c r="H225" s="338">
        <f t="shared" si="14"/>
        <v>70714.58</v>
      </c>
    </row>
    <row r="226" spans="1:8" ht="13.2" customHeight="1" x14ac:dyDescent="0.25">
      <c r="A226" s="3">
        <v>19354</v>
      </c>
      <c r="B226" s="2" t="s">
        <v>220</v>
      </c>
      <c r="C226" s="30">
        <v>0.66</v>
      </c>
      <c r="D226" s="42">
        <v>0.57999999999999996</v>
      </c>
      <c r="E226" s="29">
        <f t="shared" si="15"/>
        <v>25519.995600000002</v>
      </c>
      <c r="F226" s="323">
        <f t="shared" si="12"/>
        <v>24598.959999999999</v>
      </c>
      <c r="G226" s="338">
        <f t="shared" si="13"/>
        <v>27297.699999999997</v>
      </c>
      <c r="H226" s="338">
        <f t="shared" si="14"/>
        <v>28883.42</v>
      </c>
    </row>
    <row r="227" spans="1:8" ht="13.2" customHeight="1" x14ac:dyDescent="0.25">
      <c r="A227" s="3">
        <v>19355</v>
      </c>
      <c r="B227" s="2" t="s">
        <v>221</v>
      </c>
      <c r="C227" s="30">
        <v>0.62</v>
      </c>
      <c r="D227" s="42">
        <v>0.54</v>
      </c>
      <c r="E227" s="29">
        <f t="shared" si="15"/>
        <v>23973.329200000004</v>
      </c>
      <c r="F227" s="323">
        <f t="shared" si="12"/>
        <v>22902.480000000003</v>
      </c>
      <c r="G227" s="338">
        <f t="shared" si="13"/>
        <v>25415.100000000002</v>
      </c>
      <c r="H227" s="338">
        <f t="shared" si="14"/>
        <v>26891.460000000003</v>
      </c>
    </row>
    <row r="228" spans="1:8" ht="13.2" customHeight="1" x14ac:dyDescent="0.25">
      <c r="A228" s="3">
        <v>19356</v>
      </c>
      <c r="B228" s="2" t="s">
        <v>222</v>
      </c>
      <c r="C228" s="30">
        <v>1.83</v>
      </c>
      <c r="D228" s="42">
        <v>1.61</v>
      </c>
      <c r="E228" s="29">
        <f t="shared" si="15"/>
        <v>70759.987800000003</v>
      </c>
      <c r="F228" s="323">
        <f t="shared" si="12"/>
        <v>68283.320000000007</v>
      </c>
      <c r="G228" s="338">
        <f t="shared" si="13"/>
        <v>75774.650000000009</v>
      </c>
      <c r="H228" s="338">
        <f t="shared" si="14"/>
        <v>80176.39</v>
      </c>
    </row>
    <row r="229" spans="1:8" ht="13.2" customHeight="1" x14ac:dyDescent="0.25">
      <c r="A229" s="3">
        <v>19357</v>
      </c>
      <c r="B229" s="2" t="s">
        <v>223</v>
      </c>
      <c r="C229" s="30">
        <v>5.64</v>
      </c>
      <c r="D229" s="42">
        <v>4.95</v>
      </c>
      <c r="E229" s="29">
        <f t="shared" si="15"/>
        <v>218079.96240000002</v>
      </c>
      <c r="F229" s="323">
        <f t="shared" si="12"/>
        <v>209939.4</v>
      </c>
      <c r="G229" s="338">
        <f t="shared" si="13"/>
        <v>232971.75</v>
      </c>
      <c r="H229" s="338">
        <f t="shared" si="14"/>
        <v>246505.05000000002</v>
      </c>
    </row>
    <row r="230" spans="1:8" ht="13.2" customHeight="1" x14ac:dyDescent="0.25">
      <c r="A230" s="3">
        <v>19358</v>
      </c>
      <c r="B230" s="2" t="s">
        <v>224</v>
      </c>
      <c r="C230" s="30">
        <v>11.27</v>
      </c>
      <c r="D230" s="42">
        <v>9.8800000000000008</v>
      </c>
      <c r="E230" s="29">
        <f t="shared" si="15"/>
        <v>435773.25820000004</v>
      </c>
      <c r="F230" s="323">
        <f t="shared" si="12"/>
        <v>419030.56000000006</v>
      </c>
      <c r="G230" s="338">
        <f t="shared" si="13"/>
        <v>465002.2</v>
      </c>
      <c r="H230" s="338">
        <f t="shared" si="14"/>
        <v>492014.12000000005</v>
      </c>
    </row>
    <row r="231" spans="1:8" ht="13.2" customHeight="1" x14ac:dyDescent="0.25">
      <c r="A231" s="3">
        <v>19359</v>
      </c>
      <c r="B231" s="2" t="s">
        <v>225</v>
      </c>
      <c r="C231" s="30">
        <v>11.27</v>
      </c>
      <c r="D231" s="42">
        <v>9.8800000000000008</v>
      </c>
      <c r="E231" s="29">
        <f t="shared" si="15"/>
        <v>435773.25820000004</v>
      </c>
      <c r="F231" s="323">
        <f t="shared" si="12"/>
        <v>419030.56000000006</v>
      </c>
      <c r="G231" s="338">
        <f t="shared" si="13"/>
        <v>465002.2</v>
      </c>
      <c r="H231" s="338">
        <f t="shared" si="14"/>
        <v>492014.12000000005</v>
      </c>
    </row>
    <row r="232" spans="1:8" ht="13.2" customHeight="1" x14ac:dyDescent="0.25">
      <c r="A232" s="3">
        <v>19360</v>
      </c>
      <c r="B232" s="2" t="s">
        <v>226</v>
      </c>
      <c r="C232" s="30">
        <v>11.27</v>
      </c>
      <c r="D232" s="42">
        <v>9.8800000000000008</v>
      </c>
      <c r="E232" s="29">
        <f t="shared" si="15"/>
        <v>435773.25820000004</v>
      </c>
      <c r="F232" s="323">
        <f t="shared" si="12"/>
        <v>419030.56000000006</v>
      </c>
      <c r="G232" s="338">
        <f t="shared" si="13"/>
        <v>465002.2</v>
      </c>
      <c r="H232" s="338">
        <f t="shared" si="14"/>
        <v>492014.12000000005</v>
      </c>
    </row>
    <row r="233" spans="1:8" ht="13.2" customHeight="1" x14ac:dyDescent="0.25">
      <c r="A233" s="3">
        <v>19361</v>
      </c>
      <c r="B233" s="2" t="s">
        <v>227</v>
      </c>
      <c r="C233" s="30">
        <v>16.91</v>
      </c>
      <c r="D233" s="42">
        <v>14.83</v>
      </c>
      <c r="E233" s="29">
        <f t="shared" si="15"/>
        <v>653853.22060000012</v>
      </c>
      <c r="F233" s="323">
        <f t="shared" si="12"/>
        <v>628969.96</v>
      </c>
      <c r="G233" s="338">
        <f t="shared" si="13"/>
        <v>697973.95</v>
      </c>
      <c r="H233" s="338">
        <f t="shared" si="14"/>
        <v>738519.17</v>
      </c>
    </row>
    <row r="234" spans="1:8" ht="13.2" customHeight="1" x14ac:dyDescent="0.25">
      <c r="A234" s="3">
        <v>19362</v>
      </c>
      <c r="B234" s="2" t="s">
        <v>228</v>
      </c>
      <c r="C234" s="30">
        <v>11.27</v>
      </c>
      <c r="D234" s="42">
        <v>9.8800000000000008</v>
      </c>
      <c r="E234" s="29">
        <f t="shared" si="15"/>
        <v>435773.25820000004</v>
      </c>
      <c r="F234" s="323">
        <f t="shared" si="12"/>
        <v>419030.56000000006</v>
      </c>
      <c r="G234" s="338">
        <f t="shared" si="13"/>
        <v>465002.2</v>
      </c>
      <c r="H234" s="338">
        <f t="shared" si="14"/>
        <v>492014.12000000005</v>
      </c>
    </row>
    <row r="235" spans="1:8" ht="13.2" customHeight="1" x14ac:dyDescent="0.25">
      <c r="A235" s="3">
        <v>19363</v>
      </c>
      <c r="B235" s="2" t="s">
        <v>229</v>
      </c>
      <c r="C235" s="30">
        <v>16.91</v>
      </c>
      <c r="D235" s="42">
        <v>14.83</v>
      </c>
      <c r="E235" s="29">
        <f t="shared" si="15"/>
        <v>653853.22060000012</v>
      </c>
      <c r="F235" s="323">
        <f t="shared" si="12"/>
        <v>628969.96</v>
      </c>
      <c r="G235" s="338">
        <f t="shared" si="13"/>
        <v>697973.95</v>
      </c>
      <c r="H235" s="338">
        <f t="shared" si="14"/>
        <v>738519.17</v>
      </c>
    </row>
    <row r="236" spans="1:8" ht="13.2" customHeight="1" x14ac:dyDescent="0.25">
      <c r="A236" s="3">
        <v>19364</v>
      </c>
      <c r="B236" s="2" t="s">
        <v>230</v>
      </c>
      <c r="C236" s="30">
        <v>0.53</v>
      </c>
      <c r="D236" s="42">
        <v>0.47</v>
      </c>
      <c r="E236" s="29">
        <f t="shared" si="15"/>
        <v>20493.329800000003</v>
      </c>
      <c r="F236" s="323">
        <f t="shared" si="12"/>
        <v>19933.64</v>
      </c>
      <c r="G236" s="338">
        <f t="shared" si="13"/>
        <v>22120.55</v>
      </c>
      <c r="H236" s="338">
        <f t="shared" si="14"/>
        <v>23405.53</v>
      </c>
    </row>
    <row r="237" spans="1:8" ht="13.2" customHeight="1" x14ac:dyDescent="0.25">
      <c r="A237" s="3">
        <v>19365</v>
      </c>
      <c r="B237" s="2" t="s">
        <v>231</v>
      </c>
      <c r="C237" s="30">
        <v>2.37</v>
      </c>
      <c r="D237" s="42">
        <v>2.08</v>
      </c>
      <c r="E237" s="29">
        <f t="shared" si="15"/>
        <v>91639.984200000006</v>
      </c>
      <c r="F237" s="323">
        <f t="shared" si="12"/>
        <v>88216.960000000006</v>
      </c>
      <c r="G237" s="338">
        <f t="shared" si="13"/>
        <v>97895.2</v>
      </c>
      <c r="H237" s="338">
        <f t="shared" si="14"/>
        <v>103581.92</v>
      </c>
    </row>
    <row r="238" spans="1:8" ht="13.2" customHeight="1" x14ac:dyDescent="0.25">
      <c r="A238" s="3">
        <v>19368</v>
      </c>
      <c r="B238" s="2" t="s">
        <v>232</v>
      </c>
      <c r="C238" s="30">
        <v>1.57</v>
      </c>
      <c r="D238" s="42">
        <v>1.38</v>
      </c>
      <c r="E238" s="29">
        <f t="shared" si="15"/>
        <v>60706.656200000005</v>
      </c>
      <c r="F238" s="323">
        <f t="shared" si="12"/>
        <v>58528.56</v>
      </c>
      <c r="G238" s="338">
        <f t="shared" si="13"/>
        <v>64949.7</v>
      </c>
      <c r="H238" s="338">
        <f t="shared" si="14"/>
        <v>68722.62</v>
      </c>
    </row>
    <row r="239" spans="1:8" ht="13.2" customHeight="1" x14ac:dyDescent="0.25">
      <c r="A239" s="3">
        <v>19369</v>
      </c>
      <c r="B239" s="2" t="s">
        <v>233</v>
      </c>
      <c r="C239" s="30">
        <v>1.81</v>
      </c>
      <c r="D239" s="42">
        <v>1.59</v>
      </c>
      <c r="E239" s="29">
        <f t="shared" si="15"/>
        <v>69986.654600000009</v>
      </c>
      <c r="F239" s="323">
        <f t="shared" si="12"/>
        <v>67435.08</v>
      </c>
      <c r="G239" s="338">
        <f t="shared" si="13"/>
        <v>74833.350000000006</v>
      </c>
      <c r="H239" s="338">
        <f t="shared" si="14"/>
        <v>79180.41</v>
      </c>
    </row>
    <row r="240" spans="1:8" ht="13.2" customHeight="1" x14ac:dyDescent="0.25">
      <c r="A240" s="3">
        <v>19370</v>
      </c>
      <c r="B240" s="2" t="s">
        <v>234</v>
      </c>
      <c r="C240" s="30">
        <v>3.15</v>
      </c>
      <c r="D240" s="42">
        <v>2.76</v>
      </c>
      <c r="E240" s="29">
        <f t="shared" si="15"/>
        <v>121799.97900000001</v>
      </c>
      <c r="F240" s="323">
        <f t="shared" si="12"/>
        <v>117057.12</v>
      </c>
      <c r="G240" s="338">
        <f t="shared" si="13"/>
        <v>129899.4</v>
      </c>
      <c r="H240" s="338">
        <f t="shared" si="14"/>
        <v>137445.24</v>
      </c>
    </row>
    <row r="241" spans="1:8" ht="13.2" customHeight="1" x14ac:dyDescent="0.25">
      <c r="A241" s="3">
        <v>19374</v>
      </c>
      <c r="B241" s="2" t="s">
        <v>235</v>
      </c>
      <c r="C241" s="30">
        <v>1.72</v>
      </c>
      <c r="D241" s="42">
        <v>1.51</v>
      </c>
      <c r="E241" s="29">
        <f t="shared" si="15"/>
        <v>66506.655200000008</v>
      </c>
      <c r="F241" s="323">
        <f t="shared" si="12"/>
        <v>64042.12</v>
      </c>
      <c r="G241" s="338">
        <f t="shared" si="13"/>
        <v>71068.149999999994</v>
      </c>
      <c r="H241" s="338">
        <f t="shared" si="14"/>
        <v>75196.490000000005</v>
      </c>
    </row>
    <row r="242" spans="1:8" ht="13.2" customHeight="1" x14ac:dyDescent="0.25">
      <c r="A242" s="3">
        <v>19375</v>
      </c>
      <c r="B242" s="2" t="s">
        <v>236</v>
      </c>
      <c r="C242" s="30">
        <v>1.72</v>
      </c>
      <c r="D242" s="42">
        <v>1.51</v>
      </c>
      <c r="E242" s="29">
        <f t="shared" si="15"/>
        <v>66506.655200000008</v>
      </c>
      <c r="F242" s="323">
        <f t="shared" si="12"/>
        <v>64042.12</v>
      </c>
      <c r="G242" s="338">
        <f t="shared" si="13"/>
        <v>71068.149999999994</v>
      </c>
      <c r="H242" s="338">
        <f t="shared" si="14"/>
        <v>75196.490000000005</v>
      </c>
    </row>
    <row r="243" spans="1:8" ht="13.2" customHeight="1" x14ac:dyDescent="0.25">
      <c r="A243" s="3">
        <v>19376</v>
      </c>
      <c r="B243" s="2" t="s">
        <v>237</v>
      </c>
      <c r="C243" s="30">
        <v>2.59</v>
      </c>
      <c r="D243" s="42">
        <v>2.27</v>
      </c>
      <c r="E243" s="29">
        <f t="shared" si="15"/>
        <v>100146.64940000001</v>
      </c>
      <c r="F243" s="323">
        <f t="shared" si="12"/>
        <v>96275.24</v>
      </c>
      <c r="G243" s="338">
        <f t="shared" si="13"/>
        <v>106837.55</v>
      </c>
      <c r="H243" s="338">
        <f t="shared" si="14"/>
        <v>113043.73</v>
      </c>
    </row>
    <row r="244" spans="1:8" ht="13.2" customHeight="1" x14ac:dyDescent="0.25">
      <c r="A244" s="3">
        <v>19380</v>
      </c>
      <c r="B244" s="2" t="s">
        <v>238</v>
      </c>
      <c r="C244" s="30">
        <v>2.74</v>
      </c>
      <c r="D244" s="42">
        <v>2.4</v>
      </c>
      <c r="E244" s="29">
        <f t="shared" si="15"/>
        <v>105946.64840000002</v>
      </c>
      <c r="F244" s="323">
        <f t="shared" si="12"/>
        <v>101788.8</v>
      </c>
      <c r="G244" s="338">
        <f t="shared" si="13"/>
        <v>112956</v>
      </c>
      <c r="H244" s="338">
        <f t="shared" si="14"/>
        <v>119517.59999999999</v>
      </c>
    </row>
    <row r="245" spans="1:8" ht="13.2" customHeight="1" x14ac:dyDescent="0.25">
      <c r="A245" s="3">
        <v>19381</v>
      </c>
      <c r="B245" s="2" t="s">
        <v>239</v>
      </c>
      <c r="C245" s="30">
        <v>1.55</v>
      </c>
      <c r="D245" s="42">
        <v>1.36</v>
      </c>
      <c r="E245" s="29">
        <f t="shared" si="15"/>
        <v>59933.323000000004</v>
      </c>
      <c r="F245" s="323">
        <f t="shared" si="12"/>
        <v>57680.320000000007</v>
      </c>
      <c r="G245" s="338">
        <f t="shared" si="13"/>
        <v>64008.4</v>
      </c>
      <c r="H245" s="338">
        <f t="shared" si="14"/>
        <v>67726.64</v>
      </c>
    </row>
    <row r="246" spans="1:8" ht="13.2" customHeight="1" x14ac:dyDescent="0.25">
      <c r="A246" s="3">
        <v>19382</v>
      </c>
      <c r="B246" s="2" t="s">
        <v>240</v>
      </c>
      <c r="C246" s="30">
        <v>2.4300000000000002</v>
      </c>
      <c r="D246" s="42">
        <v>2.13</v>
      </c>
      <c r="E246" s="29">
        <f t="shared" si="15"/>
        <v>93959.983800000016</v>
      </c>
      <c r="F246" s="323">
        <f t="shared" si="12"/>
        <v>90337.56</v>
      </c>
      <c r="G246" s="338">
        <f t="shared" si="13"/>
        <v>100248.45</v>
      </c>
      <c r="H246" s="338">
        <f t="shared" si="14"/>
        <v>106071.87</v>
      </c>
    </row>
    <row r="247" spans="1:8" ht="13.2" customHeight="1" x14ac:dyDescent="0.25">
      <c r="A247" s="3">
        <v>19386</v>
      </c>
      <c r="B247" s="2" t="s">
        <v>241</v>
      </c>
      <c r="C247" s="30">
        <v>2.71</v>
      </c>
      <c r="D247" s="42">
        <v>2.38</v>
      </c>
      <c r="E247" s="29">
        <f t="shared" si="15"/>
        <v>104786.64860000001</v>
      </c>
      <c r="F247" s="323">
        <f t="shared" si="12"/>
        <v>100940.56</v>
      </c>
      <c r="G247" s="338">
        <f t="shared" si="13"/>
        <v>112014.7</v>
      </c>
      <c r="H247" s="338">
        <f t="shared" si="14"/>
        <v>118521.62</v>
      </c>
    </row>
    <row r="248" spans="1:8" ht="13.2" customHeight="1" x14ac:dyDescent="0.25">
      <c r="A248" s="3">
        <v>19387</v>
      </c>
      <c r="B248" s="2" t="s">
        <v>242</v>
      </c>
      <c r="C248" s="30">
        <v>1.55</v>
      </c>
      <c r="D248" s="42">
        <v>1.36</v>
      </c>
      <c r="E248" s="29">
        <f t="shared" si="15"/>
        <v>59933.323000000004</v>
      </c>
      <c r="F248" s="323">
        <f t="shared" si="12"/>
        <v>57680.320000000007</v>
      </c>
      <c r="G248" s="338">
        <f t="shared" si="13"/>
        <v>64008.4</v>
      </c>
      <c r="H248" s="338">
        <f t="shared" si="14"/>
        <v>67726.64</v>
      </c>
    </row>
    <row r="249" spans="1:8" ht="13.2" customHeight="1" x14ac:dyDescent="0.25">
      <c r="A249" s="3">
        <v>19388</v>
      </c>
      <c r="B249" s="2" t="s">
        <v>243</v>
      </c>
      <c r="C249" s="30">
        <v>1.42</v>
      </c>
      <c r="D249" s="42">
        <v>1.25</v>
      </c>
      <c r="E249" s="29">
        <f t="shared" si="15"/>
        <v>54906.657200000001</v>
      </c>
      <c r="F249" s="323">
        <f t="shared" si="12"/>
        <v>53015</v>
      </c>
      <c r="G249" s="338">
        <f t="shared" si="13"/>
        <v>58831.25</v>
      </c>
      <c r="H249" s="338">
        <f t="shared" si="14"/>
        <v>62248.75</v>
      </c>
    </row>
    <row r="250" spans="1:8" ht="13.2" customHeight="1" x14ac:dyDescent="0.25">
      <c r="A250" s="3">
        <v>19389</v>
      </c>
      <c r="B250" s="2" t="s">
        <v>244</v>
      </c>
      <c r="C250" s="30">
        <v>6.76</v>
      </c>
      <c r="D250" s="42">
        <v>5.93</v>
      </c>
      <c r="E250" s="29">
        <f t="shared" si="15"/>
        <v>261386.62160000001</v>
      </c>
      <c r="F250" s="323">
        <f t="shared" si="12"/>
        <v>251503.15999999997</v>
      </c>
      <c r="G250" s="338">
        <f t="shared" si="13"/>
        <v>279095.45</v>
      </c>
      <c r="H250" s="338">
        <f t="shared" si="14"/>
        <v>295308.07</v>
      </c>
    </row>
    <row r="251" spans="1:8" ht="13.2" customHeight="1" x14ac:dyDescent="0.25">
      <c r="A251" s="3">
        <v>19393</v>
      </c>
      <c r="B251" s="2" t="s">
        <v>245</v>
      </c>
      <c r="C251" s="30">
        <v>1.47</v>
      </c>
      <c r="D251" s="42">
        <v>1.29</v>
      </c>
      <c r="E251" s="29">
        <f t="shared" si="15"/>
        <v>56839.990200000007</v>
      </c>
      <c r="F251" s="323">
        <f t="shared" si="12"/>
        <v>54711.48</v>
      </c>
      <c r="G251" s="338">
        <f t="shared" si="13"/>
        <v>60713.85</v>
      </c>
      <c r="H251" s="338">
        <f t="shared" si="14"/>
        <v>64240.71</v>
      </c>
    </row>
    <row r="252" spans="1:8" ht="13.2" customHeight="1" x14ac:dyDescent="0.25">
      <c r="A252" s="3">
        <v>19394</v>
      </c>
      <c r="B252" s="2" t="s">
        <v>246</v>
      </c>
      <c r="C252" s="30">
        <v>0.87</v>
      </c>
      <c r="D252" s="42">
        <v>0.76</v>
      </c>
      <c r="E252" s="29">
        <f t="shared" si="15"/>
        <v>33639.994200000001</v>
      </c>
      <c r="F252" s="323">
        <f t="shared" si="12"/>
        <v>32233.119999999999</v>
      </c>
      <c r="G252" s="338">
        <f t="shared" si="13"/>
        <v>35769.4</v>
      </c>
      <c r="H252" s="338">
        <f t="shared" si="14"/>
        <v>37847.24</v>
      </c>
    </row>
    <row r="253" spans="1:8" ht="13.2" customHeight="1" x14ac:dyDescent="0.25">
      <c r="A253" s="3">
        <v>19395</v>
      </c>
      <c r="B253" s="2" t="s">
        <v>247</v>
      </c>
      <c r="C253" s="30">
        <v>0.55000000000000004</v>
      </c>
      <c r="D253" s="42">
        <v>0.48</v>
      </c>
      <c r="E253" s="29">
        <f t="shared" si="15"/>
        <v>21266.663000000004</v>
      </c>
      <c r="F253" s="323">
        <f t="shared" si="12"/>
        <v>20357.759999999998</v>
      </c>
      <c r="G253" s="338">
        <f t="shared" si="13"/>
        <v>22591.200000000001</v>
      </c>
      <c r="H253" s="338">
        <f t="shared" si="14"/>
        <v>23903.52</v>
      </c>
    </row>
    <row r="254" spans="1:8" ht="13.2" customHeight="1" x14ac:dyDescent="0.25">
      <c r="A254" s="3">
        <v>19399</v>
      </c>
      <c r="B254" s="2" t="s">
        <v>248</v>
      </c>
      <c r="C254" s="30">
        <v>0.79</v>
      </c>
      <c r="D254" s="42">
        <v>0.69</v>
      </c>
      <c r="E254" s="29">
        <f t="shared" si="15"/>
        <v>30546.661400000005</v>
      </c>
      <c r="F254" s="323">
        <f t="shared" si="12"/>
        <v>29264.28</v>
      </c>
      <c r="G254" s="338">
        <f t="shared" si="13"/>
        <v>32474.85</v>
      </c>
      <c r="H254" s="338">
        <f t="shared" si="14"/>
        <v>34361.31</v>
      </c>
    </row>
    <row r="255" spans="1:8" ht="13.2" customHeight="1" x14ac:dyDescent="0.25">
      <c r="A255" s="3">
        <v>19400</v>
      </c>
      <c r="B255" s="2" t="s">
        <v>249</v>
      </c>
      <c r="C255" s="30">
        <v>0.89</v>
      </c>
      <c r="D255" s="42">
        <v>0.78</v>
      </c>
      <c r="E255" s="29">
        <f t="shared" si="15"/>
        <v>34413.327400000002</v>
      </c>
      <c r="F255" s="323">
        <f t="shared" si="12"/>
        <v>33081.360000000001</v>
      </c>
      <c r="G255" s="338">
        <f t="shared" si="13"/>
        <v>36710.700000000004</v>
      </c>
      <c r="H255" s="338">
        <f t="shared" si="14"/>
        <v>38843.22</v>
      </c>
    </row>
    <row r="256" spans="1:8" ht="13.2" customHeight="1" x14ac:dyDescent="0.25">
      <c r="A256" s="3">
        <v>19401</v>
      </c>
      <c r="B256" s="2" t="s">
        <v>250</v>
      </c>
      <c r="C256" s="30">
        <v>0.95</v>
      </c>
      <c r="D256" s="42">
        <v>0.83</v>
      </c>
      <c r="E256" s="29">
        <f t="shared" si="15"/>
        <v>36733.327000000005</v>
      </c>
      <c r="F256" s="323">
        <f t="shared" si="12"/>
        <v>35201.96</v>
      </c>
      <c r="G256" s="338">
        <f t="shared" si="13"/>
        <v>39063.949999999997</v>
      </c>
      <c r="H256" s="338">
        <f t="shared" si="14"/>
        <v>41333.17</v>
      </c>
    </row>
    <row r="257" spans="1:8" ht="13.2" customHeight="1" x14ac:dyDescent="0.25">
      <c r="A257" s="3">
        <v>19405</v>
      </c>
      <c r="B257" s="2" t="s">
        <v>251</v>
      </c>
      <c r="C257" s="30">
        <v>0.95</v>
      </c>
      <c r="D257" s="42">
        <v>0.83</v>
      </c>
      <c r="E257" s="29">
        <f t="shared" si="15"/>
        <v>36733.327000000005</v>
      </c>
      <c r="F257" s="323">
        <f t="shared" si="12"/>
        <v>35201.96</v>
      </c>
      <c r="G257" s="338">
        <f t="shared" si="13"/>
        <v>39063.949999999997</v>
      </c>
      <c r="H257" s="338">
        <f t="shared" si="14"/>
        <v>41333.17</v>
      </c>
    </row>
    <row r="258" spans="1:8" ht="13.2" customHeight="1" x14ac:dyDescent="0.25">
      <c r="A258" s="3">
        <v>19406</v>
      </c>
      <c r="B258" s="2" t="s">
        <v>252</v>
      </c>
      <c r="C258" s="30">
        <v>0.95</v>
      </c>
      <c r="D258" s="42">
        <v>0.83</v>
      </c>
      <c r="E258" s="29">
        <f t="shared" si="15"/>
        <v>36733.327000000005</v>
      </c>
      <c r="F258" s="323">
        <f t="shared" si="12"/>
        <v>35201.96</v>
      </c>
      <c r="G258" s="338">
        <f t="shared" si="13"/>
        <v>39063.949999999997</v>
      </c>
      <c r="H258" s="338">
        <f t="shared" si="14"/>
        <v>41333.17</v>
      </c>
    </row>
    <row r="259" spans="1:8" ht="13.2" customHeight="1" x14ac:dyDescent="0.25">
      <c r="A259" s="3">
        <v>19407</v>
      </c>
      <c r="B259" s="2" t="s">
        <v>253</v>
      </c>
      <c r="C259" s="30">
        <v>0.95</v>
      </c>
      <c r="D259" s="42">
        <v>0.83</v>
      </c>
      <c r="E259" s="29">
        <f t="shared" si="15"/>
        <v>36733.327000000005</v>
      </c>
      <c r="F259" s="323">
        <f t="shared" si="12"/>
        <v>35201.96</v>
      </c>
      <c r="G259" s="338">
        <f t="shared" si="13"/>
        <v>39063.949999999997</v>
      </c>
      <c r="H259" s="338">
        <f t="shared" si="14"/>
        <v>41333.17</v>
      </c>
    </row>
    <row r="260" spans="1:8" ht="13.2" customHeight="1" x14ac:dyDescent="0.25">
      <c r="A260" s="3">
        <v>19411</v>
      </c>
      <c r="B260" s="2" t="s">
        <v>254</v>
      </c>
      <c r="C260" s="30">
        <v>0.95</v>
      </c>
      <c r="D260" s="42">
        <v>0.83</v>
      </c>
      <c r="E260" s="29">
        <f t="shared" si="15"/>
        <v>36733.327000000005</v>
      </c>
      <c r="F260" s="323">
        <f t="shared" si="12"/>
        <v>35201.96</v>
      </c>
      <c r="G260" s="338">
        <f t="shared" si="13"/>
        <v>39063.949999999997</v>
      </c>
      <c r="H260" s="338">
        <f t="shared" si="14"/>
        <v>41333.17</v>
      </c>
    </row>
    <row r="261" spans="1:8" ht="13.2" customHeight="1" x14ac:dyDescent="0.25">
      <c r="A261" s="3">
        <v>19412</v>
      </c>
      <c r="B261" s="2" t="s">
        <v>255</v>
      </c>
      <c r="C261" s="30">
        <v>0.95</v>
      </c>
      <c r="D261" s="42">
        <v>0.83</v>
      </c>
      <c r="E261" s="29">
        <f t="shared" si="15"/>
        <v>36733.327000000005</v>
      </c>
      <c r="F261" s="323">
        <f t="shared" si="12"/>
        <v>35201.96</v>
      </c>
      <c r="G261" s="338">
        <f t="shared" si="13"/>
        <v>39063.949999999997</v>
      </c>
      <c r="H261" s="338">
        <f t="shared" si="14"/>
        <v>41333.17</v>
      </c>
    </row>
    <row r="262" spans="1:8" ht="13.2" customHeight="1" x14ac:dyDescent="0.25">
      <c r="A262" s="3">
        <v>19413</v>
      </c>
      <c r="B262" s="2" t="s">
        <v>256</v>
      </c>
      <c r="C262" s="30">
        <v>0.95</v>
      </c>
      <c r="D262" s="42">
        <v>0.83</v>
      </c>
      <c r="E262" s="29">
        <f t="shared" si="15"/>
        <v>36733.327000000005</v>
      </c>
      <c r="F262" s="323">
        <f t="shared" ref="F262:F325" si="16">+$D262*$F$2</f>
        <v>35201.96</v>
      </c>
      <c r="G262" s="338">
        <f t="shared" ref="G262:G325" si="17">+$D262*$G$2</f>
        <v>39063.949999999997</v>
      </c>
      <c r="H262" s="338">
        <f t="shared" ref="H262:H325" si="18">+$D262*$H$2</f>
        <v>41333.17</v>
      </c>
    </row>
    <row r="263" spans="1:8" ht="13.2" customHeight="1" x14ac:dyDescent="0.25">
      <c r="A263" s="3">
        <v>19417</v>
      </c>
      <c r="B263" s="2" t="s">
        <v>257</v>
      </c>
      <c r="C263" s="30">
        <v>0.95</v>
      </c>
      <c r="D263" s="42">
        <v>0.83</v>
      </c>
      <c r="E263" s="29">
        <f t="shared" ref="E263:E326" si="19">+$C263*$E$2</f>
        <v>36733.327000000005</v>
      </c>
      <c r="F263" s="323">
        <f t="shared" si="16"/>
        <v>35201.96</v>
      </c>
      <c r="G263" s="338">
        <f t="shared" si="17"/>
        <v>39063.949999999997</v>
      </c>
      <c r="H263" s="338">
        <f t="shared" si="18"/>
        <v>41333.17</v>
      </c>
    </row>
    <row r="264" spans="1:8" ht="13.2" customHeight="1" x14ac:dyDescent="0.25">
      <c r="A264" s="3">
        <v>19418</v>
      </c>
      <c r="B264" s="2" t="s">
        <v>258</v>
      </c>
      <c r="C264" s="30">
        <v>0.95</v>
      </c>
      <c r="D264" s="42">
        <v>0.83</v>
      </c>
      <c r="E264" s="29">
        <f t="shared" si="19"/>
        <v>36733.327000000005</v>
      </c>
      <c r="F264" s="323">
        <f t="shared" si="16"/>
        <v>35201.96</v>
      </c>
      <c r="G264" s="338">
        <f t="shared" si="17"/>
        <v>39063.949999999997</v>
      </c>
      <c r="H264" s="338">
        <f t="shared" si="18"/>
        <v>41333.17</v>
      </c>
    </row>
    <row r="265" spans="1:8" ht="13.2" customHeight="1" x14ac:dyDescent="0.25">
      <c r="A265" s="3">
        <v>19419</v>
      </c>
      <c r="B265" s="2" t="s">
        <v>259</v>
      </c>
      <c r="C265" s="30">
        <v>0.28000000000000003</v>
      </c>
      <c r="D265" s="42">
        <v>0.25</v>
      </c>
      <c r="E265" s="29">
        <f t="shared" si="19"/>
        <v>10826.664800000002</v>
      </c>
      <c r="F265" s="323">
        <f t="shared" si="16"/>
        <v>10603</v>
      </c>
      <c r="G265" s="338">
        <f t="shared" si="17"/>
        <v>11766.25</v>
      </c>
      <c r="H265" s="338">
        <f t="shared" si="18"/>
        <v>12449.75</v>
      </c>
    </row>
    <row r="266" spans="1:8" ht="13.2" customHeight="1" x14ac:dyDescent="0.25">
      <c r="A266" s="3">
        <v>19423</v>
      </c>
      <c r="B266" s="2" t="s">
        <v>260</v>
      </c>
      <c r="C266" s="30">
        <v>0.68</v>
      </c>
      <c r="D266" s="42">
        <v>0.6</v>
      </c>
      <c r="E266" s="29">
        <f t="shared" si="19"/>
        <v>26293.328800000003</v>
      </c>
      <c r="F266" s="323">
        <f t="shared" si="16"/>
        <v>25447.200000000001</v>
      </c>
      <c r="G266" s="338">
        <f t="shared" si="17"/>
        <v>28239</v>
      </c>
      <c r="H266" s="338">
        <f t="shared" si="18"/>
        <v>29879.399999999998</v>
      </c>
    </row>
    <row r="267" spans="1:8" ht="13.2" customHeight="1" x14ac:dyDescent="0.25">
      <c r="A267" s="3">
        <v>19424</v>
      </c>
      <c r="B267" s="2" t="s">
        <v>261</v>
      </c>
      <c r="C267" s="30">
        <v>1.1299999999999999</v>
      </c>
      <c r="D267" s="42">
        <v>0.99</v>
      </c>
      <c r="E267" s="29">
        <f t="shared" si="19"/>
        <v>43693.325799999999</v>
      </c>
      <c r="F267" s="323">
        <f t="shared" si="16"/>
        <v>41987.88</v>
      </c>
      <c r="G267" s="338">
        <f t="shared" si="17"/>
        <v>46594.35</v>
      </c>
      <c r="H267" s="338">
        <f t="shared" si="18"/>
        <v>49301.01</v>
      </c>
    </row>
    <row r="268" spans="1:8" ht="13.2" customHeight="1" x14ac:dyDescent="0.25">
      <c r="A268" s="3">
        <v>19425</v>
      </c>
      <c r="B268" s="2" t="s">
        <v>262</v>
      </c>
      <c r="C268" s="30">
        <v>0.79</v>
      </c>
      <c r="D268" s="42">
        <v>0.69</v>
      </c>
      <c r="E268" s="29">
        <f t="shared" si="19"/>
        <v>30546.661400000005</v>
      </c>
      <c r="F268" s="323">
        <f t="shared" si="16"/>
        <v>29264.28</v>
      </c>
      <c r="G268" s="338">
        <f t="shared" si="17"/>
        <v>32474.85</v>
      </c>
      <c r="H268" s="338">
        <f t="shared" si="18"/>
        <v>34361.31</v>
      </c>
    </row>
    <row r="269" spans="1:8" ht="13.2" customHeight="1" x14ac:dyDescent="0.25">
      <c r="A269" s="3">
        <v>19426</v>
      </c>
      <c r="B269" s="2" t="s">
        <v>263</v>
      </c>
      <c r="C269" s="30">
        <v>4.0599999999999996</v>
      </c>
      <c r="D269" s="42">
        <v>3.56</v>
      </c>
      <c r="E269" s="29">
        <f t="shared" si="19"/>
        <v>156986.63959999999</v>
      </c>
      <c r="F269" s="323">
        <f t="shared" si="16"/>
        <v>150986.72</v>
      </c>
      <c r="G269" s="338">
        <f t="shared" si="17"/>
        <v>167551.4</v>
      </c>
      <c r="H269" s="338">
        <f t="shared" si="18"/>
        <v>177284.44</v>
      </c>
    </row>
    <row r="270" spans="1:8" ht="13.2" customHeight="1" x14ac:dyDescent="0.25">
      <c r="A270" s="3">
        <v>19429</v>
      </c>
      <c r="B270" s="2" t="s">
        <v>264</v>
      </c>
      <c r="C270" s="30">
        <v>0.53</v>
      </c>
      <c r="D270" s="42">
        <v>0.47</v>
      </c>
      <c r="E270" s="29">
        <f t="shared" si="19"/>
        <v>20493.329800000003</v>
      </c>
      <c r="F270" s="323">
        <f t="shared" si="16"/>
        <v>19933.64</v>
      </c>
      <c r="G270" s="338">
        <f t="shared" si="17"/>
        <v>22120.55</v>
      </c>
      <c r="H270" s="338">
        <f t="shared" si="18"/>
        <v>23405.53</v>
      </c>
    </row>
    <row r="271" spans="1:8" ht="13.2" customHeight="1" x14ac:dyDescent="0.25">
      <c r="A271" s="3">
        <v>19430</v>
      </c>
      <c r="B271" s="2" t="s">
        <v>265</v>
      </c>
      <c r="C271" s="30">
        <v>3.27</v>
      </c>
      <c r="D271" s="42">
        <v>2.87</v>
      </c>
      <c r="E271" s="29">
        <f t="shared" si="19"/>
        <v>126439.97820000001</v>
      </c>
      <c r="F271" s="323">
        <f t="shared" si="16"/>
        <v>121722.44</v>
      </c>
      <c r="G271" s="338">
        <f t="shared" si="17"/>
        <v>135076.55000000002</v>
      </c>
      <c r="H271" s="338">
        <f t="shared" si="18"/>
        <v>142923.13</v>
      </c>
    </row>
    <row r="272" spans="1:8" ht="13.2" customHeight="1" x14ac:dyDescent="0.25">
      <c r="A272" s="3">
        <v>19431</v>
      </c>
      <c r="B272" s="2" t="s">
        <v>266</v>
      </c>
      <c r="C272" s="30">
        <v>3.27</v>
      </c>
      <c r="D272" s="42">
        <v>2.87</v>
      </c>
      <c r="E272" s="29">
        <f t="shared" si="19"/>
        <v>126439.97820000001</v>
      </c>
      <c r="F272" s="323">
        <f t="shared" si="16"/>
        <v>121722.44</v>
      </c>
      <c r="G272" s="338">
        <f t="shared" si="17"/>
        <v>135076.55000000002</v>
      </c>
      <c r="H272" s="338">
        <f t="shared" si="18"/>
        <v>142923.13</v>
      </c>
    </row>
    <row r="273" spans="1:8" ht="13.2" customHeight="1" x14ac:dyDescent="0.25">
      <c r="A273" s="3">
        <v>19435</v>
      </c>
      <c r="B273" s="2" t="s">
        <v>267</v>
      </c>
      <c r="C273" s="30">
        <v>1.42</v>
      </c>
      <c r="D273" s="42">
        <v>1.25</v>
      </c>
      <c r="E273" s="29">
        <f t="shared" si="19"/>
        <v>54906.657200000001</v>
      </c>
      <c r="F273" s="323">
        <f t="shared" si="16"/>
        <v>53015</v>
      </c>
      <c r="G273" s="338">
        <f t="shared" si="17"/>
        <v>58831.25</v>
      </c>
      <c r="H273" s="338">
        <f t="shared" si="18"/>
        <v>62248.75</v>
      </c>
    </row>
    <row r="274" spans="1:8" ht="13.2" customHeight="1" x14ac:dyDescent="0.25">
      <c r="A274" s="3">
        <v>19436</v>
      </c>
      <c r="B274" s="2" t="s">
        <v>268</v>
      </c>
      <c r="C274" s="30">
        <v>1.91</v>
      </c>
      <c r="D274" s="42">
        <v>1.68</v>
      </c>
      <c r="E274" s="29">
        <f t="shared" si="19"/>
        <v>73853.320600000006</v>
      </c>
      <c r="F274" s="323">
        <f t="shared" si="16"/>
        <v>71252.160000000003</v>
      </c>
      <c r="G274" s="338">
        <f t="shared" si="17"/>
        <v>79069.2</v>
      </c>
      <c r="H274" s="338">
        <f t="shared" si="18"/>
        <v>83662.319999999992</v>
      </c>
    </row>
    <row r="275" spans="1:8" ht="13.2" customHeight="1" x14ac:dyDescent="0.25">
      <c r="A275" s="3">
        <v>19437</v>
      </c>
      <c r="B275" s="2" t="s">
        <v>269</v>
      </c>
      <c r="C275" s="30">
        <v>0.44</v>
      </c>
      <c r="D275" s="42">
        <v>0.39</v>
      </c>
      <c r="E275" s="29">
        <f t="shared" si="19"/>
        <v>17013.330400000003</v>
      </c>
      <c r="F275" s="323">
        <f t="shared" si="16"/>
        <v>16540.68</v>
      </c>
      <c r="G275" s="338">
        <f t="shared" si="17"/>
        <v>18355.350000000002</v>
      </c>
      <c r="H275" s="338">
        <f t="shared" si="18"/>
        <v>19421.61</v>
      </c>
    </row>
    <row r="276" spans="1:8" ht="13.2" customHeight="1" x14ac:dyDescent="0.25">
      <c r="A276" s="3">
        <v>19441</v>
      </c>
      <c r="B276" s="2" t="s">
        <v>270</v>
      </c>
      <c r="C276" s="30">
        <v>0.76</v>
      </c>
      <c r="D276" s="42">
        <v>0.67</v>
      </c>
      <c r="E276" s="29">
        <f t="shared" si="19"/>
        <v>29386.661600000003</v>
      </c>
      <c r="F276" s="323">
        <f t="shared" si="16"/>
        <v>28416.04</v>
      </c>
      <c r="G276" s="338">
        <f t="shared" si="17"/>
        <v>31533.550000000003</v>
      </c>
      <c r="H276" s="338">
        <f t="shared" si="18"/>
        <v>33365.33</v>
      </c>
    </row>
    <row r="277" spans="1:8" ht="13.2" customHeight="1" x14ac:dyDescent="0.25">
      <c r="A277" s="3">
        <v>19442</v>
      </c>
      <c r="B277" s="2" t="s">
        <v>271</v>
      </c>
      <c r="C277" s="30">
        <v>1.18</v>
      </c>
      <c r="D277" s="42">
        <v>1.03</v>
      </c>
      <c r="E277" s="29">
        <f t="shared" si="19"/>
        <v>45626.658800000005</v>
      </c>
      <c r="F277" s="323">
        <f t="shared" si="16"/>
        <v>43684.36</v>
      </c>
      <c r="G277" s="338">
        <f t="shared" si="17"/>
        <v>48476.950000000004</v>
      </c>
      <c r="H277" s="338">
        <f t="shared" si="18"/>
        <v>51292.97</v>
      </c>
    </row>
    <row r="278" spans="1:8" ht="13.2" customHeight="1" x14ac:dyDescent="0.25">
      <c r="A278" s="3">
        <v>19443</v>
      </c>
      <c r="B278" s="2" t="s">
        <v>272</v>
      </c>
      <c r="C278" s="30">
        <v>0.41</v>
      </c>
      <c r="D278" s="42">
        <v>0.36</v>
      </c>
      <c r="E278" s="29">
        <f t="shared" si="19"/>
        <v>15853.330600000001</v>
      </c>
      <c r="F278" s="323">
        <f t="shared" si="16"/>
        <v>15268.32</v>
      </c>
      <c r="G278" s="338">
        <f t="shared" si="17"/>
        <v>16943.399999999998</v>
      </c>
      <c r="H278" s="338">
        <f t="shared" si="18"/>
        <v>17927.64</v>
      </c>
    </row>
    <row r="279" spans="1:8" ht="13.2" customHeight="1" x14ac:dyDescent="0.25">
      <c r="A279" s="3">
        <v>19444</v>
      </c>
      <c r="B279" s="2" t="s">
        <v>273</v>
      </c>
      <c r="C279" s="30">
        <v>22.53</v>
      </c>
      <c r="D279" s="42">
        <v>19.760000000000002</v>
      </c>
      <c r="E279" s="29">
        <f t="shared" si="19"/>
        <v>871159.84980000008</v>
      </c>
      <c r="F279" s="323">
        <f t="shared" si="16"/>
        <v>838061.12000000011</v>
      </c>
      <c r="G279" s="338">
        <f t="shared" si="17"/>
        <v>930004.4</v>
      </c>
      <c r="H279" s="338">
        <f t="shared" si="18"/>
        <v>984028.24000000011</v>
      </c>
    </row>
    <row r="280" spans="1:8" ht="13.2" customHeight="1" x14ac:dyDescent="0.25">
      <c r="A280" s="3">
        <v>19445</v>
      </c>
      <c r="B280" s="2" t="s">
        <v>274</v>
      </c>
      <c r="C280" s="30">
        <v>28.17</v>
      </c>
      <c r="D280" s="42">
        <v>24.71</v>
      </c>
      <c r="E280" s="29">
        <f t="shared" si="19"/>
        <v>1089239.8122000003</v>
      </c>
      <c r="F280" s="323">
        <f t="shared" si="16"/>
        <v>1048000.52</v>
      </c>
      <c r="G280" s="338">
        <f t="shared" si="17"/>
        <v>1162976.1500000001</v>
      </c>
      <c r="H280" s="338">
        <f t="shared" si="18"/>
        <v>1230533.29</v>
      </c>
    </row>
    <row r="281" spans="1:8" ht="13.2" customHeight="1" x14ac:dyDescent="0.25">
      <c r="A281" s="3">
        <v>19446</v>
      </c>
      <c r="B281" s="2" t="s">
        <v>275</v>
      </c>
      <c r="C281" s="30">
        <v>2.71</v>
      </c>
      <c r="D281" s="42">
        <v>2.38</v>
      </c>
      <c r="E281" s="29">
        <f t="shared" si="19"/>
        <v>104786.64860000001</v>
      </c>
      <c r="F281" s="323">
        <f t="shared" si="16"/>
        <v>100940.56</v>
      </c>
      <c r="G281" s="338">
        <f t="shared" si="17"/>
        <v>112014.7</v>
      </c>
      <c r="H281" s="338">
        <f t="shared" si="18"/>
        <v>118521.62</v>
      </c>
    </row>
    <row r="282" spans="1:8" ht="13.2" customHeight="1" x14ac:dyDescent="0.25">
      <c r="A282" s="3">
        <v>19447</v>
      </c>
      <c r="B282" s="2" t="s">
        <v>276</v>
      </c>
      <c r="C282" s="30">
        <v>3.05</v>
      </c>
      <c r="D282" s="42">
        <v>2.68</v>
      </c>
      <c r="E282" s="29">
        <f t="shared" si="19"/>
        <v>117933.31300000001</v>
      </c>
      <c r="F282" s="323">
        <f t="shared" si="16"/>
        <v>113664.16</v>
      </c>
      <c r="G282" s="338">
        <f t="shared" si="17"/>
        <v>126134.20000000001</v>
      </c>
      <c r="H282" s="338">
        <f t="shared" si="18"/>
        <v>133461.32</v>
      </c>
    </row>
    <row r="283" spans="1:8" ht="13.2" customHeight="1" x14ac:dyDescent="0.25">
      <c r="A283" s="3">
        <v>19448</v>
      </c>
      <c r="B283" s="2" t="s">
        <v>277</v>
      </c>
      <c r="C283" s="30">
        <v>0.71</v>
      </c>
      <c r="D283" s="42">
        <v>0.62</v>
      </c>
      <c r="E283" s="29">
        <f t="shared" si="19"/>
        <v>27453.328600000001</v>
      </c>
      <c r="F283" s="323">
        <f t="shared" si="16"/>
        <v>26295.439999999999</v>
      </c>
      <c r="G283" s="338">
        <f t="shared" si="17"/>
        <v>29180.3</v>
      </c>
      <c r="H283" s="338">
        <f t="shared" si="18"/>
        <v>30875.38</v>
      </c>
    </row>
    <row r="284" spans="1:8" ht="13.2" customHeight="1" x14ac:dyDescent="0.25">
      <c r="A284" s="3">
        <v>19449</v>
      </c>
      <c r="B284" s="2" t="s">
        <v>278</v>
      </c>
      <c r="C284" s="30">
        <v>1.52</v>
      </c>
      <c r="D284" s="42">
        <v>1.33</v>
      </c>
      <c r="E284" s="29">
        <f t="shared" si="19"/>
        <v>58773.323200000006</v>
      </c>
      <c r="F284" s="323">
        <f t="shared" si="16"/>
        <v>56407.960000000006</v>
      </c>
      <c r="G284" s="338">
        <f t="shared" si="17"/>
        <v>62596.450000000004</v>
      </c>
      <c r="H284" s="338">
        <f t="shared" si="18"/>
        <v>66232.67</v>
      </c>
    </row>
    <row r="285" spans="1:8" ht="13.2" customHeight="1" x14ac:dyDescent="0.25">
      <c r="A285" s="3">
        <v>19453</v>
      </c>
      <c r="B285" s="2" t="s">
        <v>279</v>
      </c>
      <c r="C285" s="30">
        <v>1.86</v>
      </c>
      <c r="D285" s="42">
        <v>1.63</v>
      </c>
      <c r="E285" s="29">
        <f t="shared" si="19"/>
        <v>71919.987600000008</v>
      </c>
      <c r="F285" s="323">
        <f t="shared" si="16"/>
        <v>69131.56</v>
      </c>
      <c r="G285" s="338">
        <f t="shared" si="17"/>
        <v>76715.95</v>
      </c>
      <c r="H285" s="338">
        <f t="shared" si="18"/>
        <v>81172.37</v>
      </c>
    </row>
    <row r="286" spans="1:8" ht="13.2" customHeight="1" x14ac:dyDescent="0.25">
      <c r="A286" s="3">
        <v>19454</v>
      </c>
      <c r="B286" s="2" t="s">
        <v>280</v>
      </c>
      <c r="C286" s="30">
        <v>0.61</v>
      </c>
      <c r="D286" s="42">
        <v>0.54</v>
      </c>
      <c r="E286" s="29">
        <f t="shared" si="19"/>
        <v>23586.662600000003</v>
      </c>
      <c r="F286" s="323">
        <f t="shared" si="16"/>
        <v>22902.480000000003</v>
      </c>
      <c r="G286" s="338">
        <f t="shared" si="17"/>
        <v>25415.100000000002</v>
      </c>
      <c r="H286" s="338">
        <f t="shared" si="18"/>
        <v>26891.460000000003</v>
      </c>
    </row>
    <row r="287" spans="1:8" ht="13.2" customHeight="1" x14ac:dyDescent="0.25">
      <c r="A287" s="3">
        <v>19455</v>
      </c>
      <c r="B287" s="2" t="s">
        <v>281</v>
      </c>
      <c r="C287" s="30">
        <v>1.52</v>
      </c>
      <c r="D287" s="42">
        <v>1.33</v>
      </c>
      <c r="E287" s="29">
        <f t="shared" si="19"/>
        <v>58773.323200000006</v>
      </c>
      <c r="F287" s="323">
        <f t="shared" si="16"/>
        <v>56407.960000000006</v>
      </c>
      <c r="G287" s="338">
        <f t="shared" si="17"/>
        <v>62596.450000000004</v>
      </c>
      <c r="H287" s="338">
        <f t="shared" si="18"/>
        <v>66232.67</v>
      </c>
    </row>
    <row r="288" spans="1:8" ht="13.2" customHeight="1" x14ac:dyDescent="0.25">
      <c r="A288" s="3">
        <v>19459</v>
      </c>
      <c r="B288" s="2" t="s">
        <v>282</v>
      </c>
      <c r="C288" s="30">
        <v>0.92</v>
      </c>
      <c r="D288" s="42">
        <v>0.81</v>
      </c>
      <c r="E288" s="29">
        <f t="shared" si="19"/>
        <v>35573.327200000007</v>
      </c>
      <c r="F288" s="323">
        <f t="shared" si="16"/>
        <v>34353.72</v>
      </c>
      <c r="G288" s="338">
        <f t="shared" si="17"/>
        <v>38122.65</v>
      </c>
      <c r="H288" s="338">
        <f t="shared" si="18"/>
        <v>40337.19</v>
      </c>
    </row>
    <row r="289" spans="1:8" ht="13.2" customHeight="1" x14ac:dyDescent="0.25">
      <c r="A289" s="3">
        <v>19460</v>
      </c>
      <c r="B289" s="2" t="s">
        <v>283</v>
      </c>
      <c r="C289" s="30">
        <v>2.0299999999999998</v>
      </c>
      <c r="D289" s="42">
        <v>1.78</v>
      </c>
      <c r="E289" s="29">
        <f t="shared" si="19"/>
        <v>78493.319799999997</v>
      </c>
      <c r="F289" s="323">
        <f t="shared" si="16"/>
        <v>75493.36</v>
      </c>
      <c r="G289" s="338">
        <f t="shared" si="17"/>
        <v>83775.7</v>
      </c>
      <c r="H289" s="338">
        <f t="shared" si="18"/>
        <v>88642.22</v>
      </c>
    </row>
    <row r="290" spans="1:8" ht="13.2" customHeight="1" x14ac:dyDescent="0.25">
      <c r="A290" s="3">
        <v>19461</v>
      </c>
      <c r="B290" s="2" t="s">
        <v>284</v>
      </c>
      <c r="C290" s="30">
        <v>2.0299999999999998</v>
      </c>
      <c r="D290" s="42">
        <v>1.78</v>
      </c>
      <c r="E290" s="29">
        <f t="shared" si="19"/>
        <v>78493.319799999997</v>
      </c>
      <c r="F290" s="323">
        <f t="shared" si="16"/>
        <v>75493.36</v>
      </c>
      <c r="G290" s="338">
        <f t="shared" si="17"/>
        <v>83775.7</v>
      </c>
      <c r="H290" s="338">
        <f t="shared" si="18"/>
        <v>88642.22</v>
      </c>
    </row>
    <row r="291" spans="1:8" ht="13.2" customHeight="1" x14ac:dyDescent="0.25">
      <c r="A291" s="3">
        <v>19462</v>
      </c>
      <c r="B291" s="2" t="s">
        <v>285</v>
      </c>
      <c r="C291" s="30">
        <v>3.72</v>
      </c>
      <c r="D291" s="42">
        <v>3.26</v>
      </c>
      <c r="E291" s="29">
        <f t="shared" si="19"/>
        <v>143839.97520000002</v>
      </c>
      <c r="F291" s="323">
        <f t="shared" si="16"/>
        <v>138263.12</v>
      </c>
      <c r="G291" s="338">
        <f t="shared" si="17"/>
        <v>153431.9</v>
      </c>
      <c r="H291" s="338">
        <f t="shared" si="18"/>
        <v>162344.74</v>
      </c>
    </row>
    <row r="292" spans="1:8" ht="13.2" customHeight="1" x14ac:dyDescent="0.25">
      <c r="A292" s="3">
        <v>19463</v>
      </c>
      <c r="B292" s="2" t="s">
        <v>286</v>
      </c>
      <c r="C292" s="30">
        <v>3.72</v>
      </c>
      <c r="D292" s="42">
        <v>3.26</v>
      </c>
      <c r="E292" s="29">
        <f t="shared" si="19"/>
        <v>143839.97520000002</v>
      </c>
      <c r="F292" s="323">
        <f t="shared" si="16"/>
        <v>138263.12</v>
      </c>
      <c r="G292" s="338">
        <f t="shared" si="17"/>
        <v>153431.9</v>
      </c>
      <c r="H292" s="338">
        <f t="shared" si="18"/>
        <v>162344.74</v>
      </c>
    </row>
    <row r="293" spans="1:8" ht="13.2" customHeight="1" x14ac:dyDescent="0.25">
      <c r="A293" s="3">
        <v>19465</v>
      </c>
      <c r="B293" s="2" t="s">
        <v>287</v>
      </c>
      <c r="C293" s="30">
        <v>0.67</v>
      </c>
      <c r="D293" s="42">
        <v>0.59</v>
      </c>
      <c r="E293" s="29">
        <f t="shared" si="19"/>
        <v>25906.662200000002</v>
      </c>
      <c r="F293" s="323">
        <f t="shared" si="16"/>
        <v>25023.079999999998</v>
      </c>
      <c r="G293" s="338">
        <f t="shared" si="17"/>
        <v>27768.35</v>
      </c>
      <c r="H293" s="338">
        <f t="shared" si="18"/>
        <v>29381.41</v>
      </c>
    </row>
    <row r="294" spans="1:8" ht="13.2" customHeight="1" x14ac:dyDescent="0.25">
      <c r="A294" s="3">
        <v>19466</v>
      </c>
      <c r="B294" s="2" t="s">
        <v>288</v>
      </c>
      <c r="C294" s="30">
        <v>0.53</v>
      </c>
      <c r="D294" s="42">
        <v>0.47</v>
      </c>
      <c r="E294" s="29">
        <f t="shared" si="19"/>
        <v>20493.329800000003</v>
      </c>
      <c r="F294" s="323">
        <f t="shared" si="16"/>
        <v>19933.64</v>
      </c>
      <c r="G294" s="338">
        <f t="shared" si="17"/>
        <v>22120.55</v>
      </c>
      <c r="H294" s="338">
        <f t="shared" si="18"/>
        <v>23405.53</v>
      </c>
    </row>
    <row r="295" spans="1:8" ht="13.2" customHeight="1" x14ac:dyDescent="0.25">
      <c r="A295" s="3">
        <v>19467</v>
      </c>
      <c r="B295" s="2" t="s">
        <v>289</v>
      </c>
      <c r="C295" s="30">
        <v>0.53</v>
      </c>
      <c r="D295" s="42">
        <v>0.47</v>
      </c>
      <c r="E295" s="29">
        <f t="shared" si="19"/>
        <v>20493.329800000003</v>
      </c>
      <c r="F295" s="323">
        <f t="shared" si="16"/>
        <v>19933.64</v>
      </c>
      <c r="G295" s="338">
        <f t="shared" si="17"/>
        <v>22120.55</v>
      </c>
      <c r="H295" s="338">
        <f t="shared" si="18"/>
        <v>23405.53</v>
      </c>
    </row>
    <row r="296" spans="1:8" ht="13.2" customHeight="1" x14ac:dyDescent="0.25">
      <c r="A296" s="3">
        <v>19472</v>
      </c>
      <c r="B296" s="2" t="s">
        <v>290</v>
      </c>
      <c r="C296" s="30">
        <v>0.76</v>
      </c>
      <c r="D296" s="42">
        <v>0.67</v>
      </c>
      <c r="E296" s="29">
        <f t="shared" si="19"/>
        <v>29386.661600000003</v>
      </c>
      <c r="F296" s="323">
        <f t="shared" si="16"/>
        <v>28416.04</v>
      </c>
      <c r="G296" s="338">
        <f t="shared" si="17"/>
        <v>31533.550000000003</v>
      </c>
      <c r="H296" s="338">
        <f t="shared" si="18"/>
        <v>33365.33</v>
      </c>
    </row>
    <row r="297" spans="1:8" ht="13.2" customHeight="1" x14ac:dyDescent="0.25">
      <c r="A297" s="3">
        <v>19473</v>
      </c>
      <c r="B297" s="2" t="s">
        <v>291</v>
      </c>
      <c r="C297" s="30">
        <v>0.93</v>
      </c>
      <c r="D297" s="42">
        <v>0.82</v>
      </c>
      <c r="E297" s="29">
        <f t="shared" si="19"/>
        <v>35959.993800000004</v>
      </c>
      <c r="F297" s="323">
        <f t="shared" si="16"/>
        <v>34777.839999999997</v>
      </c>
      <c r="G297" s="338">
        <f t="shared" si="17"/>
        <v>38593.299999999996</v>
      </c>
      <c r="H297" s="338">
        <f t="shared" si="18"/>
        <v>40835.18</v>
      </c>
    </row>
    <row r="298" spans="1:8" ht="13.2" customHeight="1" x14ac:dyDescent="0.25">
      <c r="A298" s="3">
        <v>19478</v>
      </c>
      <c r="B298" s="2" t="s">
        <v>292</v>
      </c>
      <c r="C298" s="30">
        <v>0.92</v>
      </c>
      <c r="D298" s="42">
        <v>0.81</v>
      </c>
      <c r="E298" s="29">
        <f t="shared" si="19"/>
        <v>35573.327200000007</v>
      </c>
      <c r="F298" s="323">
        <f t="shared" si="16"/>
        <v>34353.72</v>
      </c>
      <c r="G298" s="338">
        <f t="shared" si="17"/>
        <v>38122.65</v>
      </c>
      <c r="H298" s="338">
        <f t="shared" si="18"/>
        <v>40337.19</v>
      </c>
    </row>
    <row r="299" spans="1:8" ht="13.2" customHeight="1" x14ac:dyDescent="0.25">
      <c r="A299" s="3">
        <v>19479</v>
      </c>
      <c r="B299" s="2" t="s">
        <v>293</v>
      </c>
      <c r="C299" s="30">
        <v>2.5299999999999998</v>
      </c>
      <c r="D299" s="42">
        <v>2.2200000000000002</v>
      </c>
      <c r="E299" s="29">
        <f t="shared" si="19"/>
        <v>97826.649799999999</v>
      </c>
      <c r="F299" s="323">
        <f t="shared" si="16"/>
        <v>94154.640000000014</v>
      </c>
      <c r="G299" s="338">
        <f t="shared" si="17"/>
        <v>104484.3</v>
      </c>
      <c r="H299" s="338">
        <f t="shared" si="18"/>
        <v>110553.78000000001</v>
      </c>
    </row>
    <row r="300" spans="1:8" ht="13.2" customHeight="1" x14ac:dyDescent="0.25">
      <c r="A300" s="3">
        <v>19480</v>
      </c>
      <c r="B300" s="2" t="s">
        <v>294</v>
      </c>
      <c r="C300" s="30">
        <v>1.02</v>
      </c>
      <c r="D300" s="42">
        <v>0.9</v>
      </c>
      <c r="E300" s="29">
        <f t="shared" si="19"/>
        <v>39439.993200000004</v>
      </c>
      <c r="F300" s="323">
        <f t="shared" si="16"/>
        <v>38170.800000000003</v>
      </c>
      <c r="G300" s="338">
        <f t="shared" si="17"/>
        <v>42358.5</v>
      </c>
      <c r="H300" s="338">
        <f t="shared" si="18"/>
        <v>44819.1</v>
      </c>
    </row>
    <row r="301" spans="1:8" ht="13.2" customHeight="1" x14ac:dyDescent="0.25">
      <c r="A301" s="3">
        <v>19481</v>
      </c>
      <c r="B301" s="2" t="s">
        <v>295</v>
      </c>
      <c r="C301" s="30">
        <v>2.74</v>
      </c>
      <c r="D301" s="42">
        <v>2.4</v>
      </c>
      <c r="E301" s="29">
        <f t="shared" si="19"/>
        <v>105946.64840000002</v>
      </c>
      <c r="F301" s="323">
        <f t="shared" si="16"/>
        <v>101788.8</v>
      </c>
      <c r="G301" s="338">
        <f t="shared" si="17"/>
        <v>112956</v>
      </c>
      <c r="H301" s="338">
        <f t="shared" si="18"/>
        <v>119517.59999999999</v>
      </c>
    </row>
    <row r="302" spans="1:8" ht="13.2" customHeight="1" x14ac:dyDescent="0.25">
      <c r="A302" s="3">
        <v>19482</v>
      </c>
      <c r="B302" s="2" t="s">
        <v>296</v>
      </c>
      <c r="C302" s="30">
        <v>1.86</v>
      </c>
      <c r="D302" s="42">
        <v>1.63</v>
      </c>
      <c r="E302" s="29">
        <f t="shared" si="19"/>
        <v>71919.987600000008</v>
      </c>
      <c r="F302" s="323">
        <f t="shared" si="16"/>
        <v>69131.56</v>
      </c>
      <c r="G302" s="338">
        <f t="shared" si="17"/>
        <v>76715.95</v>
      </c>
      <c r="H302" s="338">
        <f t="shared" si="18"/>
        <v>81172.37</v>
      </c>
    </row>
    <row r="303" spans="1:8" ht="13.2" customHeight="1" x14ac:dyDescent="0.25">
      <c r="A303" s="3">
        <v>19484</v>
      </c>
      <c r="B303" s="2" t="s">
        <v>297</v>
      </c>
      <c r="C303" s="30">
        <v>4.59</v>
      </c>
      <c r="D303" s="42">
        <v>4.03</v>
      </c>
      <c r="E303" s="29">
        <f t="shared" si="19"/>
        <v>177479.9694</v>
      </c>
      <c r="F303" s="323">
        <f t="shared" si="16"/>
        <v>170920.36000000002</v>
      </c>
      <c r="G303" s="338">
        <f t="shared" si="17"/>
        <v>189671.95</v>
      </c>
      <c r="H303" s="338">
        <f t="shared" si="18"/>
        <v>200689.97</v>
      </c>
    </row>
    <row r="304" spans="1:8" ht="13.2" customHeight="1" x14ac:dyDescent="0.25">
      <c r="A304" s="3">
        <v>19485</v>
      </c>
      <c r="B304" s="2" t="s">
        <v>298</v>
      </c>
      <c r="C304" s="30">
        <v>2.15</v>
      </c>
      <c r="D304" s="42">
        <v>1.89</v>
      </c>
      <c r="E304" s="29">
        <f t="shared" si="19"/>
        <v>83133.319000000003</v>
      </c>
      <c r="F304" s="323">
        <f t="shared" si="16"/>
        <v>80158.679999999993</v>
      </c>
      <c r="G304" s="338">
        <f t="shared" si="17"/>
        <v>88952.849999999991</v>
      </c>
      <c r="H304" s="338">
        <f t="shared" si="18"/>
        <v>94120.11</v>
      </c>
    </row>
    <row r="305" spans="1:8" ht="13.2" customHeight="1" x14ac:dyDescent="0.25">
      <c r="A305" s="3">
        <v>19486</v>
      </c>
      <c r="B305" s="2" t="s">
        <v>299</v>
      </c>
      <c r="C305" s="30">
        <v>3.89</v>
      </c>
      <c r="D305" s="42">
        <v>3.41</v>
      </c>
      <c r="E305" s="29">
        <f t="shared" si="19"/>
        <v>150413.30740000002</v>
      </c>
      <c r="F305" s="323">
        <f t="shared" si="16"/>
        <v>144624.92000000001</v>
      </c>
      <c r="G305" s="338">
        <f t="shared" si="17"/>
        <v>160491.65</v>
      </c>
      <c r="H305" s="338">
        <f t="shared" si="18"/>
        <v>169814.59</v>
      </c>
    </row>
    <row r="306" spans="1:8" ht="13.2" customHeight="1" x14ac:dyDescent="0.25">
      <c r="A306" s="3">
        <v>19487</v>
      </c>
      <c r="B306" s="2" t="s">
        <v>300</v>
      </c>
      <c r="C306" s="30">
        <v>2.44</v>
      </c>
      <c r="D306" s="42">
        <v>2.14</v>
      </c>
      <c r="E306" s="29">
        <f t="shared" si="19"/>
        <v>94346.650400000013</v>
      </c>
      <c r="F306" s="323">
        <f t="shared" si="16"/>
        <v>90761.680000000008</v>
      </c>
      <c r="G306" s="338">
        <f t="shared" si="17"/>
        <v>100719.1</v>
      </c>
      <c r="H306" s="338">
        <f t="shared" si="18"/>
        <v>106569.86</v>
      </c>
    </row>
    <row r="307" spans="1:8" ht="13.2" customHeight="1" x14ac:dyDescent="0.25">
      <c r="A307" s="3">
        <v>19488</v>
      </c>
      <c r="B307" s="2" t="s">
        <v>301</v>
      </c>
      <c r="C307" s="30">
        <v>10.14</v>
      </c>
      <c r="D307" s="42">
        <v>8.89</v>
      </c>
      <c r="E307" s="29">
        <f t="shared" si="19"/>
        <v>392079.93240000005</v>
      </c>
      <c r="F307" s="323">
        <f t="shared" si="16"/>
        <v>377042.68000000005</v>
      </c>
      <c r="G307" s="338">
        <f t="shared" si="17"/>
        <v>418407.85000000003</v>
      </c>
      <c r="H307" s="338">
        <f t="shared" si="18"/>
        <v>442713.11000000004</v>
      </c>
    </row>
    <row r="308" spans="1:8" ht="13.2" customHeight="1" x14ac:dyDescent="0.25">
      <c r="A308" s="3">
        <v>19490</v>
      </c>
      <c r="B308" s="2" t="s">
        <v>302</v>
      </c>
      <c r="C308" s="31">
        <v>0.5</v>
      </c>
      <c r="D308" s="42">
        <v>0.44</v>
      </c>
      <c r="E308" s="29">
        <f t="shared" si="19"/>
        <v>19333.330000000002</v>
      </c>
      <c r="F308" s="323">
        <f t="shared" si="16"/>
        <v>18661.28</v>
      </c>
      <c r="G308" s="338">
        <f t="shared" si="17"/>
        <v>20708.599999999999</v>
      </c>
      <c r="H308" s="338">
        <f t="shared" si="18"/>
        <v>21911.56</v>
      </c>
    </row>
    <row r="309" spans="1:8" ht="13.2" customHeight="1" x14ac:dyDescent="0.25">
      <c r="A309" s="3">
        <v>19491</v>
      </c>
      <c r="B309" s="2" t="s">
        <v>303</v>
      </c>
      <c r="C309" s="30">
        <v>3.79</v>
      </c>
      <c r="D309" s="42">
        <v>3.32</v>
      </c>
      <c r="E309" s="29">
        <f t="shared" si="19"/>
        <v>146546.64140000002</v>
      </c>
      <c r="F309" s="323">
        <f t="shared" si="16"/>
        <v>140807.84</v>
      </c>
      <c r="G309" s="338">
        <f t="shared" si="17"/>
        <v>156255.79999999999</v>
      </c>
      <c r="H309" s="338">
        <f t="shared" si="18"/>
        <v>165332.68</v>
      </c>
    </row>
    <row r="310" spans="1:8" ht="13.2" customHeight="1" x14ac:dyDescent="0.25">
      <c r="A310" s="3">
        <v>19492</v>
      </c>
      <c r="B310" s="2" t="s">
        <v>304</v>
      </c>
      <c r="C310" s="30">
        <v>1.81</v>
      </c>
      <c r="D310" s="42">
        <v>1.59</v>
      </c>
      <c r="E310" s="29">
        <f t="shared" si="19"/>
        <v>69986.654600000009</v>
      </c>
      <c r="F310" s="323">
        <f t="shared" si="16"/>
        <v>67435.08</v>
      </c>
      <c r="G310" s="338">
        <f t="shared" si="17"/>
        <v>74833.350000000006</v>
      </c>
      <c r="H310" s="338">
        <f t="shared" si="18"/>
        <v>79180.41</v>
      </c>
    </row>
    <row r="311" spans="1:8" ht="13.2" customHeight="1" x14ac:dyDescent="0.25">
      <c r="A311" s="3">
        <v>19493</v>
      </c>
      <c r="B311" s="2" t="s">
        <v>305</v>
      </c>
      <c r="C311" s="30">
        <v>1.27</v>
      </c>
      <c r="D311" s="42">
        <v>1.1100000000000001</v>
      </c>
      <c r="E311" s="29">
        <f t="shared" si="19"/>
        <v>49106.658200000005</v>
      </c>
      <c r="F311" s="323">
        <f t="shared" si="16"/>
        <v>47077.320000000007</v>
      </c>
      <c r="G311" s="338">
        <f t="shared" si="17"/>
        <v>52242.15</v>
      </c>
      <c r="H311" s="338">
        <f t="shared" si="18"/>
        <v>55276.890000000007</v>
      </c>
    </row>
    <row r="312" spans="1:8" ht="13.2" customHeight="1" x14ac:dyDescent="0.25">
      <c r="A312" s="3">
        <v>19496</v>
      </c>
      <c r="B312" s="2" t="s">
        <v>306</v>
      </c>
      <c r="C312" s="30">
        <v>0.34</v>
      </c>
      <c r="D312" s="42">
        <v>0.3</v>
      </c>
      <c r="E312" s="29">
        <f t="shared" si="19"/>
        <v>13146.664400000001</v>
      </c>
      <c r="F312" s="323">
        <f t="shared" si="16"/>
        <v>12723.6</v>
      </c>
      <c r="G312" s="338">
        <f t="shared" si="17"/>
        <v>14119.5</v>
      </c>
      <c r="H312" s="338">
        <f t="shared" si="18"/>
        <v>14939.699999999999</v>
      </c>
    </row>
    <row r="313" spans="1:8" ht="13.2" customHeight="1" x14ac:dyDescent="0.25">
      <c r="A313" s="3">
        <v>19497</v>
      </c>
      <c r="B313" s="2" t="s">
        <v>307</v>
      </c>
      <c r="C313" s="30">
        <v>0.43</v>
      </c>
      <c r="D313" s="42">
        <v>0.38</v>
      </c>
      <c r="E313" s="29">
        <f t="shared" si="19"/>
        <v>16626.663800000002</v>
      </c>
      <c r="F313" s="323">
        <f t="shared" si="16"/>
        <v>16116.56</v>
      </c>
      <c r="G313" s="338">
        <f t="shared" si="17"/>
        <v>17884.7</v>
      </c>
      <c r="H313" s="338">
        <f t="shared" si="18"/>
        <v>18923.62</v>
      </c>
    </row>
    <row r="314" spans="1:8" ht="13.2" customHeight="1" x14ac:dyDescent="0.25">
      <c r="A314" s="3">
        <v>19498</v>
      </c>
      <c r="B314" s="2" t="s">
        <v>308</v>
      </c>
      <c r="C314" s="30">
        <v>0.71</v>
      </c>
      <c r="D314" s="42">
        <v>0.62</v>
      </c>
      <c r="E314" s="29">
        <f t="shared" si="19"/>
        <v>27453.328600000001</v>
      </c>
      <c r="F314" s="323">
        <f t="shared" si="16"/>
        <v>26295.439999999999</v>
      </c>
      <c r="G314" s="338">
        <f t="shared" si="17"/>
        <v>29180.3</v>
      </c>
      <c r="H314" s="338">
        <f t="shared" si="18"/>
        <v>30875.38</v>
      </c>
    </row>
    <row r="315" spans="1:8" ht="13.2" customHeight="1" x14ac:dyDescent="0.25">
      <c r="A315" s="3">
        <v>19503</v>
      </c>
      <c r="B315" s="2" t="s">
        <v>309</v>
      </c>
      <c r="C315" s="30">
        <v>0.85</v>
      </c>
      <c r="D315" s="42">
        <v>0.75</v>
      </c>
      <c r="E315" s="29">
        <f t="shared" si="19"/>
        <v>32866.661</v>
      </c>
      <c r="F315" s="323">
        <f t="shared" si="16"/>
        <v>31809</v>
      </c>
      <c r="G315" s="338">
        <f t="shared" si="17"/>
        <v>35298.75</v>
      </c>
      <c r="H315" s="338">
        <f t="shared" si="18"/>
        <v>37349.25</v>
      </c>
    </row>
    <row r="316" spans="1:8" ht="13.2" customHeight="1" x14ac:dyDescent="0.25">
      <c r="A316" s="3">
        <v>19504</v>
      </c>
      <c r="B316" s="2" t="s">
        <v>310</v>
      </c>
      <c r="C316" s="30">
        <v>1.1299999999999999</v>
      </c>
      <c r="D316" s="42">
        <v>0.99</v>
      </c>
      <c r="E316" s="29">
        <f t="shared" si="19"/>
        <v>43693.325799999999</v>
      </c>
      <c r="F316" s="323">
        <f t="shared" si="16"/>
        <v>41987.88</v>
      </c>
      <c r="G316" s="338">
        <f t="shared" si="17"/>
        <v>46594.35</v>
      </c>
      <c r="H316" s="338">
        <f t="shared" si="18"/>
        <v>49301.01</v>
      </c>
    </row>
    <row r="317" spans="1:8" ht="13.2" customHeight="1" x14ac:dyDescent="0.25">
      <c r="A317" s="3">
        <v>19505</v>
      </c>
      <c r="B317" s="2" t="s">
        <v>311</v>
      </c>
      <c r="C317" s="30">
        <v>0.15</v>
      </c>
      <c r="D317" s="42">
        <v>0.13</v>
      </c>
      <c r="E317" s="29">
        <f t="shared" si="19"/>
        <v>5799.9990000000007</v>
      </c>
      <c r="F317" s="323">
        <f t="shared" si="16"/>
        <v>5513.56</v>
      </c>
      <c r="G317" s="338">
        <f t="shared" si="17"/>
        <v>6118.45</v>
      </c>
      <c r="H317" s="338">
        <f t="shared" si="18"/>
        <v>6473.87</v>
      </c>
    </row>
    <row r="318" spans="1:8" ht="13.2" customHeight="1" x14ac:dyDescent="0.25">
      <c r="A318" s="3">
        <v>19509</v>
      </c>
      <c r="B318" s="2" t="s">
        <v>312</v>
      </c>
      <c r="C318" s="30">
        <v>1.06</v>
      </c>
      <c r="D318" s="42">
        <v>0.93</v>
      </c>
      <c r="E318" s="29">
        <f t="shared" si="19"/>
        <v>40986.659600000006</v>
      </c>
      <c r="F318" s="323">
        <f t="shared" si="16"/>
        <v>39443.160000000003</v>
      </c>
      <c r="G318" s="338">
        <f t="shared" si="17"/>
        <v>43770.450000000004</v>
      </c>
      <c r="H318" s="338">
        <f t="shared" si="18"/>
        <v>46313.07</v>
      </c>
    </row>
    <row r="319" spans="1:8" ht="13.2" customHeight="1" x14ac:dyDescent="0.25">
      <c r="A319" s="3">
        <v>19510</v>
      </c>
      <c r="B319" s="2" t="s">
        <v>313</v>
      </c>
      <c r="C319" s="30">
        <v>0.44</v>
      </c>
      <c r="D319" s="42">
        <v>0.39</v>
      </c>
      <c r="E319" s="29">
        <f t="shared" si="19"/>
        <v>17013.330400000003</v>
      </c>
      <c r="F319" s="323">
        <f t="shared" si="16"/>
        <v>16540.68</v>
      </c>
      <c r="G319" s="338">
        <f t="shared" si="17"/>
        <v>18355.350000000002</v>
      </c>
      <c r="H319" s="338">
        <f t="shared" si="18"/>
        <v>19421.61</v>
      </c>
    </row>
    <row r="320" spans="1:8" ht="13.2" customHeight="1" x14ac:dyDescent="0.25">
      <c r="A320" s="3">
        <v>19511</v>
      </c>
      <c r="B320" s="2" t="s">
        <v>314</v>
      </c>
      <c r="C320" s="30">
        <v>1.18</v>
      </c>
      <c r="D320" s="42">
        <v>1.03</v>
      </c>
      <c r="E320" s="29">
        <f t="shared" si="19"/>
        <v>45626.658800000005</v>
      </c>
      <c r="F320" s="323">
        <f t="shared" si="16"/>
        <v>43684.36</v>
      </c>
      <c r="G320" s="338">
        <f t="shared" si="17"/>
        <v>48476.950000000004</v>
      </c>
      <c r="H320" s="338">
        <f t="shared" si="18"/>
        <v>51292.97</v>
      </c>
    </row>
    <row r="321" spans="1:8" ht="13.2" customHeight="1" x14ac:dyDescent="0.25">
      <c r="A321" s="3">
        <v>19514</v>
      </c>
      <c r="B321" s="2" t="s">
        <v>315</v>
      </c>
      <c r="C321" s="30">
        <v>2.37</v>
      </c>
      <c r="D321" s="42">
        <v>2.08</v>
      </c>
      <c r="E321" s="29">
        <f t="shared" si="19"/>
        <v>91639.984200000006</v>
      </c>
      <c r="F321" s="323">
        <f t="shared" si="16"/>
        <v>88216.960000000006</v>
      </c>
      <c r="G321" s="338">
        <f t="shared" si="17"/>
        <v>97895.2</v>
      </c>
      <c r="H321" s="338">
        <f t="shared" si="18"/>
        <v>103581.92</v>
      </c>
    </row>
    <row r="322" spans="1:8" ht="13.2" customHeight="1" x14ac:dyDescent="0.25">
      <c r="A322" s="3">
        <v>19515</v>
      </c>
      <c r="B322" s="2" t="s">
        <v>316</v>
      </c>
      <c r="C322" s="30">
        <v>1.76</v>
      </c>
      <c r="D322" s="42">
        <v>1.54</v>
      </c>
      <c r="E322" s="29">
        <f t="shared" si="19"/>
        <v>68053.32160000001</v>
      </c>
      <c r="F322" s="323">
        <f t="shared" si="16"/>
        <v>65314.48</v>
      </c>
      <c r="G322" s="338">
        <f t="shared" si="17"/>
        <v>72480.100000000006</v>
      </c>
      <c r="H322" s="338">
        <f t="shared" si="18"/>
        <v>76690.460000000006</v>
      </c>
    </row>
    <row r="323" spans="1:8" ht="13.2" customHeight="1" x14ac:dyDescent="0.25">
      <c r="A323" s="3">
        <v>19516</v>
      </c>
      <c r="B323" s="2" t="s">
        <v>317</v>
      </c>
      <c r="C323" s="30">
        <v>1.44</v>
      </c>
      <c r="D323" s="42">
        <v>1.26</v>
      </c>
      <c r="E323" s="29">
        <f t="shared" si="19"/>
        <v>55679.990400000002</v>
      </c>
      <c r="F323" s="323">
        <f t="shared" si="16"/>
        <v>53439.12</v>
      </c>
      <c r="G323" s="338">
        <f t="shared" si="17"/>
        <v>59301.9</v>
      </c>
      <c r="H323" s="338">
        <f t="shared" si="18"/>
        <v>62746.74</v>
      </c>
    </row>
    <row r="324" spans="1:8" ht="13.2" customHeight="1" x14ac:dyDescent="0.25">
      <c r="A324" s="3">
        <v>19517</v>
      </c>
      <c r="B324" s="2" t="s">
        <v>318</v>
      </c>
      <c r="C324" s="30">
        <v>0.31</v>
      </c>
      <c r="D324" s="42">
        <v>0.27</v>
      </c>
      <c r="E324" s="29">
        <f t="shared" si="19"/>
        <v>11986.664600000002</v>
      </c>
      <c r="F324" s="323">
        <f t="shared" si="16"/>
        <v>11451.240000000002</v>
      </c>
      <c r="G324" s="338">
        <f t="shared" si="17"/>
        <v>12707.550000000001</v>
      </c>
      <c r="H324" s="338">
        <f t="shared" si="18"/>
        <v>13445.730000000001</v>
      </c>
    </row>
    <row r="325" spans="1:8" ht="13.2" customHeight="1" x14ac:dyDescent="0.25">
      <c r="A325" s="3">
        <v>19518</v>
      </c>
      <c r="B325" s="2" t="s">
        <v>319</v>
      </c>
      <c r="C325" s="31">
        <v>1.1000000000000001</v>
      </c>
      <c r="D325" s="42">
        <v>0.97</v>
      </c>
      <c r="E325" s="29">
        <f t="shared" si="19"/>
        <v>42533.326000000008</v>
      </c>
      <c r="F325" s="323">
        <f t="shared" si="16"/>
        <v>41139.64</v>
      </c>
      <c r="G325" s="338">
        <f t="shared" si="17"/>
        <v>45653.049999999996</v>
      </c>
      <c r="H325" s="338">
        <f t="shared" si="18"/>
        <v>48305.03</v>
      </c>
    </row>
    <row r="326" spans="1:8" ht="13.2" customHeight="1" x14ac:dyDescent="0.25">
      <c r="A326" s="3">
        <v>19521</v>
      </c>
      <c r="B326" s="2" t="s">
        <v>320</v>
      </c>
      <c r="C326" s="30">
        <v>3.33</v>
      </c>
      <c r="D326" s="42">
        <v>2.92</v>
      </c>
      <c r="E326" s="29">
        <f t="shared" si="19"/>
        <v>128759.97780000001</v>
      </c>
      <c r="F326" s="323">
        <f t="shared" ref="F326:F389" si="20">+$D326*$F$2</f>
        <v>123843.04</v>
      </c>
      <c r="G326" s="338">
        <f t="shared" ref="G326:G389" si="21">+$D326*$G$2</f>
        <v>137429.79999999999</v>
      </c>
      <c r="H326" s="338">
        <f t="shared" ref="H326:H389" si="22">+$D326*$H$2</f>
        <v>145413.07999999999</v>
      </c>
    </row>
    <row r="327" spans="1:8" ht="13.2" customHeight="1" x14ac:dyDescent="0.25">
      <c r="A327" s="3">
        <v>19522</v>
      </c>
      <c r="B327" s="2" t="s">
        <v>321</v>
      </c>
      <c r="C327" s="30">
        <v>1.83</v>
      </c>
      <c r="D327" s="42">
        <v>1.61</v>
      </c>
      <c r="E327" s="29">
        <f t="shared" ref="E327:E390" si="23">+$C327*$E$2</f>
        <v>70759.987800000003</v>
      </c>
      <c r="F327" s="323">
        <f t="shared" si="20"/>
        <v>68283.320000000007</v>
      </c>
      <c r="G327" s="338">
        <f t="shared" si="21"/>
        <v>75774.650000000009</v>
      </c>
      <c r="H327" s="338">
        <f t="shared" si="22"/>
        <v>80176.39</v>
      </c>
    </row>
    <row r="328" spans="1:8" ht="13.2" customHeight="1" x14ac:dyDescent="0.25">
      <c r="A328" s="3">
        <v>19523</v>
      </c>
      <c r="B328" s="2" t="s">
        <v>322</v>
      </c>
      <c r="C328" s="30">
        <v>1.58</v>
      </c>
      <c r="D328" s="42">
        <v>1.39</v>
      </c>
      <c r="E328" s="29">
        <f t="shared" si="23"/>
        <v>61093.322800000009</v>
      </c>
      <c r="F328" s="323">
        <f t="shared" si="20"/>
        <v>58952.679999999993</v>
      </c>
      <c r="G328" s="338">
        <f t="shared" si="21"/>
        <v>65420.35</v>
      </c>
      <c r="H328" s="338">
        <f t="shared" si="22"/>
        <v>69220.61</v>
      </c>
    </row>
    <row r="329" spans="1:8" ht="13.2" customHeight="1" x14ac:dyDescent="0.25">
      <c r="A329" s="3">
        <v>19527</v>
      </c>
      <c r="B329" s="2" t="s">
        <v>323</v>
      </c>
      <c r="C329" s="30">
        <v>0.71</v>
      </c>
      <c r="D329" s="42">
        <v>0.62</v>
      </c>
      <c r="E329" s="29">
        <f t="shared" si="23"/>
        <v>27453.328600000001</v>
      </c>
      <c r="F329" s="323">
        <f t="shared" si="20"/>
        <v>26295.439999999999</v>
      </c>
      <c r="G329" s="338">
        <f t="shared" si="21"/>
        <v>29180.3</v>
      </c>
      <c r="H329" s="338">
        <f t="shared" si="22"/>
        <v>30875.38</v>
      </c>
    </row>
    <row r="330" spans="1:8" ht="13.2" customHeight="1" x14ac:dyDescent="0.25">
      <c r="A330" s="3">
        <v>19528</v>
      </c>
      <c r="B330" s="2" t="s">
        <v>324</v>
      </c>
      <c r="C330" s="30">
        <v>0.65</v>
      </c>
      <c r="D330" s="42">
        <v>0.56999999999999995</v>
      </c>
      <c r="E330" s="29">
        <f t="shared" si="23"/>
        <v>25133.329000000002</v>
      </c>
      <c r="F330" s="323">
        <f t="shared" si="20"/>
        <v>24174.839999999997</v>
      </c>
      <c r="G330" s="338">
        <f t="shared" si="21"/>
        <v>26827.05</v>
      </c>
      <c r="H330" s="338">
        <f t="shared" si="22"/>
        <v>28385.429999999997</v>
      </c>
    </row>
    <row r="331" spans="1:8" ht="13.2" customHeight="1" x14ac:dyDescent="0.25">
      <c r="A331" s="3">
        <v>19529</v>
      </c>
      <c r="B331" s="2" t="s">
        <v>325</v>
      </c>
      <c r="C331" s="30">
        <v>0.92</v>
      </c>
      <c r="D331" s="42">
        <v>0.81</v>
      </c>
      <c r="E331" s="29">
        <f t="shared" si="23"/>
        <v>35573.327200000007</v>
      </c>
      <c r="F331" s="323">
        <f t="shared" si="20"/>
        <v>34353.72</v>
      </c>
      <c r="G331" s="338">
        <f t="shared" si="21"/>
        <v>38122.65</v>
      </c>
      <c r="H331" s="338">
        <f t="shared" si="22"/>
        <v>40337.19</v>
      </c>
    </row>
    <row r="332" spans="1:8" ht="13.2" customHeight="1" x14ac:dyDescent="0.25">
      <c r="A332" s="3">
        <v>19533</v>
      </c>
      <c r="B332" s="2" t="s">
        <v>326</v>
      </c>
      <c r="C332" s="30">
        <v>1.07</v>
      </c>
      <c r="D332" s="42">
        <v>0.94</v>
      </c>
      <c r="E332" s="29">
        <f t="shared" si="23"/>
        <v>41373.326200000003</v>
      </c>
      <c r="F332" s="323">
        <f t="shared" si="20"/>
        <v>39867.279999999999</v>
      </c>
      <c r="G332" s="338">
        <f t="shared" si="21"/>
        <v>44241.1</v>
      </c>
      <c r="H332" s="338">
        <f t="shared" si="22"/>
        <v>46811.06</v>
      </c>
    </row>
    <row r="333" spans="1:8" ht="13.2" customHeight="1" x14ac:dyDescent="0.25">
      <c r="A333" s="3">
        <v>19534</v>
      </c>
      <c r="B333" s="2" t="s">
        <v>327</v>
      </c>
      <c r="C333" s="30">
        <v>0.43</v>
      </c>
      <c r="D333" s="42">
        <v>0.38</v>
      </c>
      <c r="E333" s="29">
        <f t="shared" si="23"/>
        <v>16626.663800000002</v>
      </c>
      <c r="F333" s="323">
        <f t="shared" si="20"/>
        <v>16116.56</v>
      </c>
      <c r="G333" s="338">
        <f t="shared" si="21"/>
        <v>17884.7</v>
      </c>
      <c r="H333" s="338">
        <f t="shared" si="22"/>
        <v>18923.62</v>
      </c>
    </row>
    <row r="334" spans="1:8" ht="13.2" customHeight="1" x14ac:dyDescent="0.25">
      <c r="A334" s="3">
        <v>19535</v>
      </c>
      <c r="B334" s="2" t="s">
        <v>328</v>
      </c>
      <c r="C334" s="30">
        <v>1.89</v>
      </c>
      <c r="D334" s="42">
        <v>1.66</v>
      </c>
      <c r="E334" s="29">
        <f t="shared" si="23"/>
        <v>73079.987399999998</v>
      </c>
      <c r="F334" s="323">
        <f t="shared" si="20"/>
        <v>70403.92</v>
      </c>
      <c r="G334" s="338">
        <f t="shared" si="21"/>
        <v>78127.899999999994</v>
      </c>
      <c r="H334" s="338">
        <f t="shared" si="22"/>
        <v>82666.34</v>
      </c>
    </row>
    <row r="335" spans="1:8" ht="13.2" customHeight="1" x14ac:dyDescent="0.25">
      <c r="A335" s="3">
        <v>19539</v>
      </c>
      <c r="B335" s="2" t="s">
        <v>329</v>
      </c>
      <c r="C335" s="30">
        <v>0.34</v>
      </c>
      <c r="D335" s="42">
        <v>0.3</v>
      </c>
      <c r="E335" s="29">
        <f t="shared" si="23"/>
        <v>13146.664400000001</v>
      </c>
      <c r="F335" s="323">
        <f t="shared" si="20"/>
        <v>12723.6</v>
      </c>
      <c r="G335" s="338">
        <f t="shared" si="21"/>
        <v>14119.5</v>
      </c>
      <c r="H335" s="338">
        <f t="shared" si="22"/>
        <v>14939.699999999999</v>
      </c>
    </row>
    <row r="336" spans="1:8" ht="13.2" customHeight="1" x14ac:dyDescent="0.25">
      <c r="A336" s="3">
        <v>19540</v>
      </c>
      <c r="B336" s="2" t="s">
        <v>330</v>
      </c>
      <c r="C336" s="30">
        <v>3.61</v>
      </c>
      <c r="D336" s="42">
        <v>3.17</v>
      </c>
      <c r="E336" s="29">
        <f t="shared" si="23"/>
        <v>139586.64260000002</v>
      </c>
      <c r="F336" s="323">
        <f t="shared" si="20"/>
        <v>134446.04</v>
      </c>
      <c r="G336" s="338">
        <f t="shared" si="21"/>
        <v>149196.04999999999</v>
      </c>
      <c r="H336" s="338">
        <f t="shared" si="22"/>
        <v>157862.82999999999</v>
      </c>
    </row>
    <row r="337" spans="1:8" ht="13.2" customHeight="1" x14ac:dyDescent="0.25">
      <c r="A337" s="3">
        <v>19541</v>
      </c>
      <c r="B337" s="2" t="s">
        <v>331</v>
      </c>
      <c r="C337" s="30">
        <v>2.95</v>
      </c>
      <c r="D337" s="42">
        <v>2.59</v>
      </c>
      <c r="E337" s="29">
        <f t="shared" si="23"/>
        <v>114066.64700000001</v>
      </c>
      <c r="F337" s="323">
        <f t="shared" si="20"/>
        <v>109847.07999999999</v>
      </c>
      <c r="G337" s="338">
        <f t="shared" si="21"/>
        <v>121898.34999999999</v>
      </c>
      <c r="H337" s="338">
        <f t="shared" si="22"/>
        <v>128979.40999999999</v>
      </c>
    </row>
    <row r="338" spans="1:8" ht="13.2" customHeight="1" x14ac:dyDescent="0.25">
      <c r="A338" s="3">
        <v>19542</v>
      </c>
      <c r="B338" s="2" t="s">
        <v>332</v>
      </c>
      <c r="C338" s="30">
        <v>2.87</v>
      </c>
      <c r="D338" s="42">
        <v>2.52</v>
      </c>
      <c r="E338" s="29">
        <f t="shared" si="23"/>
        <v>110973.31420000001</v>
      </c>
      <c r="F338" s="323">
        <f t="shared" si="20"/>
        <v>106878.24</v>
      </c>
      <c r="G338" s="338">
        <f t="shared" si="21"/>
        <v>118603.8</v>
      </c>
      <c r="H338" s="338">
        <f t="shared" si="22"/>
        <v>125493.48</v>
      </c>
    </row>
    <row r="339" spans="1:8" ht="13.2" customHeight="1" x14ac:dyDescent="0.25">
      <c r="A339" s="3">
        <v>19545</v>
      </c>
      <c r="B339" s="2" t="s">
        <v>333</v>
      </c>
      <c r="C339" s="30">
        <v>3.61</v>
      </c>
      <c r="D339" s="42">
        <v>3.17</v>
      </c>
      <c r="E339" s="29">
        <f t="shared" si="23"/>
        <v>139586.64260000002</v>
      </c>
      <c r="F339" s="323">
        <f t="shared" si="20"/>
        <v>134446.04</v>
      </c>
      <c r="G339" s="338">
        <f t="shared" si="21"/>
        <v>149196.04999999999</v>
      </c>
      <c r="H339" s="338">
        <f t="shared" si="22"/>
        <v>157862.82999999999</v>
      </c>
    </row>
    <row r="340" spans="1:8" ht="13.2" customHeight="1" x14ac:dyDescent="0.25">
      <c r="A340" s="3">
        <v>19546</v>
      </c>
      <c r="B340" s="2" t="s">
        <v>334</v>
      </c>
      <c r="C340" s="30">
        <v>3.61</v>
      </c>
      <c r="D340" s="42">
        <v>3.17</v>
      </c>
      <c r="E340" s="29">
        <f t="shared" si="23"/>
        <v>139586.64260000002</v>
      </c>
      <c r="F340" s="323">
        <f t="shared" si="20"/>
        <v>134446.04</v>
      </c>
      <c r="G340" s="338">
        <f t="shared" si="21"/>
        <v>149196.04999999999</v>
      </c>
      <c r="H340" s="338">
        <f t="shared" si="22"/>
        <v>157862.82999999999</v>
      </c>
    </row>
    <row r="341" spans="1:8" ht="13.2" customHeight="1" x14ac:dyDescent="0.25">
      <c r="A341" s="3">
        <v>19547</v>
      </c>
      <c r="B341" s="2" t="s">
        <v>335</v>
      </c>
      <c r="C341" s="30">
        <v>3.61</v>
      </c>
      <c r="D341" s="42">
        <v>3.17</v>
      </c>
      <c r="E341" s="29">
        <f t="shared" si="23"/>
        <v>139586.64260000002</v>
      </c>
      <c r="F341" s="323">
        <f t="shared" si="20"/>
        <v>134446.04</v>
      </c>
      <c r="G341" s="338">
        <f t="shared" si="21"/>
        <v>149196.04999999999</v>
      </c>
      <c r="H341" s="338">
        <f t="shared" si="22"/>
        <v>157862.82999999999</v>
      </c>
    </row>
    <row r="342" spans="1:8" ht="13.2" customHeight="1" x14ac:dyDescent="0.25">
      <c r="A342" s="3">
        <v>19548</v>
      </c>
      <c r="B342" s="2" t="s">
        <v>336</v>
      </c>
      <c r="C342" s="30">
        <v>5.64</v>
      </c>
      <c r="D342" s="42">
        <v>4.95</v>
      </c>
      <c r="E342" s="29">
        <f t="shared" si="23"/>
        <v>218079.96240000002</v>
      </c>
      <c r="F342" s="323">
        <f t="shared" si="20"/>
        <v>209939.4</v>
      </c>
      <c r="G342" s="338">
        <f t="shared" si="21"/>
        <v>232971.75</v>
      </c>
      <c r="H342" s="338">
        <f t="shared" si="22"/>
        <v>246505.05000000002</v>
      </c>
    </row>
    <row r="343" spans="1:8" ht="13.2" customHeight="1" x14ac:dyDescent="0.25">
      <c r="A343" s="3">
        <v>19549</v>
      </c>
      <c r="B343" s="2" t="s">
        <v>337</v>
      </c>
      <c r="C343" s="30">
        <v>6.34</v>
      </c>
      <c r="D343" s="42">
        <v>5.56</v>
      </c>
      <c r="E343" s="29">
        <f t="shared" si="23"/>
        <v>245146.62440000003</v>
      </c>
      <c r="F343" s="323">
        <f t="shared" si="20"/>
        <v>235810.71999999997</v>
      </c>
      <c r="G343" s="338">
        <f t="shared" si="21"/>
        <v>261681.4</v>
      </c>
      <c r="H343" s="338">
        <f t="shared" si="22"/>
        <v>276882.44</v>
      </c>
    </row>
    <row r="344" spans="1:8" ht="13.2" customHeight="1" x14ac:dyDescent="0.25">
      <c r="A344" s="3">
        <v>19551</v>
      </c>
      <c r="B344" s="2" t="s">
        <v>338</v>
      </c>
      <c r="C344" s="30">
        <v>3.61</v>
      </c>
      <c r="D344" s="42">
        <v>3.17</v>
      </c>
      <c r="E344" s="29">
        <f t="shared" si="23"/>
        <v>139586.64260000002</v>
      </c>
      <c r="F344" s="323">
        <f t="shared" si="20"/>
        <v>134446.04</v>
      </c>
      <c r="G344" s="338">
        <f t="shared" si="21"/>
        <v>149196.04999999999</v>
      </c>
      <c r="H344" s="338">
        <f t="shared" si="22"/>
        <v>157862.82999999999</v>
      </c>
    </row>
    <row r="345" spans="1:8" ht="13.2" customHeight="1" x14ac:dyDescent="0.25">
      <c r="A345" s="3">
        <v>19552</v>
      </c>
      <c r="B345" s="2" t="s">
        <v>339</v>
      </c>
      <c r="C345" s="30">
        <v>3.61</v>
      </c>
      <c r="D345" s="42">
        <v>3.17</v>
      </c>
      <c r="E345" s="29">
        <f t="shared" si="23"/>
        <v>139586.64260000002</v>
      </c>
      <c r="F345" s="323">
        <f t="shared" si="20"/>
        <v>134446.04</v>
      </c>
      <c r="G345" s="338">
        <f t="shared" si="21"/>
        <v>149196.04999999999</v>
      </c>
      <c r="H345" s="338">
        <f t="shared" si="22"/>
        <v>157862.82999999999</v>
      </c>
    </row>
    <row r="346" spans="1:8" ht="13.2" customHeight="1" x14ac:dyDescent="0.25">
      <c r="A346" s="3">
        <v>19553</v>
      </c>
      <c r="B346" s="2" t="s">
        <v>340</v>
      </c>
      <c r="C346" s="30">
        <v>3.61</v>
      </c>
      <c r="D346" s="42">
        <v>3.17</v>
      </c>
      <c r="E346" s="29">
        <f t="shared" si="23"/>
        <v>139586.64260000002</v>
      </c>
      <c r="F346" s="323">
        <f t="shared" si="20"/>
        <v>134446.04</v>
      </c>
      <c r="G346" s="338">
        <f t="shared" si="21"/>
        <v>149196.04999999999</v>
      </c>
      <c r="H346" s="338">
        <f t="shared" si="22"/>
        <v>157862.82999999999</v>
      </c>
    </row>
    <row r="347" spans="1:8" ht="13.2" customHeight="1" x14ac:dyDescent="0.25">
      <c r="A347" s="3">
        <v>19557</v>
      </c>
      <c r="B347" s="2" t="s">
        <v>341</v>
      </c>
      <c r="C347" s="30">
        <v>2.95</v>
      </c>
      <c r="D347" s="42">
        <v>2.59</v>
      </c>
      <c r="E347" s="29">
        <f t="shared" si="23"/>
        <v>114066.64700000001</v>
      </c>
      <c r="F347" s="323">
        <f t="shared" si="20"/>
        <v>109847.07999999999</v>
      </c>
      <c r="G347" s="338">
        <f t="shared" si="21"/>
        <v>121898.34999999999</v>
      </c>
      <c r="H347" s="338">
        <f t="shared" si="22"/>
        <v>128979.40999999999</v>
      </c>
    </row>
    <row r="348" spans="1:8" ht="13.2" customHeight="1" x14ac:dyDescent="0.25">
      <c r="A348" s="3">
        <v>19558</v>
      </c>
      <c r="B348" s="2" t="s">
        <v>342</v>
      </c>
      <c r="C348" s="30">
        <v>2.95</v>
      </c>
      <c r="D348" s="42">
        <v>2.59</v>
      </c>
      <c r="E348" s="29">
        <f t="shared" si="23"/>
        <v>114066.64700000001</v>
      </c>
      <c r="F348" s="323">
        <f t="shared" si="20"/>
        <v>109847.07999999999</v>
      </c>
      <c r="G348" s="338">
        <f t="shared" si="21"/>
        <v>121898.34999999999</v>
      </c>
      <c r="H348" s="338">
        <f t="shared" si="22"/>
        <v>128979.40999999999</v>
      </c>
    </row>
    <row r="349" spans="1:8" ht="13.2" customHeight="1" x14ac:dyDescent="0.25">
      <c r="A349" s="3">
        <v>19559</v>
      </c>
      <c r="B349" s="2" t="s">
        <v>343</v>
      </c>
      <c r="C349" s="30">
        <v>4.0599999999999996</v>
      </c>
      <c r="D349" s="42">
        <v>3.56</v>
      </c>
      <c r="E349" s="29">
        <f t="shared" si="23"/>
        <v>156986.63959999999</v>
      </c>
      <c r="F349" s="323">
        <f t="shared" si="20"/>
        <v>150986.72</v>
      </c>
      <c r="G349" s="338">
        <f t="shared" si="21"/>
        <v>167551.4</v>
      </c>
      <c r="H349" s="338">
        <f t="shared" si="22"/>
        <v>177284.44</v>
      </c>
    </row>
    <row r="350" spans="1:8" ht="13.2" customHeight="1" x14ac:dyDescent="0.25">
      <c r="A350" s="3">
        <v>19563</v>
      </c>
      <c r="B350" s="2" t="s">
        <v>344</v>
      </c>
      <c r="C350" s="30">
        <v>3.18</v>
      </c>
      <c r="D350" s="42">
        <v>2.79</v>
      </c>
      <c r="E350" s="29">
        <f t="shared" si="23"/>
        <v>122959.97880000001</v>
      </c>
      <c r="F350" s="323">
        <f t="shared" si="20"/>
        <v>118329.48</v>
      </c>
      <c r="G350" s="338">
        <f t="shared" si="21"/>
        <v>131311.35</v>
      </c>
      <c r="H350" s="338">
        <f t="shared" si="22"/>
        <v>138939.21</v>
      </c>
    </row>
    <row r="351" spans="1:8" ht="13.2" customHeight="1" x14ac:dyDescent="0.25">
      <c r="A351" s="3">
        <v>19564</v>
      </c>
      <c r="B351" s="2" t="s">
        <v>345</v>
      </c>
      <c r="C351" s="30">
        <v>3.18</v>
      </c>
      <c r="D351" s="42">
        <v>2.79</v>
      </c>
      <c r="E351" s="29">
        <f t="shared" si="23"/>
        <v>122959.97880000001</v>
      </c>
      <c r="F351" s="323">
        <f t="shared" si="20"/>
        <v>118329.48</v>
      </c>
      <c r="G351" s="338">
        <f t="shared" si="21"/>
        <v>131311.35</v>
      </c>
      <c r="H351" s="338">
        <f t="shared" si="22"/>
        <v>138939.21</v>
      </c>
    </row>
    <row r="352" spans="1:8" ht="13.2" customHeight="1" x14ac:dyDescent="0.25">
      <c r="A352" s="3">
        <v>19565</v>
      </c>
      <c r="B352" s="2" t="s">
        <v>346</v>
      </c>
      <c r="C352" s="30">
        <v>3.18</v>
      </c>
      <c r="D352" s="42">
        <v>2.79</v>
      </c>
      <c r="E352" s="29">
        <f t="shared" si="23"/>
        <v>122959.97880000001</v>
      </c>
      <c r="F352" s="323">
        <f t="shared" si="20"/>
        <v>118329.48</v>
      </c>
      <c r="G352" s="338">
        <f t="shared" si="21"/>
        <v>131311.35</v>
      </c>
      <c r="H352" s="338">
        <f t="shared" si="22"/>
        <v>138939.21</v>
      </c>
    </row>
    <row r="353" spans="1:8" ht="13.2" customHeight="1" x14ac:dyDescent="0.25">
      <c r="A353" s="3">
        <v>19566</v>
      </c>
      <c r="B353" s="2" t="s">
        <v>347</v>
      </c>
      <c r="C353" s="30">
        <v>2.25</v>
      </c>
      <c r="D353" s="42">
        <v>1.97</v>
      </c>
      <c r="E353" s="29">
        <f t="shared" si="23"/>
        <v>86999.985000000015</v>
      </c>
      <c r="F353" s="323">
        <f t="shared" si="20"/>
        <v>83551.64</v>
      </c>
      <c r="G353" s="338">
        <f t="shared" si="21"/>
        <v>92718.05</v>
      </c>
      <c r="H353" s="338">
        <f t="shared" si="22"/>
        <v>98104.03</v>
      </c>
    </row>
    <row r="354" spans="1:8" ht="13.2" customHeight="1" x14ac:dyDescent="0.25">
      <c r="A354" s="3">
        <v>19568</v>
      </c>
      <c r="B354" s="2" t="s">
        <v>348</v>
      </c>
      <c r="C354" s="30">
        <v>4.0599999999999996</v>
      </c>
      <c r="D354" s="42">
        <v>3.56</v>
      </c>
      <c r="E354" s="29">
        <f t="shared" si="23"/>
        <v>156986.63959999999</v>
      </c>
      <c r="F354" s="323">
        <f t="shared" si="20"/>
        <v>150986.72</v>
      </c>
      <c r="G354" s="338">
        <f t="shared" si="21"/>
        <v>167551.4</v>
      </c>
      <c r="H354" s="338">
        <f t="shared" si="22"/>
        <v>177284.44</v>
      </c>
    </row>
    <row r="355" spans="1:8" ht="13.2" customHeight="1" x14ac:dyDescent="0.25">
      <c r="A355" s="3">
        <v>19569</v>
      </c>
      <c r="B355" s="2" t="s">
        <v>349</v>
      </c>
      <c r="C355" s="30">
        <v>1.52</v>
      </c>
      <c r="D355" s="42">
        <v>1.33</v>
      </c>
      <c r="E355" s="29">
        <f t="shared" si="23"/>
        <v>58773.323200000006</v>
      </c>
      <c r="F355" s="323">
        <f t="shared" si="20"/>
        <v>56407.960000000006</v>
      </c>
      <c r="G355" s="338">
        <f t="shared" si="21"/>
        <v>62596.450000000004</v>
      </c>
      <c r="H355" s="338">
        <f t="shared" si="22"/>
        <v>66232.67</v>
      </c>
    </row>
    <row r="356" spans="1:8" ht="13.2" customHeight="1" x14ac:dyDescent="0.25">
      <c r="A356" s="3">
        <v>19570</v>
      </c>
      <c r="B356" s="2" t="s">
        <v>350</v>
      </c>
      <c r="C356" s="30">
        <v>1.1100000000000001</v>
      </c>
      <c r="D356" s="42">
        <v>0.97</v>
      </c>
      <c r="E356" s="29">
        <f t="shared" si="23"/>
        <v>42919.992600000005</v>
      </c>
      <c r="F356" s="323">
        <f t="shared" si="20"/>
        <v>41139.64</v>
      </c>
      <c r="G356" s="338">
        <f t="shared" si="21"/>
        <v>45653.049999999996</v>
      </c>
      <c r="H356" s="338">
        <f t="shared" si="22"/>
        <v>48305.03</v>
      </c>
    </row>
    <row r="357" spans="1:8" ht="13.2" customHeight="1" x14ac:dyDescent="0.25">
      <c r="A357" s="3">
        <v>19571</v>
      </c>
      <c r="B357" s="2" t="s">
        <v>351</v>
      </c>
      <c r="C357" s="30">
        <v>1.41</v>
      </c>
      <c r="D357" s="42">
        <v>1.24</v>
      </c>
      <c r="E357" s="29">
        <f t="shared" si="23"/>
        <v>54519.990600000005</v>
      </c>
      <c r="F357" s="323">
        <f t="shared" si="20"/>
        <v>52590.879999999997</v>
      </c>
      <c r="G357" s="338">
        <f t="shared" si="21"/>
        <v>58360.6</v>
      </c>
      <c r="H357" s="338">
        <f t="shared" si="22"/>
        <v>61750.76</v>
      </c>
    </row>
    <row r="358" spans="1:8" ht="13.2" customHeight="1" x14ac:dyDescent="0.25">
      <c r="A358" s="3">
        <v>19575</v>
      </c>
      <c r="B358" s="2" t="s">
        <v>352</v>
      </c>
      <c r="C358" s="31">
        <v>81.099999999999994</v>
      </c>
      <c r="D358" s="42">
        <v>71.13</v>
      </c>
      <c r="E358" s="29">
        <f t="shared" si="23"/>
        <v>3135866.1260000002</v>
      </c>
      <c r="F358" s="323">
        <f t="shared" si="20"/>
        <v>3016765.5599999996</v>
      </c>
      <c r="G358" s="338">
        <f t="shared" si="21"/>
        <v>3347733.4499999997</v>
      </c>
      <c r="H358" s="338">
        <f t="shared" si="22"/>
        <v>3542202.8699999996</v>
      </c>
    </row>
    <row r="359" spans="1:8" ht="13.2" customHeight="1" x14ac:dyDescent="0.25">
      <c r="A359" s="3">
        <v>19576</v>
      </c>
      <c r="B359" s="2" t="s">
        <v>353</v>
      </c>
      <c r="C359" s="30">
        <v>22.09</v>
      </c>
      <c r="D359" s="42">
        <v>19.38</v>
      </c>
      <c r="E359" s="29">
        <f t="shared" si="23"/>
        <v>854146.51940000011</v>
      </c>
      <c r="F359" s="323">
        <f t="shared" si="20"/>
        <v>821944.55999999994</v>
      </c>
      <c r="G359" s="338">
        <f t="shared" si="21"/>
        <v>912119.7</v>
      </c>
      <c r="H359" s="338">
        <f t="shared" si="22"/>
        <v>965104.62</v>
      </c>
    </row>
    <row r="360" spans="1:8" ht="13.2" customHeight="1" x14ac:dyDescent="0.25">
      <c r="A360" s="3">
        <v>19577</v>
      </c>
      <c r="B360" s="2" t="s">
        <v>354</v>
      </c>
      <c r="C360" s="30">
        <v>9.64</v>
      </c>
      <c r="D360" s="42">
        <v>8.4600000000000009</v>
      </c>
      <c r="E360" s="29">
        <f t="shared" si="23"/>
        <v>372746.60240000003</v>
      </c>
      <c r="F360" s="323">
        <f t="shared" si="20"/>
        <v>358805.52</v>
      </c>
      <c r="G360" s="338">
        <f t="shared" si="21"/>
        <v>398169.9</v>
      </c>
      <c r="H360" s="338">
        <f t="shared" si="22"/>
        <v>421299.54000000004</v>
      </c>
    </row>
    <row r="361" spans="1:8" ht="13.2" customHeight="1" x14ac:dyDescent="0.25">
      <c r="A361" s="3">
        <v>19578</v>
      </c>
      <c r="B361" s="2" t="s">
        <v>355</v>
      </c>
      <c r="C361" s="30">
        <v>1.31</v>
      </c>
      <c r="D361" s="42">
        <v>1.1499999999999999</v>
      </c>
      <c r="E361" s="29">
        <f t="shared" si="23"/>
        <v>50653.324600000007</v>
      </c>
      <c r="F361" s="323">
        <f t="shared" si="20"/>
        <v>48773.799999999996</v>
      </c>
      <c r="G361" s="338">
        <f t="shared" si="21"/>
        <v>54124.749999999993</v>
      </c>
      <c r="H361" s="338">
        <f t="shared" si="22"/>
        <v>57268.85</v>
      </c>
    </row>
    <row r="362" spans="1:8" ht="13.2" customHeight="1" x14ac:dyDescent="0.25">
      <c r="A362" s="3">
        <v>19581</v>
      </c>
      <c r="B362" s="2" t="s">
        <v>356</v>
      </c>
      <c r="C362" s="30">
        <v>2.79</v>
      </c>
      <c r="D362" s="42">
        <v>2.4500000000000002</v>
      </c>
      <c r="E362" s="29">
        <f t="shared" si="23"/>
        <v>107879.9814</v>
      </c>
      <c r="F362" s="323">
        <f t="shared" si="20"/>
        <v>103909.40000000001</v>
      </c>
      <c r="G362" s="338">
        <f t="shared" si="21"/>
        <v>115309.25000000001</v>
      </c>
      <c r="H362" s="338">
        <f t="shared" si="22"/>
        <v>122007.55</v>
      </c>
    </row>
    <row r="363" spans="1:8" ht="13.2" customHeight="1" x14ac:dyDescent="0.25">
      <c r="A363" s="3">
        <v>19582</v>
      </c>
      <c r="B363" s="2" t="s">
        <v>357</v>
      </c>
      <c r="C363" s="30">
        <v>0.48</v>
      </c>
      <c r="D363" s="42">
        <v>0.42</v>
      </c>
      <c r="E363" s="29">
        <f t="shared" si="23"/>
        <v>18559.996800000001</v>
      </c>
      <c r="F363" s="323">
        <f t="shared" si="20"/>
        <v>17813.04</v>
      </c>
      <c r="G363" s="338">
        <f t="shared" si="21"/>
        <v>19767.3</v>
      </c>
      <c r="H363" s="338">
        <f t="shared" si="22"/>
        <v>20915.579999999998</v>
      </c>
    </row>
    <row r="364" spans="1:8" ht="13.2" customHeight="1" x14ac:dyDescent="0.25">
      <c r="A364" s="3">
        <v>19583</v>
      </c>
      <c r="B364" s="2" t="s">
        <v>358</v>
      </c>
      <c r="C364" s="30">
        <v>2.99</v>
      </c>
      <c r="D364" s="42">
        <v>2.62</v>
      </c>
      <c r="E364" s="29">
        <f t="shared" si="23"/>
        <v>115613.31340000001</v>
      </c>
      <c r="F364" s="323">
        <f t="shared" si="20"/>
        <v>111119.44</v>
      </c>
      <c r="G364" s="338">
        <f t="shared" si="21"/>
        <v>123310.3</v>
      </c>
      <c r="H364" s="338">
        <f t="shared" si="22"/>
        <v>130473.38</v>
      </c>
    </row>
    <row r="365" spans="1:8" ht="13.2" customHeight="1" x14ac:dyDescent="0.25">
      <c r="A365" s="3">
        <v>19584</v>
      </c>
      <c r="B365" s="2" t="s">
        <v>359</v>
      </c>
      <c r="C365" s="30">
        <v>2.5299999999999998</v>
      </c>
      <c r="D365" s="42">
        <v>2.2200000000000002</v>
      </c>
      <c r="E365" s="29">
        <f t="shared" si="23"/>
        <v>97826.649799999999</v>
      </c>
      <c r="F365" s="323">
        <f t="shared" si="20"/>
        <v>94154.640000000014</v>
      </c>
      <c r="G365" s="338">
        <f t="shared" si="21"/>
        <v>104484.3</v>
      </c>
      <c r="H365" s="338">
        <f t="shared" si="22"/>
        <v>110553.78000000001</v>
      </c>
    </row>
    <row r="366" spans="1:8" ht="13.2" customHeight="1" x14ac:dyDescent="0.25">
      <c r="A366" s="3">
        <v>19585</v>
      </c>
      <c r="B366" s="2" t="s">
        <v>360</v>
      </c>
      <c r="C366" s="31">
        <v>9.8000000000000007</v>
      </c>
      <c r="D366" s="42">
        <v>8.6</v>
      </c>
      <c r="E366" s="29">
        <f t="shared" si="23"/>
        <v>378933.26800000004</v>
      </c>
      <c r="F366" s="323">
        <f t="shared" si="20"/>
        <v>364743.2</v>
      </c>
      <c r="G366" s="338">
        <f t="shared" si="21"/>
        <v>404759</v>
      </c>
      <c r="H366" s="338">
        <f t="shared" si="22"/>
        <v>428271.39999999997</v>
      </c>
    </row>
    <row r="367" spans="1:8" ht="13.2" customHeight="1" x14ac:dyDescent="0.25">
      <c r="A367" s="3">
        <v>19587</v>
      </c>
      <c r="B367" s="2" t="s">
        <v>361</v>
      </c>
      <c r="C367" s="30">
        <v>2.87</v>
      </c>
      <c r="D367" s="42">
        <v>2.52</v>
      </c>
      <c r="E367" s="29">
        <f t="shared" si="23"/>
        <v>110973.31420000001</v>
      </c>
      <c r="F367" s="323">
        <f t="shared" si="20"/>
        <v>106878.24</v>
      </c>
      <c r="G367" s="338">
        <f t="shared" si="21"/>
        <v>118603.8</v>
      </c>
      <c r="H367" s="338">
        <f t="shared" si="22"/>
        <v>125493.48</v>
      </c>
    </row>
    <row r="368" spans="1:8" ht="13.2" customHeight="1" x14ac:dyDescent="0.25">
      <c r="A368" s="3">
        <v>19588</v>
      </c>
      <c r="B368" s="2" t="s">
        <v>362</v>
      </c>
      <c r="C368" s="30">
        <v>3.72</v>
      </c>
      <c r="D368" s="42">
        <v>3.26</v>
      </c>
      <c r="E368" s="29">
        <f t="shared" si="23"/>
        <v>143839.97520000002</v>
      </c>
      <c r="F368" s="323">
        <f t="shared" si="20"/>
        <v>138263.12</v>
      </c>
      <c r="G368" s="338">
        <f t="shared" si="21"/>
        <v>153431.9</v>
      </c>
      <c r="H368" s="338">
        <f t="shared" si="22"/>
        <v>162344.74</v>
      </c>
    </row>
    <row r="369" spans="1:8" ht="13.2" customHeight="1" x14ac:dyDescent="0.25">
      <c r="A369" s="3">
        <v>19593</v>
      </c>
      <c r="B369" s="2" t="s">
        <v>363</v>
      </c>
      <c r="C369" s="30">
        <v>1.32</v>
      </c>
      <c r="D369" s="42">
        <v>1.1599999999999999</v>
      </c>
      <c r="E369" s="29">
        <f t="shared" si="23"/>
        <v>51039.991200000004</v>
      </c>
      <c r="F369" s="323">
        <f t="shared" si="20"/>
        <v>49197.919999999998</v>
      </c>
      <c r="G369" s="338">
        <f t="shared" si="21"/>
        <v>54595.399999999994</v>
      </c>
      <c r="H369" s="338">
        <f t="shared" si="22"/>
        <v>57766.84</v>
      </c>
    </row>
    <row r="370" spans="1:8" ht="13.2" customHeight="1" x14ac:dyDescent="0.25">
      <c r="A370" s="3">
        <v>19594</v>
      </c>
      <c r="B370" s="2" t="s">
        <v>364</v>
      </c>
      <c r="C370" s="31">
        <v>1.6</v>
      </c>
      <c r="D370" s="42">
        <v>1.4</v>
      </c>
      <c r="E370" s="29">
        <f t="shared" si="23"/>
        <v>61866.65600000001</v>
      </c>
      <c r="F370" s="323">
        <f t="shared" si="20"/>
        <v>59376.799999999996</v>
      </c>
      <c r="G370" s="338">
        <f t="shared" si="21"/>
        <v>65891</v>
      </c>
      <c r="H370" s="338">
        <f t="shared" si="22"/>
        <v>69718.599999999991</v>
      </c>
    </row>
    <row r="371" spans="1:8" ht="13.2" customHeight="1" x14ac:dyDescent="0.25">
      <c r="A371" s="3">
        <v>19595</v>
      </c>
      <c r="B371" s="2" t="s">
        <v>365</v>
      </c>
      <c r="C371" s="30">
        <v>1.75</v>
      </c>
      <c r="D371" s="42">
        <v>1.53</v>
      </c>
      <c r="E371" s="29">
        <f t="shared" si="23"/>
        <v>67666.654999999999</v>
      </c>
      <c r="F371" s="323">
        <f t="shared" si="20"/>
        <v>64890.36</v>
      </c>
      <c r="G371" s="338">
        <f t="shared" si="21"/>
        <v>72009.45</v>
      </c>
      <c r="H371" s="338">
        <f t="shared" si="22"/>
        <v>76192.47</v>
      </c>
    </row>
    <row r="372" spans="1:8" ht="13.2" customHeight="1" x14ac:dyDescent="0.25">
      <c r="A372" s="3">
        <v>19599</v>
      </c>
      <c r="B372" s="2" t="s">
        <v>366</v>
      </c>
      <c r="C372" s="31">
        <v>3.3</v>
      </c>
      <c r="D372" s="42">
        <v>2.89</v>
      </c>
      <c r="E372" s="29">
        <f t="shared" si="23"/>
        <v>127599.978</v>
      </c>
      <c r="F372" s="323">
        <f t="shared" si="20"/>
        <v>122570.68000000001</v>
      </c>
      <c r="G372" s="338">
        <f t="shared" si="21"/>
        <v>136017.85</v>
      </c>
      <c r="H372" s="338">
        <f t="shared" si="22"/>
        <v>143919.11000000002</v>
      </c>
    </row>
    <row r="373" spans="1:8" ht="13.2" customHeight="1" x14ac:dyDescent="0.25">
      <c r="A373" s="3">
        <v>19600</v>
      </c>
      <c r="B373" s="2" t="s">
        <v>367</v>
      </c>
      <c r="C373" s="30">
        <v>1.69</v>
      </c>
      <c r="D373" s="42">
        <v>1.48</v>
      </c>
      <c r="E373" s="29">
        <f t="shared" si="23"/>
        <v>65346.655400000003</v>
      </c>
      <c r="F373" s="323">
        <f t="shared" si="20"/>
        <v>62769.760000000002</v>
      </c>
      <c r="G373" s="338">
        <f t="shared" si="21"/>
        <v>69656.2</v>
      </c>
      <c r="H373" s="338">
        <f t="shared" si="22"/>
        <v>73702.52</v>
      </c>
    </row>
    <row r="374" spans="1:8" ht="13.2" customHeight="1" x14ac:dyDescent="0.25">
      <c r="A374" s="3">
        <v>19601</v>
      </c>
      <c r="B374" s="2" t="s">
        <v>368</v>
      </c>
      <c r="C374" s="31">
        <v>1.1000000000000001</v>
      </c>
      <c r="D374" s="42">
        <v>0.97</v>
      </c>
      <c r="E374" s="29">
        <f t="shared" si="23"/>
        <v>42533.326000000008</v>
      </c>
      <c r="F374" s="323">
        <f t="shared" si="20"/>
        <v>41139.64</v>
      </c>
      <c r="G374" s="338">
        <f t="shared" si="21"/>
        <v>45653.049999999996</v>
      </c>
      <c r="H374" s="338">
        <f t="shared" si="22"/>
        <v>48305.03</v>
      </c>
    </row>
    <row r="375" spans="1:8" ht="13.2" customHeight="1" x14ac:dyDescent="0.25">
      <c r="A375" s="3">
        <v>19606</v>
      </c>
      <c r="B375" s="2" t="s">
        <v>369</v>
      </c>
      <c r="C375" s="30">
        <v>2.5299999999999998</v>
      </c>
      <c r="D375" s="42">
        <v>2.2200000000000002</v>
      </c>
      <c r="E375" s="29">
        <f t="shared" si="23"/>
        <v>97826.649799999999</v>
      </c>
      <c r="F375" s="323">
        <f t="shared" si="20"/>
        <v>94154.640000000014</v>
      </c>
      <c r="G375" s="338">
        <f t="shared" si="21"/>
        <v>104484.3</v>
      </c>
      <c r="H375" s="338">
        <f t="shared" si="22"/>
        <v>110553.78000000001</v>
      </c>
    </row>
    <row r="376" spans="1:8" ht="13.2" customHeight="1" x14ac:dyDescent="0.25">
      <c r="A376" s="3">
        <v>19607</v>
      </c>
      <c r="B376" s="2" t="s">
        <v>370</v>
      </c>
      <c r="C376" s="30">
        <v>2.12</v>
      </c>
      <c r="D376" s="42">
        <v>1.86</v>
      </c>
      <c r="E376" s="29">
        <f t="shared" si="23"/>
        <v>81973.319200000013</v>
      </c>
      <c r="F376" s="323">
        <f t="shared" si="20"/>
        <v>78886.320000000007</v>
      </c>
      <c r="G376" s="338">
        <f t="shared" si="21"/>
        <v>87540.900000000009</v>
      </c>
      <c r="H376" s="338">
        <f t="shared" si="22"/>
        <v>92626.14</v>
      </c>
    </row>
    <row r="377" spans="1:8" ht="13.2" customHeight="1" x14ac:dyDescent="0.25">
      <c r="A377" s="3">
        <v>19611</v>
      </c>
      <c r="B377" s="2" t="s">
        <v>371</v>
      </c>
      <c r="C377" s="30">
        <v>2.99</v>
      </c>
      <c r="D377" s="42">
        <v>2.62</v>
      </c>
      <c r="E377" s="29">
        <f t="shared" si="23"/>
        <v>115613.31340000001</v>
      </c>
      <c r="F377" s="323">
        <f t="shared" si="20"/>
        <v>111119.44</v>
      </c>
      <c r="G377" s="338">
        <f t="shared" si="21"/>
        <v>123310.3</v>
      </c>
      <c r="H377" s="338">
        <f t="shared" si="22"/>
        <v>130473.38</v>
      </c>
    </row>
    <row r="378" spans="1:8" ht="13.2" customHeight="1" x14ac:dyDescent="0.25">
      <c r="A378" s="3">
        <v>19612</v>
      </c>
      <c r="B378" s="2" t="s">
        <v>372</v>
      </c>
      <c r="C378" s="30">
        <v>1.18</v>
      </c>
      <c r="D378" s="42">
        <v>1.03</v>
      </c>
      <c r="E378" s="29">
        <f t="shared" si="23"/>
        <v>45626.658800000005</v>
      </c>
      <c r="F378" s="323">
        <f t="shared" si="20"/>
        <v>43684.36</v>
      </c>
      <c r="G378" s="338">
        <f t="shared" si="21"/>
        <v>48476.950000000004</v>
      </c>
      <c r="H378" s="338">
        <f t="shared" si="22"/>
        <v>51292.97</v>
      </c>
    </row>
    <row r="379" spans="1:8" ht="13.2" customHeight="1" x14ac:dyDescent="0.25">
      <c r="A379" s="3">
        <v>19613</v>
      </c>
      <c r="B379" s="2" t="s">
        <v>373</v>
      </c>
      <c r="C379" s="30">
        <v>3.95</v>
      </c>
      <c r="D379" s="42">
        <v>3.46</v>
      </c>
      <c r="E379" s="29">
        <f t="shared" si="23"/>
        <v>152733.30700000003</v>
      </c>
      <c r="F379" s="323">
        <f t="shared" si="20"/>
        <v>146745.51999999999</v>
      </c>
      <c r="G379" s="338">
        <f t="shared" si="21"/>
        <v>162844.9</v>
      </c>
      <c r="H379" s="338">
        <f t="shared" si="22"/>
        <v>172304.54</v>
      </c>
    </row>
    <row r="380" spans="1:8" ht="13.2" customHeight="1" x14ac:dyDescent="0.25">
      <c r="A380" s="3">
        <v>19614</v>
      </c>
      <c r="B380" s="2" t="s">
        <v>374</v>
      </c>
      <c r="C380" s="30">
        <v>0.84</v>
      </c>
      <c r="D380" s="42">
        <v>0.74</v>
      </c>
      <c r="E380" s="29">
        <f t="shared" si="23"/>
        <v>32479.994400000003</v>
      </c>
      <c r="F380" s="323">
        <f t="shared" si="20"/>
        <v>31384.880000000001</v>
      </c>
      <c r="G380" s="338">
        <f t="shared" si="21"/>
        <v>34828.1</v>
      </c>
      <c r="H380" s="338">
        <f t="shared" si="22"/>
        <v>36851.26</v>
      </c>
    </row>
    <row r="381" spans="1:8" ht="13.2" customHeight="1" x14ac:dyDescent="0.25">
      <c r="A381" s="3">
        <v>19617</v>
      </c>
      <c r="B381" s="2" t="s">
        <v>375</v>
      </c>
      <c r="C381" s="30">
        <v>1.79</v>
      </c>
      <c r="D381" s="42">
        <v>1.57</v>
      </c>
      <c r="E381" s="29">
        <f t="shared" si="23"/>
        <v>69213.321400000001</v>
      </c>
      <c r="F381" s="323">
        <f t="shared" si="20"/>
        <v>66586.84</v>
      </c>
      <c r="G381" s="338">
        <f t="shared" si="21"/>
        <v>73892.05</v>
      </c>
      <c r="H381" s="338">
        <f t="shared" si="22"/>
        <v>78184.430000000008</v>
      </c>
    </row>
    <row r="382" spans="1:8" ht="13.2" customHeight="1" x14ac:dyDescent="0.25">
      <c r="A382" s="3">
        <v>19618</v>
      </c>
      <c r="B382" s="2" t="s">
        <v>376</v>
      </c>
      <c r="C382" s="30">
        <v>0.93</v>
      </c>
      <c r="D382" s="42">
        <v>0.82</v>
      </c>
      <c r="E382" s="29">
        <f t="shared" si="23"/>
        <v>35959.993800000004</v>
      </c>
      <c r="F382" s="323">
        <f t="shared" si="20"/>
        <v>34777.839999999997</v>
      </c>
      <c r="G382" s="338">
        <f t="shared" si="21"/>
        <v>38593.299999999996</v>
      </c>
      <c r="H382" s="338">
        <f t="shared" si="22"/>
        <v>40835.18</v>
      </c>
    </row>
    <row r="383" spans="1:8" ht="13.2" customHeight="1" x14ac:dyDescent="0.25">
      <c r="A383" s="3">
        <v>19621</v>
      </c>
      <c r="B383" s="2" t="s">
        <v>377</v>
      </c>
      <c r="C383" s="30">
        <v>1.44</v>
      </c>
      <c r="D383" s="42">
        <v>1.26</v>
      </c>
      <c r="E383" s="29">
        <f t="shared" si="23"/>
        <v>55679.990400000002</v>
      </c>
      <c r="F383" s="323">
        <f t="shared" si="20"/>
        <v>53439.12</v>
      </c>
      <c r="G383" s="338">
        <f t="shared" si="21"/>
        <v>59301.9</v>
      </c>
      <c r="H383" s="338">
        <f t="shared" si="22"/>
        <v>62746.74</v>
      </c>
    </row>
    <row r="384" spans="1:8" ht="13.2" customHeight="1" x14ac:dyDescent="0.25">
      <c r="A384" s="3">
        <v>19624</v>
      </c>
      <c r="B384" s="2" t="s">
        <v>378</v>
      </c>
      <c r="C384" s="30">
        <v>1.69</v>
      </c>
      <c r="D384" s="42">
        <v>1.48</v>
      </c>
      <c r="E384" s="29">
        <f t="shared" si="23"/>
        <v>65346.655400000003</v>
      </c>
      <c r="F384" s="323">
        <f t="shared" si="20"/>
        <v>62769.760000000002</v>
      </c>
      <c r="G384" s="338">
        <f t="shared" si="21"/>
        <v>69656.2</v>
      </c>
      <c r="H384" s="338">
        <f t="shared" si="22"/>
        <v>73702.52</v>
      </c>
    </row>
    <row r="385" spans="1:8" ht="13.2" customHeight="1" x14ac:dyDescent="0.25">
      <c r="A385" s="3">
        <v>19625</v>
      </c>
      <c r="B385" s="2" t="s">
        <v>379</v>
      </c>
      <c r="C385" s="30">
        <v>2.09</v>
      </c>
      <c r="D385" s="42">
        <v>1.83</v>
      </c>
      <c r="E385" s="29">
        <f t="shared" si="23"/>
        <v>80813.319400000008</v>
      </c>
      <c r="F385" s="323">
        <f t="shared" si="20"/>
        <v>77613.960000000006</v>
      </c>
      <c r="G385" s="338">
        <f t="shared" si="21"/>
        <v>86128.95</v>
      </c>
      <c r="H385" s="338">
        <f t="shared" si="22"/>
        <v>91132.17</v>
      </c>
    </row>
    <row r="386" spans="1:8" ht="13.2" customHeight="1" x14ac:dyDescent="0.25">
      <c r="A386" s="3">
        <v>19626</v>
      </c>
      <c r="B386" s="2" t="s">
        <v>380</v>
      </c>
      <c r="C386" s="30">
        <v>2.4300000000000002</v>
      </c>
      <c r="D386" s="42">
        <v>2.13</v>
      </c>
      <c r="E386" s="29">
        <f t="shared" si="23"/>
        <v>93959.983800000016</v>
      </c>
      <c r="F386" s="323">
        <f t="shared" si="20"/>
        <v>90337.56</v>
      </c>
      <c r="G386" s="338">
        <f t="shared" si="21"/>
        <v>100248.45</v>
      </c>
      <c r="H386" s="338">
        <f t="shared" si="22"/>
        <v>106071.87</v>
      </c>
    </row>
    <row r="387" spans="1:8" ht="13.2" customHeight="1" x14ac:dyDescent="0.25">
      <c r="A387" s="3">
        <v>19629</v>
      </c>
      <c r="B387" s="2" t="s">
        <v>381</v>
      </c>
      <c r="C387" s="30">
        <v>2.12</v>
      </c>
      <c r="D387" s="42">
        <v>1.86</v>
      </c>
      <c r="E387" s="29">
        <f t="shared" si="23"/>
        <v>81973.319200000013</v>
      </c>
      <c r="F387" s="323">
        <f t="shared" si="20"/>
        <v>78886.320000000007</v>
      </c>
      <c r="G387" s="338">
        <f t="shared" si="21"/>
        <v>87540.900000000009</v>
      </c>
      <c r="H387" s="338">
        <f t="shared" si="22"/>
        <v>92626.14</v>
      </c>
    </row>
    <row r="388" spans="1:8" ht="13.2" customHeight="1" x14ac:dyDescent="0.25">
      <c r="A388" s="3">
        <v>19630</v>
      </c>
      <c r="B388" s="2" t="s">
        <v>382</v>
      </c>
      <c r="C388" s="30">
        <v>3.05</v>
      </c>
      <c r="D388" s="42">
        <v>2.68</v>
      </c>
      <c r="E388" s="29">
        <f t="shared" si="23"/>
        <v>117933.31300000001</v>
      </c>
      <c r="F388" s="323">
        <f t="shared" si="20"/>
        <v>113664.16</v>
      </c>
      <c r="G388" s="338">
        <f t="shared" si="21"/>
        <v>126134.20000000001</v>
      </c>
      <c r="H388" s="338">
        <f t="shared" si="22"/>
        <v>133461.32</v>
      </c>
    </row>
    <row r="389" spans="1:8" ht="13.2" customHeight="1" x14ac:dyDescent="0.25">
      <c r="A389" s="3">
        <v>19631</v>
      </c>
      <c r="B389" s="2" t="s">
        <v>383</v>
      </c>
      <c r="C389" s="30">
        <v>3.92</v>
      </c>
      <c r="D389" s="42">
        <v>3.44</v>
      </c>
      <c r="E389" s="29">
        <f t="shared" si="23"/>
        <v>151573.30720000001</v>
      </c>
      <c r="F389" s="323">
        <f t="shared" si="20"/>
        <v>145897.28</v>
      </c>
      <c r="G389" s="338">
        <f t="shared" si="21"/>
        <v>161903.6</v>
      </c>
      <c r="H389" s="338">
        <f t="shared" si="22"/>
        <v>171308.56</v>
      </c>
    </row>
    <row r="390" spans="1:8" ht="13.2" customHeight="1" x14ac:dyDescent="0.25">
      <c r="A390" s="3">
        <v>19632</v>
      </c>
      <c r="B390" s="2" t="s">
        <v>384</v>
      </c>
      <c r="C390" s="30">
        <v>3.92</v>
      </c>
      <c r="D390" s="42">
        <v>3.44</v>
      </c>
      <c r="E390" s="29">
        <f t="shared" si="23"/>
        <v>151573.30720000001</v>
      </c>
      <c r="F390" s="323">
        <f t="shared" ref="F390:F453" si="24">+$D390*$F$2</f>
        <v>145897.28</v>
      </c>
      <c r="G390" s="338">
        <f t="shared" ref="G390:G453" si="25">+$D390*$G$2</f>
        <v>161903.6</v>
      </c>
      <c r="H390" s="338">
        <f t="shared" ref="H390:H453" si="26">+$D390*$H$2</f>
        <v>171308.56</v>
      </c>
    </row>
    <row r="391" spans="1:8" ht="13.2" customHeight="1" x14ac:dyDescent="0.25">
      <c r="A391" s="3">
        <v>19636</v>
      </c>
      <c r="B391" s="2" t="s">
        <v>385</v>
      </c>
      <c r="C391" s="30">
        <v>0.56000000000000005</v>
      </c>
      <c r="D391" s="42">
        <v>0.49</v>
      </c>
      <c r="E391" s="29">
        <f t="shared" ref="E391:E454" si="27">+$C391*$E$2</f>
        <v>21653.329600000005</v>
      </c>
      <c r="F391" s="323">
        <f t="shared" si="24"/>
        <v>20781.88</v>
      </c>
      <c r="G391" s="338">
        <f t="shared" si="25"/>
        <v>23061.85</v>
      </c>
      <c r="H391" s="338">
        <f t="shared" si="26"/>
        <v>24401.51</v>
      </c>
    </row>
    <row r="392" spans="1:8" ht="13.2" customHeight="1" x14ac:dyDescent="0.25">
      <c r="A392" s="3">
        <v>19640</v>
      </c>
      <c r="B392" s="2" t="s">
        <v>386</v>
      </c>
      <c r="C392" s="30">
        <v>1.21</v>
      </c>
      <c r="D392" s="42">
        <v>1.06</v>
      </c>
      <c r="E392" s="29">
        <f t="shared" si="27"/>
        <v>46786.658600000002</v>
      </c>
      <c r="F392" s="323">
        <f t="shared" si="24"/>
        <v>44956.72</v>
      </c>
      <c r="G392" s="338">
        <f t="shared" si="25"/>
        <v>49888.9</v>
      </c>
      <c r="H392" s="338">
        <f t="shared" si="26"/>
        <v>52786.94</v>
      </c>
    </row>
    <row r="393" spans="1:8" ht="13.2" customHeight="1" x14ac:dyDescent="0.25">
      <c r="A393" s="3">
        <v>19641</v>
      </c>
      <c r="B393" s="2" t="s">
        <v>387</v>
      </c>
      <c r="C393" s="30">
        <v>2.04</v>
      </c>
      <c r="D393" s="42">
        <v>1.79</v>
      </c>
      <c r="E393" s="29">
        <f t="shared" si="27"/>
        <v>78879.986400000009</v>
      </c>
      <c r="F393" s="323">
        <f t="shared" si="24"/>
        <v>75917.48</v>
      </c>
      <c r="G393" s="338">
        <f t="shared" si="25"/>
        <v>84246.35</v>
      </c>
      <c r="H393" s="338">
        <f t="shared" si="26"/>
        <v>89140.21</v>
      </c>
    </row>
    <row r="394" spans="1:8" ht="13.2" customHeight="1" x14ac:dyDescent="0.25">
      <c r="A394" s="3">
        <v>19642</v>
      </c>
      <c r="B394" s="2" t="s">
        <v>388</v>
      </c>
      <c r="C394" s="30">
        <v>0.24</v>
      </c>
      <c r="D394" s="42">
        <v>0.21</v>
      </c>
      <c r="E394" s="29">
        <f t="shared" si="27"/>
        <v>9279.9984000000004</v>
      </c>
      <c r="F394" s="323">
        <f t="shared" si="24"/>
        <v>8906.52</v>
      </c>
      <c r="G394" s="338">
        <f t="shared" si="25"/>
        <v>9883.65</v>
      </c>
      <c r="H394" s="338">
        <f t="shared" si="26"/>
        <v>10457.789999999999</v>
      </c>
    </row>
    <row r="395" spans="1:8" ht="13.2" customHeight="1" x14ac:dyDescent="0.25">
      <c r="A395" s="3">
        <v>19646</v>
      </c>
      <c r="B395" s="2" t="s">
        <v>389</v>
      </c>
      <c r="C395" s="30">
        <v>0.19</v>
      </c>
      <c r="D395" s="42">
        <v>0.17</v>
      </c>
      <c r="E395" s="29">
        <f t="shared" si="27"/>
        <v>7346.6654000000008</v>
      </c>
      <c r="F395" s="323">
        <f t="shared" si="24"/>
        <v>7210.0400000000009</v>
      </c>
      <c r="G395" s="338">
        <f t="shared" si="25"/>
        <v>8001.05</v>
      </c>
      <c r="H395" s="338">
        <f t="shared" si="26"/>
        <v>8465.83</v>
      </c>
    </row>
    <row r="396" spans="1:8" ht="13.2" customHeight="1" x14ac:dyDescent="0.25">
      <c r="A396" s="3">
        <v>19647</v>
      </c>
      <c r="B396" s="2" t="s">
        <v>390</v>
      </c>
      <c r="C396" s="31">
        <v>0.8</v>
      </c>
      <c r="D396" s="42">
        <v>0.7</v>
      </c>
      <c r="E396" s="29">
        <f t="shared" si="27"/>
        <v>30933.328000000005</v>
      </c>
      <c r="F396" s="323">
        <f t="shared" si="24"/>
        <v>29688.399999999998</v>
      </c>
      <c r="G396" s="338">
        <f t="shared" si="25"/>
        <v>32945.5</v>
      </c>
      <c r="H396" s="338">
        <f t="shared" si="26"/>
        <v>34859.299999999996</v>
      </c>
    </row>
    <row r="397" spans="1:8" ht="13.2" customHeight="1" x14ac:dyDescent="0.25">
      <c r="A397" s="3">
        <v>19648</v>
      </c>
      <c r="B397" s="2" t="s">
        <v>391</v>
      </c>
      <c r="C397" s="30">
        <v>5.64</v>
      </c>
      <c r="D397" s="42">
        <v>4.95</v>
      </c>
      <c r="E397" s="29">
        <f t="shared" si="27"/>
        <v>218079.96240000002</v>
      </c>
      <c r="F397" s="323">
        <f t="shared" si="24"/>
        <v>209939.4</v>
      </c>
      <c r="G397" s="338">
        <f t="shared" si="25"/>
        <v>232971.75</v>
      </c>
      <c r="H397" s="338">
        <f t="shared" si="26"/>
        <v>246505.05000000002</v>
      </c>
    </row>
    <row r="398" spans="1:8" ht="13.2" customHeight="1" x14ac:dyDescent="0.25">
      <c r="A398" s="3">
        <v>19649</v>
      </c>
      <c r="B398" s="2" t="s">
        <v>392</v>
      </c>
      <c r="C398" s="30">
        <v>11.27</v>
      </c>
      <c r="D398" s="42">
        <v>9.8800000000000008</v>
      </c>
      <c r="E398" s="29">
        <f t="shared" si="27"/>
        <v>435773.25820000004</v>
      </c>
      <c r="F398" s="323">
        <f t="shared" si="24"/>
        <v>419030.56000000006</v>
      </c>
      <c r="G398" s="338">
        <f t="shared" si="25"/>
        <v>465002.2</v>
      </c>
      <c r="H398" s="338">
        <f t="shared" si="26"/>
        <v>492014.12000000005</v>
      </c>
    </row>
    <row r="399" spans="1:8" ht="13.2" customHeight="1" x14ac:dyDescent="0.25">
      <c r="A399" s="3">
        <v>19650</v>
      </c>
      <c r="B399" s="2" t="s">
        <v>393</v>
      </c>
      <c r="C399" s="30">
        <v>1.44</v>
      </c>
      <c r="D399" s="42">
        <v>1.26</v>
      </c>
      <c r="E399" s="29">
        <f t="shared" si="27"/>
        <v>55679.990400000002</v>
      </c>
      <c r="F399" s="323">
        <f t="shared" si="24"/>
        <v>53439.12</v>
      </c>
      <c r="G399" s="338">
        <f t="shared" si="25"/>
        <v>59301.9</v>
      </c>
      <c r="H399" s="338">
        <f t="shared" si="26"/>
        <v>62746.74</v>
      </c>
    </row>
    <row r="400" spans="1:8" ht="13.2" customHeight="1" x14ac:dyDescent="0.25">
      <c r="A400" s="3">
        <v>19652</v>
      </c>
      <c r="B400" s="2" t="s">
        <v>394</v>
      </c>
      <c r="C400" s="30">
        <v>2.72</v>
      </c>
      <c r="D400" s="42">
        <v>2.39</v>
      </c>
      <c r="E400" s="29">
        <f t="shared" si="27"/>
        <v>105173.31520000001</v>
      </c>
      <c r="F400" s="323">
        <f t="shared" si="24"/>
        <v>101364.68000000001</v>
      </c>
      <c r="G400" s="338">
        <f t="shared" si="25"/>
        <v>112485.35</v>
      </c>
      <c r="H400" s="338">
        <f t="shared" si="26"/>
        <v>119019.61</v>
      </c>
    </row>
    <row r="401" spans="1:8" ht="13.2" customHeight="1" x14ac:dyDescent="0.25">
      <c r="A401" s="3">
        <v>19653</v>
      </c>
      <c r="B401" s="2" t="s">
        <v>395</v>
      </c>
      <c r="C401" s="30">
        <v>4.25</v>
      </c>
      <c r="D401" s="42">
        <v>3.73</v>
      </c>
      <c r="E401" s="29">
        <f t="shared" si="27"/>
        <v>164333.30500000002</v>
      </c>
      <c r="F401" s="323">
        <f t="shared" si="24"/>
        <v>158196.76</v>
      </c>
      <c r="G401" s="338">
        <f t="shared" si="25"/>
        <v>175552.45</v>
      </c>
      <c r="H401" s="338">
        <f t="shared" si="26"/>
        <v>185750.27</v>
      </c>
    </row>
    <row r="402" spans="1:8" ht="13.2" customHeight="1" x14ac:dyDescent="0.25">
      <c r="A402" s="3">
        <v>19654</v>
      </c>
      <c r="B402" s="2" t="s">
        <v>396</v>
      </c>
      <c r="C402" s="30">
        <v>4.25</v>
      </c>
      <c r="D402" s="42">
        <v>3.73</v>
      </c>
      <c r="E402" s="29">
        <f t="shared" si="27"/>
        <v>164333.30500000002</v>
      </c>
      <c r="F402" s="323">
        <f t="shared" si="24"/>
        <v>158196.76</v>
      </c>
      <c r="G402" s="338">
        <f t="shared" si="25"/>
        <v>175552.45</v>
      </c>
      <c r="H402" s="338">
        <f t="shared" si="26"/>
        <v>185750.27</v>
      </c>
    </row>
    <row r="403" spans="1:8" ht="13.2" customHeight="1" x14ac:dyDescent="0.25">
      <c r="A403" s="3">
        <v>19658</v>
      </c>
      <c r="B403" s="2" t="s">
        <v>397</v>
      </c>
      <c r="C403" s="30">
        <v>4.25</v>
      </c>
      <c r="D403" s="42">
        <v>3.73</v>
      </c>
      <c r="E403" s="29">
        <f t="shared" si="27"/>
        <v>164333.30500000002</v>
      </c>
      <c r="F403" s="323">
        <f t="shared" si="24"/>
        <v>158196.76</v>
      </c>
      <c r="G403" s="338">
        <f t="shared" si="25"/>
        <v>175552.45</v>
      </c>
      <c r="H403" s="338">
        <f t="shared" si="26"/>
        <v>185750.27</v>
      </c>
    </row>
    <row r="404" spans="1:8" ht="13.2" customHeight="1" x14ac:dyDescent="0.25">
      <c r="A404" s="3">
        <v>19659</v>
      </c>
      <c r="B404" s="2" t="s">
        <v>398</v>
      </c>
      <c r="C404" s="30">
        <v>5.08</v>
      </c>
      <c r="D404" s="42">
        <v>4.46</v>
      </c>
      <c r="E404" s="29">
        <f t="shared" si="27"/>
        <v>196426.63280000002</v>
      </c>
      <c r="F404" s="323">
        <f t="shared" si="24"/>
        <v>189157.52</v>
      </c>
      <c r="G404" s="338">
        <f t="shared" si="25"/>
        <v>209909.9</v>
      </c>
      <c r="H404" s="338">
        <f t="shared" si="26"/>
        <v>222103.54</v>
      </c>
    </row>
    <row r="405" spans="1:8" ht="13.2" customHeight="1" x14ac:dyDescent="0.25">
      <c r="A405" s="3">
        <v>19660</v>
      </c>
      <c r="B405" s="2" t="s">
        <v>399</v>
      </c>
      <c r="C405" s="30">
        <v>0.34</v>
      </c>
      <c r="D405" s="42">
        <v>0.3</v>
      </c>
      <c r="E405" s="29">
        <f t="shared" si="27"/>
        <v>13146.664400000001</v>
      </c>
      <c r="F405" s="323">
        <f t="shared" si="24"/>
        <v>12723.6</v>
      </c>
      <c r="G405" s="338">
        <f t="shared" si="25"/>
        <v>14119.5</v>
      </c>
      <c r="H405" s="338">
        <f t="shared" si="26"/>
        <v>14939.699999999999</v>
      </c>
    </row>
    <row r="406" spans="1:8" ht="13.2" customHeight="1" x14ac:dyDescent="0.25">
      <c r="A406" s="3">
        <v>19664</v>
      </c>
      <c r="B406" s="2" t="s">
        <v>400</v>
      </c>
      <c r="C406" s="30">
        <v>2.71</v>
      </c>
      <c r="D406" s="42">
        <v>2.38</v>
      </c>
      <c r="E406" s="29">
        <f t="shared" si="27"/>
        <v>104786.64860000001</v>
      </c>
      <c r="F406" s="323">
        <f t="shared" si="24"/>
        <v>100940.56</v>
      </c>
      <c r="G406" s="338">
        <f t="shared" si="25"/>
        <v>112014.7</v>
      </c>
      <c r="H406" s="338">
        <f t="shared" si="26"/>
        <v>118521.62</v>
      </c>
    </row>
    <row r="407" spans="1:8" ht="13.2" customHeight="1" x14ac:dyDescent="0.25">
      <c r="A407" s="3">
        <v>19665</v>
      </c>
      <c r="B407" s="2" t="s">
        <v>401</v>
      </c>
      <c r="C407" s="30">
        <v>1.28</v>
      </c>
      <c r="D407" s="42">
        <v>1.1200000000000001</v>
      </c>
      <c r="E407" s="29">
        <f t="shared" si="27"/>
        <v>49493.324800000002</v>
      </c>
      <c r="F407" s="323">
        <f t="shared" si="24"/>
        <v>47501.440000000002</v>
      </c>
      <c r="G407" s="338">
        <f t="shared" si="25"/>
        <v>52712.800000000003</v>
      </c>
      <c r="H407" s="338">
        <f t="shared" si="26"/>
        <v>55774.880000000005</v>
      </c>
    </row>
    <row r="408" spans="1:8" ht="13.2" customHeight="1" x14ac:dyDescent="0.25">
      <c r="A408" s="3">
        <v>19666</v>
      </c>
      <c r="B408" s="2" t="s">
        <v>402</v>
      </c>
      <c r="C408" s="31">
        <v>2.9</v>
      </c>
      <c r="D408" s="42">
        <v>2.54</v>
      </c>
      <c r="E408" s="29">
        <f t="shared" si="27"/>
        <v>112133.31400000001</v>
      </c>
      <c r="F408" s="323">
        <f t="shared" si="24"/>
        <v>107726.48</v>
      </c>
      <c r="G408" s="338">
        <f t="shared" si="25"/>
        <v>119545.1</v>
      </c>
      <c r="H408" s="338">
        <f t="shared" si="26"/>
        <v>126489.46</v>
      </c>
    </row>
    <row r="409" spans="1:8" ht="13.2" customHeight="1" x14ac:dyDescent="0.25">
      <c r="A409" s="3">
        <v>19670</v>
      </c>
      <c r="B409" s="2" t="s">
        <v>403</v>
      </c>
      <c r="C409" s="30">
        <v>1.78</v>
      </c>
      <c r="D409" s="42">
        <v>1.56</v>
      </c>
      <c r="E409" s="29">
        <f t="shared" si="27"/>
        <v>68826.654800000004</v>
      </c>
      <c r="F409" s="323">
        <f t="shared" si="24"/>
        <v>66162.720000000001</v>
      </c>
      <c r="G409" s="338">
        <f t="shared" si="25"/>
        <v>73421.400000000009</v>
      </c>
      <c r="H409" s="338">
        <f t="shared" si="26"/>
        <v>77686.44</v>
      </c>
    </row>
    <row r="410" spans="1:8" ht="13.2" customHeight="1" x14ac:dyDescent="0.25">
      <c r="A410" s="3">
        <v>19671</v>
      </c>
      <c r="B410" s="2" t="s">
        <v>404</v>
      </c>
      <c r="C410" s="30">
        <v>1.02</v>
      </c>
      <c r="D410" s="42">
        <v>0.9</v>
      </c>
      <c r="E410" s="29">
        <f t="shared" si="27"/>
        <v>39439.993200000004</v>
      </c>
      <c r="F410" s="323">
        <f t="shared" si="24"/>
        <v>38170.800000000003</v>
      </c>
      <c r="G410" s="338">
        <f t="shared" si="25"/>
        <v>42358.5</v>
      </c>
      <c r="H410" s="338">
        <f t="shared" si="26"/>
        <v>44819.1</v>
      </c>
    </row>
    <row r="411" spans="1:8" ht="13.2" customHeight="1" x14ac:dyDescent="0.25">
      <c r="A411" s="3">
        <v>19672</v>
      </c>
      <c r="B411" s="2" t="s">
        <v>405</v>
      </c>
      <c r="C411" s="30">
        <v>2.12</v>
      </c>
      <c r="D411" s="42">
        <v>1.86</v>
      </c>
      <c r="E411" s="29">
        <f t="shared" si="27"/>
        <v>81973.319200000013</v>
      </c>
      <c r="F411" s="323">
        <f t="shared" si="24"/>
        <v>78886.320000000007</v>
      </c>
      <c r="G411" s="338">
        <f t="shared" si="25"/>
        <v>87540.900000000009</v>
      </c>
      <c r="H411" s="338">
        <f t="shared" si="26"/>
        <v>92626.14</v>
      </c>
    </row>
    <row r="412" spans="1:8" ht="13.2" customHeight="1" x14ac:dyDescent="0.25">
      <c r="A412" s="3">
        <v>19676</v>
      </c>
      <c r="B412" s="2" t="s">
        <v>406</v>
      </c>
      <c r="C412" s="30">
        <v>2.19</v>
      </c>
      <c r="D412" s="42">
        <v>1.92</v>
      </c>
      <c r="E412" s="29">
        <f t="shared" si="27"/>
        <v>84679.985400000005</v>
      </c>
      <c r="F412" s="323">
        <f t="shared" si="24"/>
        <v>81431.039999999994</v>
      </c>
      <c r="G412" s="338">
        <f t="shared" si="25"/>
        <v>90364.800000000003</v>
      </c>
      <c r="H412" s="338">
        <f t="shared" si="26"/>
        <v>95614.080000000002</v>
      </c>
    </row>
    <row r="413" spans="1:8" ht="13.2" customHeight="1" x14ac:dyDescent="0.25">
      <c r="A413" s="3">
        <v>19677</v>
      </c>
      <c r="B413" s="2" t="s">
        <v>407</v>
      </c>
      <c r="C413" s="30">
        <v>1.94</v>
      </c>
      <c r="D413" s="42">
        <v>1.7</v>
      </c>
      <c r="E413" s="29">
        <f t="shared" si="27"/>
        <v>75013.320400000011</v>
      </c>
      <c r="F413" s="323">
        <f t="shared" si="24"/>
        <v>72100.399999999994</v>
      </c>
      <c r="G413" s="338">
        <f t="shared" si="25"/>
        <v>80010.5</v>
      </c>
      <c r="H413" s="338">
        <f t="shared" si="26"/>
        <v>84658.3</v>
      </c>
    </row>
    <row r="414" spans="1:8" ht="13.2" customHeight="1" x14ac:dyDescent="0.25">
      <c r="A414" s="3">
        <v>19678</v>
      </c>
      <c r="B414" s="2" t="s">
        <v>408</v>
      </c>
      <c r="C414" s="30">
        <v>1.94</v>
      </c>
      <c r="D414" s="42">
        <v>1.7</v>
      </c>
      <c r="E414" s="29">
        <f t="shared" si="27"/>
        <v>75013.320400000011</v>
      </c>
      <c r="F414" s="323">
        <f t="shared" si="24"/>
        <v>72100.399999999994</v>
      </c>
      <c r="G414" s="338">
        <f t="shared" si="25"/>
        <v>80010.5</v>
      </c>
      <c r="H414" s="338">
        <f t="shared" si="26"/>
        <v>84658.3</v>
      </c>
    </row>
    <row r="415" spans="1:8" ht="13.2" customHeight="1" x14ac:dyDescent="0.25">
      <c r="A415" s="3">
        <v>19682</v>
      </c>
      <c r="B415" s="2" t="s">
        <v>409</v>
      </c>
      <c r="C415" s="30">
        <v>2.17</v>
      </c>
      <c r="D415" s="42">
        <v>1.9</v>
      </c>
      <c r="E415" s="29">
        <f t="shared" si="27"/>
        <v>83906.652200000011</v>
      </c>
      <c r="F415" s="323">
        <f t="shared" si="24"/>
        <v>80582.8</v>
      </c>
      <c r="G415" s="338">
        <f t="shared" si="25"/>
        <v>89423.5</v>
      </c>
      <c r="H415" s="338">
        <f t="shared" si="26"/>
        <v>94618.099999999991</v>
      </c>
    </row>
    <row r="416" spans="1:8" ht="13.2" customHeight="1" x14ac:dyDescent="0.25">
      <c r="A416" s="3">
        <v>19683</v>
      </c>
      <c r="B416" s="2" t="s">
        <v>410</v>
      </c>
      <c r="C416" s="30">
        <v>1.18</v>
      </c>
      <c r="D416" s="42">
        <v>1.03</v>
      </c>
      <c r="E416" s="29">
        <f t="shared" si="27"/>
        <v>45626.658800000005</v>
      </c>
      <c r="F416" s="323">
        <f t="shared" si="24"/>
        <v>43684.36</v>
      </c>
      <c r="G416" s="338">
        <f t="shared" si="25"/>
        <v>48476.950000000004</v>
      </c>
      <c r="H416" s="338">
        <f t="shared" si="26"/>
        <v>51292.97</v>
      </c>
    </row>
    <row r="417" spans="1:8" ht="13.2" customHeight="1" x14ac:dyDescent="0.25">
      <c r="A417" s="3">
        <v>19684</v>
      </c>
      <c r="B417" s="2" t="s">
        <v>411</v>
      </c>
      <c r="C417" s="30">
        <v>2.12</v>
      </c>
      <c r="D417" s="42">
        <v>1.86</v>
      </c>
      <c r="E417" s="29">
        <f t="shared" si="27"/>
        <v>81973.319200000013</v>
      </c>
      <c r="F417" s="323">
        <f t="shared" si="24"/>
        <v>78886.320000000007</v>
      </c>
      <c r="G417" s="338">
        <f t="shared" si="25"/>
        <v>87540.900000000009</v>
      </c>
      <c r="H417" s="338">
        <f t="shared" si="26"/>
        <v>92626.14</v>
      </c>
    </row>
    <row r="418" spans="1:8" ht="13.2" customHeight="1" x14ac:dyDescent="0.25">
      <c r="A418" s="3">
        <v>19685</v>
      </c>
      <c r="B418" s="2" t="s">
        <v>412</v>
      </c>
      <c r="C418" s="30">
        <v>5.64</v>
      </c>
      <c r="D418" s="42">
        <v>4.95</v>
      </c>
      <c r="E418" s="29">
        <f t="shared" si="27"/>
        <v>218079.96240000002</v>
      </c>
      <c r="F418" s="323">
        <f t="shared" si="24"/>
        <v>209939.4</v>
      </c>
      <c r="G418" s="338">
        <f t="shared" si="25"/>
        <v>232971.75</v>
      </c>
      <c r="H418" s="338">
        <f t="shared" si="26"/>
        <v>246505.05000000002</v>
      </c>
    </row>
    <row r="419" spans="1:8" ht="13.2" customHeight="1" x14ac:dyDescent="0.25">
      <c r="A419" s="3">
        <v>19688</v>
      </c>
      <c r="B419" s="2" t="s">
        <v>413</v>
      </c>
      <c r="C419" s="30">
        <v>1.49</v>
      </c>
      <c r="D419" s="42">
        <v>1.31</v>
      </c>
      <c r="E419" s="29">
        <f t="shared" si="27"/>
        <v>57613.323400000008</v>
      </c>
      <c r="F419" s="323">
        <f t="shared" si="24"/>
        <v>55559.72</v>
      </c>
      <c r="G419" s="338">
        <f t="shared" si="25"/>
        <v>61655.15</v>
      </c>
      <c r="H419" s="338">
        <f t="shared" si="26"/>
        <v>65236.69</v>
      </c>
    </row>
    <row r="420" spans="1:8" ht="13.2" customHeight="1" x14ac:dyDescent="0.25">
      <c r="A420" s="3">
        <v>19689</v>
      </c>
      <c r="B420" s="2" t="s">
        <v>414</v>
      </c>
      <c r="C420" s="30">
        <v>0.83</v>
      </c>
      <c r="D420" s="42">
        <v>0.73</v>
      </c>
      <c r="E420" s="29">
        <f t="shared" si="27"/>
        <v>32093.327800000003</v>
      </c>
      <c r="F420" s="323">
        <f t="shared" si="24"/>
        <v>30960.76</v>
      </c>
      <c r="G420" s="338">
        <f t="shared" si="25"/>
        <v>34357.449999999997</v>
      </c>
      <c r="H420" s="338">
        <f t="shared" si="26"/>
        <v>36353.269999999997</v>
      </c>
    </row>
    <row r="421" spans="1:8" ht="13.2" customHeight="1" x14ac:dyDescent="0.25">
      <c r="A421" s="3">
        <v>19690</v>
      </c>
      <c r="B421" s="2" t="s">
        <v>415</v>
      </c>
      <c r="C421" s="30">
        <v>1.72</v>
      </c>
      <c r="D421" s="42">
        <v>1.51</v>
      </c>
      <c r="E421" s="29">
        <f t="shared" si="27"/>
        <v>66506.655200000008</v>
      </c>
      <c r="F421" s="323">
        <f t="shared" si="24"/>
        <v>64042.12</v>
      </c>
      <c r="G421" s="338">
        <f t="shared" si="25"/>
        <v>71068.149999999994</v>
      </c>
      <c r="H421" s="338">
        <f t="shared" si="26"/>
        <v>75196.490000000005</v>
      </c>
    </row>
    <row r="422" spans="1:8" ht="13.2" customHeight="1" x14ac:dyDescent="0.25">
      <c r="A422" s="3">
        <v>19694</v>
      </c>
      <c r="B422" s="2" t="s">
        <v>416</v>
      </c>
      <c r="C422" s="30">
        <v>3.49</v>
      </c>
      <c r="D422" s="42">
        <v>3.06</v>
      </c>
      <c r="E422" s="29">
        <f t="shared" si="27"/>
        <v>134946.64340000003</v>
      </c>
      <c r="F422" s="323">
        <f t="shared" si="24"/>
        <v>129780.72</v>
      </c>
      <c r="G422" s="338">
        <f t="shared" si="25"/>
        <v>144018.9</v>
      </c>
      <c r="H422" s="338">
        <f t="shared" si="26"/>
        <v>152384.94</v>
      </c>
    </row>
    <row r="423" spans="1:8" ht="13.2" customHeight="1" x14ac:dyDescent="0.25">
      <c r="A423" s="3">
        <v>19698</v>
      </c>
      <c r="B423" s="2" t="s">
        <v>417</v>
      </c>
      <c r="C423" s="30">
        <v>0.77</v>
      </c>
      <c r="D423" s="42">
        <v>0.68</v>
      </c>
      <c r="E423" s="29">
        <f t="shared" si="27"/>
        <v>29773.328200000004</v>
      </c>
      <c r="F423" s="323">
        <f t="shared" si="24"/>
        <v>28840.160000000003</v>
      </c>
      <c r="G423" s="338">
        <f t="shared" si="25"/>
        <v>32004.2</v>
      </c>
      <c r="H423" s="338">
        <f t="shared" si="26"/>
        <v>33863.32</v>
      </c>
    </row>
    <row r="424" spans="1:8" ht="13.2" customHeight="1" x14ac:dyDescent="0.25">
      <c r="A424" s="3">
        <v>19699</v>
      </c>
      <c r="B424" s="2" t="s">
        <v>418</v>
      </c>
      <c r="C424" s="30">
        <v>3.44</v>
      </c>
      <c r="D424" s="42">
        <v>3.02</v>
      </c>
      <c r="E424" s="29">
        <f t="shared" si="27"/>
        <v>133013.31040000002</v>
      </c>
      <c r="F424" s="323">
        <f t="shared" si="24"/>
        <v>128084.24</v>
      </c>
      <c r="G424" s="338">
        <f t="shared" si="25"/>
        <v>142136.29999999999</v>
      </c>
      <c r="H424" s="338">
        <f t="shared" si="26"/>
        <v>150392.98000000001</v>
      </c>
    </row>
    <row r="425" spans="1:8" ht="13.2" customHeight="1" x14ac:dyDescent="0.25">
      <c r="A425" s="3">
        <v>19700</v>
      </c>
      <c r="B425" s="2" t="s">
        <v>419</v>
      </c>
      <c r="C425" s="30">
        <v>4.74</v>
      </c>
      <c r="D425" s="42">
        <v>4.16</v>
      </c>
      <c r="E425" s="29">
        <f t="shared" si="27"/>
        <v>183279.96840000001</v>
      </c>
      <c r="F425" s="323">
        <f t="shared" si="24"/>
        <v>176433.92000000001</v>
      </c>
      <c r="G425" s="338">
        <f t="shared" si="25"/>
        <v>195790.4</v>
      </c>
      <c r="H425" s="338">
        <f t="shared" si="26"/>
        <v>207163.84</v>
      </c>
    </row>
    <row r="426" spans="1:8" ht="13.2" customHeight="1" x14ac:dyDescent="0.25">
      <c r="A426" s="3">
        <v>19701</v>
      </c>
      <c r="B426" s="2" t="s">
        <v>420</v>
      </c>
      <c r="C426" s="31">
        <v>1.6</v>
      </c>
      <c r="D426" s="42">
        <v>1.4</v>
      </c>
      <c r="E426" s="29">
        <f t="shared" si="27"/>
        <v>61866.65600000001</v>
      </c>
      <c r="F426" s="323">
        <f t="shared" si="24"/>
        <v>59376.799999999996</v>
      </c>
      <c r="G426" s="338">
        <f t="shared" si="25"/>
        <v>65891</v>
      </c>
      <c r="H426" s="338">
        <f t="shared" si="26"/>
        <v>69718.599999999991</v>
      </c>
    </row>
    <row r="427" spans="1:8" ht="13.2" customHeight="1" x14ac:dyDescent="0.25">
      <c r="A427" s="3">
        <v>19705</v>
      </c>
      <c r="B427" s="2" t="s">
        <v>421</v>
      </c>
      <c r="C427" s="30">
        <v>2.87</v>
      </c>
      <c r="D427" s="42">
        <v>2.52</v>
      </c>
      <c r="E427" s="29">
        <f t="shared" si="27"/>
        <v>110973.31420000001</v>
      </c>
      <c r="F427" s="323">
        <f t="shared" si="24"/>
        <v>106878.24</v>
      </c>
      <c r="G427" s="338">
        <f t="shared" si="25"/>
        <v>118603.8</v>
      </c>
      <c r="H427" s="338">
        <f t="shared" si="26"/>
        <v>125493.48</v>
      </c>
    </row>
    <row r="428" spans="1:8" ht="13.2" customHeight="1" x14ac:dyDescent="0.25">
      <c r="A428" s="3">
        <v>19706</v>
      </c>
      <c r="B428" s="2" t="s">
        <v>422</v>
      </c>
      <c r="C428" s="30">
        <v>2.5299999999999998</v>
      </c>
      <c r="D428" s="42">
        <v>2.2200000000000002</v>
      </c>
      <c r="E428" s="29">
        <f t="shared" si="27"/>
        <v>97826.649799999999</v>
      </c>
      <c r="F428" s="323">
        <f t="shared" si="24"/>
        <v>94154.640000000014</v>
      </c>
      <c r="G428" s="338">
        <f t="shared" si="25"/>
        <v>104484.3</v>
      </c>
      <c r="H428" s="338">
        <f t="shared" si="26"/>
        <v>110553.78000000001</v>
      </c>
    </row>
    <row r="429" spans="1:8" ht="13.2" customHeight="1" x14ac:dyDescent="0.25">
      <c r="A429" s="3">
        <v>19707</v>
      </c>
      <c r="B429" s="2" t="s">
        <v>423</v>
      </c>
      <c r="C429" s="30">
        <v>2.5299999999999998</v>
      </c>
      <c r="D429" s="42">
        <v>2.2200000000000002</v>
      </c>
      <c r="E429" s="29">
        <f t="shared" si="27"/>
        <v>97826.649799999999</v>
      </c>
      <c r="F429" s="323">
        <f t="shared" si="24"/>
        <v>94154.640000000014</v>
      </c>
      <c r="G429" s="338">
        <f t="shared" si="25"/>
        <v>104484.3</v>
      </c>
      <c r="H429" s="338">
        <f t="shared" si="26"/>
        <v>110553.78000000001</v>
      </c>
    </row>
    <row r="430" spans="1:8" ht="13.2" customHeight="1" x14ac:dyDescent="0.25">
      <c r="A430" s="3">
        <v>19712</v>
      </c>
      <c r="B430" s="2" t="s">
        <v>424</v>
      </c>
      <c r="C430" s="30">
        <v>2.87</v>
      </c>
      <c r="D430" s="42">
        <v>2.52</v>
      </c>
      <c r="E430" s="29">
        <f t="shared" si="27"/>
        <v>110973.31420000001</v>
      </c>
      <c r="F430" s="323">
        <f t="shared" si="24"/>
        <v>106878.24</v>
      </c>
      <c r="G430" s="338">
        <f t="shared" si="25"/>
        <v>118603.8</v>
      </c>
      <c r="H430" s="338">
        <f t="shared" si="26"/>
        <v>125493.48</v>
      </c>
    </row>
    <row r="431" spans="1:8" ht="13.2" customHeight="1" x14ac:dyDescent="0.25">
      <c r="A431" s="3">
        <v>19713</v>
      </c>
      <c r="B431" s="2" t="s">
        <v>425</v>
      </c>
      <c r="C431" s="30">
        <v>1.58</v>
      </c>
      <c r="D431" s="42">
        <v>1.39</v>
      </c>
      <c r="E431" s="29">
        <f t="shared" si="27"/>
        <v>61093.322800000009</v>
      </c>
      <c r="F431" s="323">
        <f t="shared" si="24"/>
        <v>58952.679999999993</v>
      </c>
      <c r="G431" s="338">
        <f t="shared" si="25"/>
        <v>65420.35</v>
      </c>
      <c r="H431" s="338">
        <f t="shared" si="26"/>
        <v>69220.61</v>
      </c>
    </row>
    <row r="432" spans="1:8" ht="13.2" customHeight="1" x14ac:dyDescent="0.25">
      <c r="A432" s="3">
        <v>19714</v>
      </c>
      <c r="B432" s="2" t="s">
        <v>426</v>
      </c>
      <c r="C432" s="30">
        <v>1.07</v>
      </c>
      <c r="D432" s="42">
        <v>0.94</v>
      </c>
      <c r="E432" s="29">
        <f t="shared" si="27"/>
        <v>41373.326200000003</v>
      </c>
      <c r="F432" s="323">
        <f t="shared" si="24"/>
        <v>39867.279999999999</v>
      </c>
      <c r="G432" s="338">
        <f t="shared" si="25"/>
        <v>44241.1</v>
      </c>
      <c r="H432" s="338">
        <f t="shared" si="26"/>
        <v>46811.06</v>
      </c>
    </row>
    <row r="433" spans="1:8" ht="13.2" customHeight="1" x14ac:dyDescent="0.25">
      <c r="A433" s="3">
        <v>19718</v>
      </c>
      <c r="B433" s="2" t="s">
        <v>427</v>
      </c>
      <c r="C433" s="30">
        <v>1.32</v>
      </c>
      <c r="D433" s="42">
        <v>1.1599999999999999</v>
      </c>
      <c r="E433" s="29">
        <f t="shared" si="27"/>
        <v>51039.991200000004</v>
      </c>
      <c r="F433" s="323">
        <f t="shared" si="24"/>
        <v>49197.919999999998</v>
      </c>
      <c r="G433" s="338">
        <f t="shared" si="25"/>
        <v>54595.399999999994</v>
      </c>
      <c r="H433" s="338">
        <f t="shared" si="26"/>
        <v>57766.84</v>
      </c>
    </row>
    <row r="434" spans="1:8" ht="13.2" customHeight="1" x14ac:dyDescent="0.25">
      <c r="A434" s="3">
        <v>19719</v>
      </c>
      <c r="B434" s="2" t="s">
        <v>428</v>
      </c>
      <c r="C434" s="31">
        <v>0.5</v>
      </c>
      <c r="D434" s="42">
        <v>0.44</v>
      </c>
      <c r="E434" s="29">
        <f t="shared" si="27"/>
        <v>19333.330000000002</v>
      </c>
      <c r="F434" s="323">
        <f t="shared" si="24"/>
        <v>18661.28</v>
      </c>
      <c r="G434" s="338">
        <f t="shared" si="25"/>
        <v>20708.599999999999</v>
      </c>
      <c r="H434" s="338">
        <f t="shared" si="26"/>
        <v>21911.56</v>
      </c>
    </row>
    <row r="435" spans="1:8" ht="13.2" customHeight="1" x14ac:dyDescent="0.25">
      <c r="A435" s="3">
        <v>19720</v>
      </c>
      <c r="B435" s="2" t="s">
        <v>429</v>
      </c>
      <c r="C435" s="30">
        <v>2.0299999999999998</v>
      </c>
      <c r="D435" s="42">
        <v>1.78</v>
      </c>
      <c r="E435" s="29">
        <f t="shared" si="27"/>
        <v>78493.319799999997</v>
      </c>
      <c r="F435" s="323">
        <f t="shared" si="24"/>
        <v>75493.36</v>
      </c>
      <c r="G435" s="338">
        <f t="shared" si="25"/>
        <v>83775.7</v>
      </c>
      <c r="H435" s="338">
        <f t="shared" si="26"/>
        <v>88642.22</v>
      </c>
    </row>
    <row r="436" spans="1:8" ht="13.2" customHeight="1" x14ac:dyDescent="0.25">
      <c r="A436" s="3">
        <v>19721</v>
      </c>
      <c r="B436" s="2" t="s">
        <v>430</v>
      </c>
      <c r="C436" s="30">
        <v>1.44</v>
      </c>
      <c r="D436" s="42">
        <v>1.26</v>
      </c>
      <c r="E436" s="29">
        <f t="shared" si="27"/>
        <v>55679.990400000002</v>
      </c>
      <c r="F436" s="323">
        <f t="shared" si="24"/>
        <v>53439.12</v>
      </c>
      <c r="G436" s="338">
        <f t="shared" si="25"/>
        <v>59301.9</v>
      </c>
      <c r="H436" s="338">
        <f t="shared" si="26"/>
        <v>62746.74</v>
      </c>
    </row>
    <row r="437" spans="1:8" ht="13.2" customHeight="1" x14ac:dyDescent="0.25">
      <c r="A437" s="3">
        <v>19722</v>
      </c>
      <c r="B437" s="2" t="s">
        <v>431</v>
      </c>
      <c r="C437" s="30">
        <v>1.52</v>
      </c>
      <c r="D437" s="42">
        <v>1.33</v>
      </c>
      <c r="E437" s="29">
        <f t="shared" si="27"/>
        <v>58773.323200000006</v>
      </c>
      <c r="F437" s="323">
        <f t="shared" si="24"/>
        <v>56407.960000000006</v>
      </c>
      <c r="G437" s="338">
        <f t="shared" si="25"/>
        <v>62596.450000000004</v>
      </c>
      <c r="H437" s="338">
        <f t="shared" si="26"/>
        <v>66232.67</v>
      </c>
    </row>
    <row r="438" spans="1:8" ht="13.2" customHeight="1" x14ac:dyDescent="0.25">
      <c r="A438" s="3">
        <v>19723</v>
      </c>
      <c r="B438" s="2" t="s">
        <v>432</v>
      </c>
      <c r="C438" s="30">
        <v>2.77</v>
      </c>
      <c r="D438" s="42">
        <v>2.4300000000000002</v>
      </c>
      <c r="E438" s="29">
        <f t="shared" si="27"/>
        <v>107106.64820000001</v>
      </c>
      <c r="F438" s="323">
        <f t="shared" si="24"/>
        <v>103061.16</v>
      </c>
      <c r="G438" s="338">
        <f t="shared" si="25"/>
        <v>114367.95000000001</v>
      </c>
      <c r="H438" s="338">
        <f t="shared" si="26"/>
        <v>121011.57</v>
      </c>
    </row>
    <row r="439" spans="1:8" ht="13.2" customHeight="1" x14ac:dyDescent="0.25">
      <c r="A439" s="3">
        <v>19725</v>
      </c>
      <c r="B439" s="2" t="s">
        <v>433</v>
      </c>
      <c r="C439" s="30">
        <v>1.69</v>
      </c>
      <c r="D439" s="42">
        <v>1.48</v>
      </c>
      <c r="E439" s="29">
        <f t="shared" si="27"/>
        <v>65346.655400000003</v>
      </c>
      <c r="F439" s="323">
        <f t="shared" si="24"/>
        <v>62769.760000000002</v>
      </c>
      <c r="G439" s="338">
        <f t="shared" si="25"/>
        <v>69656.2</v>
      </c>
      <c r="H439" s="338">
        <f t="shared" si="26"/>
        <v>73702.52</v>
      </c>
    </row>
    <row r="440" spans="1:8" ht="13.2" customHeight="1" x14ac:dyDescent="0.25">
      <c r="A440" s="3">
        <v>19726</v>
      </c>
      <c r="B440" s="2" t="s">
        <v>434</v>
      </c>
      <c r="C440" s="30">
        <v>1.08</v>
      </c>
      <c r="D440" s="42">
        <v>0.95</v>
      </c>
      <c r="E440" s="29">
        <f t="shared" si="27"/>
        <v>41759.992800000007</v>
      </c>
      <c r="F440" s="323">
        <f t="shared" si="24"/>
        <v>40291.4</v>
      </c>
      <c r="G440" s="338">
        <f t="shared" si="25"/>
        <v>44711.75</v>
      </c>
      <c r="H440" s="338">
        <f t="shared" si="26"/>
        <v>47309.049999999996</v>
      </c>
    </row>
    <row r="441" spans="1:8" ht="13.2" customHeight="1" x14ac:dyDescent="0.25">
      <c r="A441" s="3">
        <v>19727</v>
      </c>
      <c r="B441" s="2" t="s">
        <v>435</v>
      </c>
      <c r="C441" s="30">
        <v>1.04</v>
      </c>
      <c r="D441" s="42">
        <v>0.91</v>
      </c>
      <c r="E441" s="29">
        <f t="shared" si="27"/>
        <v>40213.326400000005</v>
      </c>
      <c r="F441" s="323">
        <f t="shared" si="24"/>
        <v>38594.92</v>
      </c>
      <c r="G441" s="338">
        <f t="shared" si="25"/>
        <v>42829.15</v>
      </c>
      <c r="H441" s="338">
        <f t="shared" si="26"/>
        <v>45317.090000000004</v>
      </c>
    </row>
    <row r="442" spans="1:8" ht="13.2" customHeight="1" x14ac:dyDescent="0.25">
      <c r="A442" s="3">
        <v>19728</v>
      </c>
      <c r="B442" s="2" t="s">
        <v>436</v>
      </c>
      <c r="C442" s="30">
        <v>2.81</v>
      </c>
      <c r="D442" s="42">
        <v>2.46</v>
      </c>
      <c r="E442" s="29">
        <f t="shared" si="27"/>
        <v>108653.31460000001</v>
      </c>
      <c r="F442" s="323">
        <f t="shared" si="24"/>
        <v>104333.52</v>
      </c>
      <c r="G442" s="338">
        <f t="shared" si="25"/>
        <v>115779.9</v>
      </c>
      <c r="H442" s="338">
        <f t="shared" si="26"/>
        <v>122505.54</v>
      </c>
    </row>
    <row r="443" spans="1:8" ht="13.2" customHeight="1" x14ac:dyDescent="0.25">
      <c r="A443" s="3">
        <v>19729</v>
      </c>
      <c r="B443" s="2" t="s">
        <v>437</v>
      </c>
      <c r="C443" s="30">
        <v>0.87</v>
      </c>
      <c r="D443" s="42">
        <v>0.76</v>
      </c>
      <c r="E443" s="29">
        <f t="shared" si="27"/>
        <v>33639.994200000001</v>
      </c>
      <c r="F443" s="323">
        <f t="shared" si="24"/>
        <v>32233.119999999999</v>
      </c>
      <c r="G443" s="338">
        <f t="shared" si="25"/>
        <v>35769.4</v>
      </c>
      <c r="H443" s="338">
        <f t="shared" si="26"/>
        <v>37847.24</v>
      </c>
    </row>
    <row r="444" spans="1:8" ht="13.2" customHeight="1" x14ac:dyDescent="0.25">
      <c r="A444" s="3">
        <v>19731</v>
      </c>
      <c r="B444" s="2" t="s">
        <v>438</v>
      </c>
      <c r="C444" s="31">
        <v>0.3</v>
      </c>
      <c r="D444" s="42">
        <v>0.26</v>
      </c>
      <c r="E444" s="29">
        <f t="shared" si="27"/>
        <v>11599.998000000001</v>
      </c>
      <c r="F444" s="323">
        <f t="shared" si="24"/>
        <v>11027.12</v>
      </c>
      <c r="G444" s="338">
        <f t="shared" si="25"/>
        <v>12236.9</v>
      </c>
      <c r="H444" s="338">
        <f t="shared" si="26"/>
        <v>12947.74</v>
      </c>
    </row>
    <row r="445" spans="1:8" ht="13.2" customHeight="1" x14ac:dyDescent="0.25">
      <c r="A445" s="3">
        <v>19732</v>
      </c>
      <c r="B445" s="2" t="s">
        <v>439</v>
      </c>
      <c r="C445" s="30">
        <v>2.56</v>
      </c>
      <c r="D445" s="42">
        <v>2.25</v>
      </c>
      <c r="E445" s="29">
        <f t="shared" si="27"/>
        <v>98986.649600000004</v>
      </c>
      <c r="F445" s="323">
        <f t="shared" si="24"/>
        <v>95427</v>
      </c>
      <c r="G445" s="338">
        <f t="shared" si="25"/>
        <v>105896.25</v>
      </c>
      <c r="H445" s="338">
        <f t="shared" si="26"/>
        <v>112047.75</v>
      </c>
    </row>
    <row r="446" spans="1:8" ht="13.2" customHeight="1" x14ac:dyDescent="0.25">
      <c r="A446" s="3">
        <v>19733</v>
      </c>
      <c r="B446" s="2" t="s">
        <v>440</v>
      </c>
      <c r="C446" s="30">
        <v>2.75</v>
      </c>
      <c r="D446" s="42">
        <v>2.41</v>
      </c>
      <c r="E446" s="29">
        <f t="shared" si="27"/>
        <v>106333.315</v>
      </c>
      <c r="F446" s="323">
        <f t="shared" si="24"/>
        <v>102212.92000000001</v>
      </c>
      <c r="G446" s="338">
        <f t="shared" si="25"/>
        <v>113426.65000000001</v>
      </c>
      <c r="H446" s="338">
        <f t="shared" si="26"/>
        <v>120015.59000000001</v>
      </c>
    </row>
    <row r="447" spans="1:8" ht="13.2" customHeight="1" x14ac:dyDescent="0.25">
      <c r="A447" s="3">
        <v>19734</v>
      </c>
      <c r="B447" s="2" t="s">
        <v>441</v>
      </c>
      <c r="C447" s="30">
        <v>3.38</v>
      </c>
      <c r="D447" s="42">
        <v>2.96</v>
      </c>
      <c r="E447" s="29">
        <f t="shared" si="27"/>
        <v>130693.31080000001</v>
      </c>
      <c r="F447" s="323">
        <f t="shared" si="24"/>
        <v>125539.52</v>
      </c>
      <c r="G447" s="338">
        <f t="shared" si="25"/>
        <v>139312.4</v>
      </c>
      <c r="H447" s="338">
        <f t="shared" si="26"/>
        <v>147405.04</v>
      </c>
    </row>
    <row r="448" spans="1:8" ht="13.2" customHeight="1" x14ac:dyDescent="0.25">
      <c r="A448" s="3">
        <v>19736</v>
      </c>
      <c r="B448" s="2" t="s">
        <v>442</v>
      </c>
      <c r="C448" s="30">
        <v>6.62</v>
      </c>
      <c r="D448" s="42">
        <v>5.81</v>
      </c>
      <c r="E448" s="29">
        <f t="shared" si="27"/>
        <v>255973.28920000003</v>
      </c>
      <c r="F448" s="323">
        <f t="shared" si="24"/>
        <v>246413.71999999997</v>
      </c>
      <c r="G448" s="338">
        <f t="shared" si="25"/>
        <v>273447.64999999997</v>
      </c>
      <c r="H448" s="338">
        <f t="shared" si="26"/>
        <v>289332.19</v>
      </c>
    </row>
    <row r="449" spans="1:8" ht="13.2" customHeight="1" x14ac:dyDescent="0.25">
      <c r="A449" s="3">
        <v>19737</v>
      </c>
      <c r="B449" s="2" t="s">
        <v>443</v>
      </c>
      <c r="C449" s="30">
        <v>1.1499999999999999</v>
      </c>
      <c r="D449" s="42">
        <v>1.01</v>
      </c>
      <c r="E449" s="29">
        <f t="shared" si="27"/>
        <v>44466.659</v>
      </c>
      <c r="F449" s="323">
        <f t="shared" si="24"/>
        <v>42836.12</v>
      </c>
      <c r="G449" s="338">
        <f t="shared" si="25"/>
        <v>47535.65</v>
      </c>
      <c r="H449" s="338">
        <f t="shared" si="26"/>
        <v>50296.99</v>
      </c>
    </row>
    <row r="450" spans="1:8" ht="13.2" customHeight="1" x14ac:dyDescent="0.25">
      <c r="A450" s="3">
        <v>19742</v>
      </c>
      <c r="B450" s="2" t="s">
        <v>444</v>
      </c>
      <c r="C450" s="30">
        <v>1.04</v>
      </c>
      <c r="D450" s="42">
        <v>0.91</v>
      </c>
      <c r="E450" s="29">
        <f t="shared" si="27"/>
        <v>40213.326400000005</v>
      </c>
      <c r="F450" s="323">
        <f t="shared" si="24"/>
        <v>38594.92</v>
      </c>
      <c r="G450" s="338">
        <f t="shared" si="25"/>
        <v>42829.15</v>
      </c>
      <c r="H450" s="338">
        <f t="shared" si="26"/>
        <v>45317.090000000004</v>
      </c>
    </row>
    <row r="451" spans="1:8" ht="13.2" customHeight="1" x14ac:dyDescent="0.25">
      <c r="A451" s="3">
        <v>19743</v>
      </c>
      <c r="B451" s="2" t="s">
        <v>445</v>
      </c>
      <c r="C451" s="30">
        <v>2.0299999999999998</v>
      </c>
      <c r="D451" s="42">
        <v>1.78</v>
      </c>
      <c r="E451" s="29">
        <f t="shared" si="27"/>
        <v>78493.319799999997</v>
      </c>
      <c r="F451" s="323">
        <f t="shared" si="24"/>
        <v>75493.36</v>
      </c>
      <c r="G451" s="338">
        <f t="shared" si="25"/>
        <v>83775.7</v>
      </c>
      <c r="H451" s="338">
        <f t="shared" si="26"/>
        <v>88642.22</v>
      </c>
    </row>
    <row r="452" spans="1:8" ht="13.2" customHeight="1" x14ac:dyDescent="0.25">
      <c r="A452" s="3">
        <v>19744</v>
      </c>
      <c r="B452" s="2" t="s">
        <v>446</v>
      </c>
      <c r="C452" s="30">
        <v>1.69</v>
      </c>
      <c r="D452" s="42">
        <v>1.48</v>
      </c>
      <c r="E452" s="29">
        <f t="shared" si="27"/>
        <v>65346.655400000003</v>
      </c>
      <c r="F452" s="323">
        <f t="shared" si="24"/>
        <v>62769.760000000002</v>
      </c>
      <c r="G452" s="338">
        <f t="shared" si="25"/>
        <v>69656.2</v>
      </c>
      <c r="H452" s="338">
        <f t="shared" si="26"/>
        <v>73702.52</v>
      </c>
    </row>
    <row r="453" spans="1:8" ht="13.2" customHeight="1" x14ac:dyDescent="0.25">
      <c r="A453" s="3">
        <v>19748</v>
      </c>
      <c r="B453" s="2" t="s">
        <v>447</v>
      </c>
      <c r="C453" s="30">
        <v>1.85</v>
      </c>
      <c r="D453" s="42">
        <v>1.62</v>
      </c>
      <c r="E453" s="29">
        <f t="shared" si="27"/>
        <v>71533.321000000011</v>
      </c>
      <c r="F453" s="323">
        <f t="shared" si="24"/>
        <v>68707.44</v>
      </c>
      <c r="G453" s="338">
        <f t="shared" si="25"/>
        <v>76245.3</v>
      </c>
      <c r="H453" s="338">
        <f t="shared" si="26"/>
        <v>80674.38</v>
      </c>
    </row>
    <row r="454" spans="1:8" ht="13.2" customHeight="1" x14ac:dyDescent="0.25">
      <c r="A454" s="3">
        <v>19749</v>
      </c>
      <c r="B454" s="2" t="s">
        <v>448</v>
      </c>
      <c r="C454" s="31">
        <v>0.4</v>
      </c>
      <c r="D454" s="42">
        <v>0.35</v>
      </c>
      <c r="E454" s="29">
        <f t="shared" si="27"/>
        <v>15466.664000000002</v>
      </c>
      <c r="F454" s="323">
        <f t="shared" ref="F454:F517" si="28">+$D454*$F$2</f>
        <v>14844.199999999999</v>
      </c>
      <c r="G454" s="338">
        <f t="shared" ref="G454:G517" si="29">+$D454*$G$2</f>
        <v>16472.75</v>
      </c>
      <c r="H454" s="338">
        <f t="shared" ref="H454:H517" si="30">+$D454*$H$2</f>
        <v>17429.649999999998</v>
      </c>
    </row>
    <row r="455" spans="1:8" ht="13.2" customHeight="1" x14ac:dyDescent="0.25">
      <c r="A455" s="3">
        <v>19750</v>
      </c>
      <c r="B455" s="2" t="s">
        <v>449</v>
      </c>
      <c r="C455" s="30">
        <v>0.61</v>
      </c>
      <c r="D455" s="42">
        <v>0.54</v>
      </c>
      <c r="E455" s="29">
        <f t="shared" ref="E455:E518" si="31">+$C455*$E$2</f>
        <v>23586.662600000003</v>
      </c>
      <c r="F455" s="323">
        <f t="shared" si="28"/>
        <v>22902.480000000003</v>
      </c>
      <c r="G455" s="338">
        <f t="shared" si="29"/>
        <v>25415.100000000002</v>
      </c>
      <c r="H455" s="338">
        <f t="shared" si="30"/>
        <v>26891.460000000003</v>
      </c>
    </row>
    <row r="456" spans="1:8" ht="13.2" customHeight="1" x14ac:dyDescent="0.25">
      <c r="A456" s="3">
        <v>19751</v>
      </c>
      <c r="B456" s="2" t="s">
        <v>450</v>
      </c>
      <c r="C456" s="30">
        <v>0.61</v>
      </c>
      <c r="D456" s="42">
        <v>0.54</v>
      </c>
      <c r="E456" s="29">
        <f t="shared" si="31"/>
        <v>23586.662600000003</v>
      </c>
      <c r="F456" s="323">
        <f t="shared" si="28"/>
        <v>22902.480000000003</v>
      </c>
      <c r="G456" s="338">
        <f t="shared" si="29"/>
        <v>25415.100000000002</v>
      </c>
      <c r="H456" s="338">
        <f t="shared" si="30"/>
        <v>26891.460000000003</v>
      </c>
    </row>
    <row r="457" spans="1:8" ht="13.2" customHeight="1" x14ac:dyDescent="0.25">
      <c r="A457" s="3">
        <v>19752</v>
      </c>
      <c r="B457" s="2" t="s">
        <v>451</v>
      </c>
      <c r="C457" s="30">
        <v>1.85</v>
      </c>
      <c r="D457" s="42">
        <v>1.62</v>
      </c>
      <c r="E457" s="29">
        <f t="shared" si="31"/>
        <v>71533.321000000011</v>
      </c>
      <c r="F457" s="323">
        <f t="shared" si="28"/>
        <v>68707.44</v>
      </c>
      <c r="G457" s="338">
        <f t="shared" si="29"/>
        <v>76245.3</v>
      </c>
      <c r="H457" s="338">
        <f t="shared" si="30"/>
        <v>80674.38</v>
      </c>
    </row>
    <row r="458" spans="1:8" ht="13.2" customHeight="1" x14ac:dyDescent="0.25">
      <c r="A458" s="3">
        <v>19753</v>
      </c>
      <c r="B458" s="2" t="s">
        <v>452</v>
      </c>
      <c r="C458" s="30">
        <v>2.74</v>
      </c>
      <c r="D458" s="42">
        <v>2.4</v>
      </c>
      <c r="E458" s="29">
        <f t="shared" si="31"/>
        <v>105946.64840000002</v>
      </c>
      <c r="F458" s="323">
        <f t="shared" si="28"/>
        <v>101788.8</v>
      </c>
      <c r="G458" s="338">
        <f t="shared" si="29"/>
        <v>112956</v>
      </c>
      <c r="H458" s="338">
        <f t="shared" si="30"/>
        <v>119517.59999999999</v>
      </c>
    </row>
    <row r="459" spans="1:8" ht="13.2" customHeight="1" x14ac:dyDescent="0.25">
      <c r="A459" s="3">
        <v>19755</v>
      </c>
      <c r="B459" s="2" t="s">
        <v>453</v>
      </c>
      <c r="C459" s="30">
        <v>1.94</v>
      </c>
      <c r="D459" s="42">
        <v>1.7</v>
      </c>
      <c r="E459" s="29">
        <f t="shared" si="31"/>
        <v>75013.320400000011</v>
      </c>
      <c r="F459" s="323">
        <f t="shared" si="28"/>
        <v>72100.399999999994</v>
      </c>
      <c r="G459" s="338">
        <f t="shared" si="29"/>
        <v>80010.5</v>
      </c>
      <c r="H459" s="338">
        <f t="shared" si="30"/>
        <v>84658.3</v>
      </c>
    </row>
    <row r="460" spans="1:8" ht="13.2" customHeight="1" x14ac:dyDescent="0.25">
      <c r="A460" s="3">
        <v>19756</v>
      </c>
      <c r="B460" s="2" t="s">
        <v>454</v>
      </c>
      <c r="C460" s="30">
        <v>1.55</v>
      </c>
      <c r="D460" s="42">
        <v>1.36</v>
      </c>
      <c r="E460" s="29">
        <f t="shared" si="31"/>
        <v>59933.323000000004</v>
      </c>
      <c r="F460" s="323">
        <f t="shared" si="28"/>
        <v>57680.320000000007</v>
      </c>
      <c r="G460" s="338">
        <f t="shared" si="29"/>
        <v>64008.4</v>
      </c>
      <c r="H460" s="338">
        <f t="shared" si="30"/>
        <v>67726.64</v>
      </c>
    </row>
    <row r="461" spans="1:8" ht="13.2" customHeight="1" x14ac:dyDescent="0.25">
      <c r="A461" s="3">
        <v>19757</v>
      </c>
      <c r="B461" s="2" t="s">
        <v>455</v>
      </c>
      <c r="C461" s="32">
        <v>2</v>
      </c>
      <c r="D461" s="42">
        <v>1.75</v>
      </c>
      <c r="E461" s="29">
        <f t="shared" si="31"/>
        <v>77333.320000000007</v>
      </c>
      <c r="F461" s="323">
        <f t="shared" si="28"/>
        <v>74221</v>
      </c>
      <c r="G461" s="338">
        <f t="shared" si="29"/>
        <v>82363.75</v>
      </c>
      <c r="H461" s="338">
        <f t="shared" si="30"/>
        <v>87148.25</v>
      </c>
    </row>
    <row r="462" spans="1:8" ht="13.2" customHeight="1" x14ac:dyDescent="0.25">
      <c r="A462" s="3">
        <v>19761</v>
      </c>
      <c r="B462" s="2" t="s">
        <v>456</v>
      </c>
      <c r="C462" s="30">
        <v>0.68</v>
      </c>
      <c r="D462" s="42">
        <v>0.6</v>
      </c>
      <c r="E462" s="29">
        <f t="shared" si="31"/>
        <v>26293.328800000003</v>
      </c>
      <c r="F462" s="323">
        <f t="shared" si="28"/>
        <v>25447.200000000001</v>
      </c>
      <c r="G462" s="338">
        <f t="shared" si="29"/>
        <v>28239</v>
      </c>
      <c r="H462" s="338">
        <f t="shared" si="30"/>
        <v>29879.399999999998</v>
      </c>
    </row>
    <row r="463" spans="1:8" ht="13.2" customHeight="1" x14ac:dyDescent="0.25">
      <c r="A463" s="3">
        <v>19762</v>
      </c>
      <c r="B463" s="2" t="s">
        <v>457</v>
      </c>
      <c r="C463" s="31">
        <v>0.4</v>
      </c>
      <c r="D463" s="42">
        <v>0.35</v>
      </c>
      <c r="E463" s="29">
        <f t="shared" si="31"/>
        <v>15466.664000000002</v>
      </c>
      <c r="F463" s="323">
        <f t="shared" si="28"/>
        <v>14844.199999999999</v>
      </c>
      <c r="G463" s="338">
        <f t="shared" si="29"/>
        <v>16472.75</v>
      </c>
      <c r="H463" s="338">
        <f t="shared" si="30"/>
        <v>17429.649999999998</v>
      </c>
    </row>
    <row r="464" spans="1:8" ht="13.2" customHeight="1" x14ac:dyDescent="0.25">
      <c r="A464" s="3">
        <v>19767</v>
      </c>
      <c r="B464" s="2" t="s">
        <v>458</v>
      </c>
      <c r="C464" s="30">
        <v>1.29</v>
      </c>
      <c r="D464" s="42">
        <v>1.1299999999999999</v>
      </c>
      <c r="E464" s="29">
        <f t="shared" si="31"/>
        <v>49879.991400000006</v>
      </c>
      <c r="F464" s="323">
        <f t="shared" si="28"/>
        <v>47925.56</v>
      </c>
      <c r="G464" s="338">
        <f t="shared" si="29"/>
        <v>53183.45</v>
      </c>
      <c r="H464" s="338">
        <f t="shared" si="30"/>
        <v>56272.869999999995</v>
      </c>
    </row>
    <row r="465" spans="1:8" ht="13.2" customHeight="1" x14ac:dyDescent="0.25">
      <c r="A465" s="3">
        <v>19768</v>
      </c>
      <c r="B465" s="2" t="s">
        <v>459</v>
      </c>
      <c r="C465" s="30">
        <v>1.42</v>
      </c>
      <c r="D465" s="42">
        <v>1.25</v>
      </c>
      <c r="E465" s="29">
        <f t="shared" si="31"/>
        <v>54906.657200000001</v>
      </c>
      <c r="F465" s="323">
        <f t="shared" si="28"/>
        <v>53015</v>
      </c>
      <c r="G465" s="338">
        <f t="shared" si="29"/>
        <v>58831.25</v>
      </c>
      <c r="H465" s="338">
        <f t="shared" si="30"/>
        <v>62248.75</v>
      </c>
    </row>
    <row r="466" spans="1:8" ht="13.2" customHeight="1" x14ac:dyDescent="0.25">
      <c r="A466" s="3">
        <v>19769</v>
      </c>
      <c r="B466" s="2" t="s">
        <v>460</v>
      </c>
      <c r="C466" s="30">
        <v>1.42</v>
      </c>
      <c r="D466" s="42">
        <v>1.25</v>
      </c>
      <c r="E466" s="29">
        <f t="shared" si="31"/>
        <v>54906.657200000001</v>
      </c>
      <c r="F466" s="323">
        <f t="shared" si="28"/>
        <v>53015</v>
      </c>
      <c r="G466" s="338">
        <f t="shared" si="29"/>
        <v>58831.25</v>
      </c>
      <c r="H466" s="338">
        <f t="shared" si="30"/>
        <v>62248.75</v>
      </c>
    </row>
    <row r="467" spans="1:8" ht="13.2" customHeight="1" x14ac:dyDescent="0.25">
      <c r="A467" s="3">
        <v>19773</v>
      </c>
      <c r="B467" s="2" t="s">
        <v>461</v>
      </c>
      <c r="C467" s="30">
        <v>0.35</v>
      </c>
      <c r="D467" s="42">
        <v>0.31</v>
      </c>
      <c r="E467" s="29">
        <f t="shared" si="31"/>
        <v>13533.331</v>
      </c>
      <c r="F467" s="323">
        <f t="shared" si="28"/>
        <v>13147.72</v>
      </c>
      <c r="G467" s="338">
        <f t="shared" si="29"/>
        <v>14590.15</v>
      </c>
      <c r="H467" s="338">
        <f t="shared" si="30"/>
        <v>15437.69</v>
      </c>
    </row>
    <row r="468" spans="1:8" ht="13.2" customHeight="1" x14ac:dyDescent="0.25">
      <c r="A468" s="3">
        <v>19774</v>
      </c>
      <c r="B468" s="2" t="s">
        <v>462</v>
      </c>
      <c r="C468" s="30">
        <v>3.89</v>
      </c>
      <c r="D468" s="42">
        <v>3.41</v>
      </c>
      <c r="E468" s="29">
        <f t="shared" si="31"/>
        <v>150413.30740000002</v>
      </c>
      <c r="F468" s="323">
        <f t="shared" si="28"/>
        <v>144624.92000000001</v>
      </c>
      <c r="G468" s="338">
        <f t="shared" si="29"/>
        <v>160491.65</v>
      </c>
      <c r="H468" s="338">
        <f t="shared" si="30"/>
        <v>169814.59</v>
      </c>
    </row>
    <row r="469" spans="1:8" ht="13.2" customHeight="1" x14ac:dyDescent="0.25">
      <c r="A469" s="3">
        <v>19775</v>
      </c>
      <c r="B469" s="2" t="s">
        <v>463</v>
      </c>
      <c r="C469" s="30">
        <v>0.53</v>
      </c>
      <c r="D469" s="42">
        <v>0.47</v>
      </c>
      <c r="E469" s="29">
        <f t="shared" si="31"/>
        <v>20493.329800000003</v>
      </c>
      <c r="F469" s="323">
        <f t="shared" si="28"/>
        <v>19933.64</v>
      </c>
      <c r="G469" s="338">
        <f t="shared" si="29"/>
        <v>22120.55</v>
      </c>
      <c r="H469" s="338">
        <f t="shared" si="30"/>
        <v>23405.53</v>
      </c>
    </row>
    <row r="470" spans="1:8" ht="13.2" customHeight="1" x14ac:dyDescent="0.25">
      <c r="A470" s="3">
        <v>19777</v>
      </c>
      <c r="B470" s="2" t="s">
        <v>464</v>
      </c>
      <c r="C470" s="30">
        <v>0.68</v>
      </c>
      <c r="D470" s="42">
        <v>0.6</v>
      </c>
      <c r="E470" s="29">
        <f t="shared" si="31"/>
        <v>26293.328800000003</v>
      </c>
      <c r="F470" s="323">
        <f t="shared" si="28"/>
        <v>25447.200000000001</v>
      </c>
      <c r="G470" s="338">
        <f t="shared" si="29"/>
        <v>28239</v>
      </c>
      <c r="H470" s="338">
        <f t="shared" si="30"/>
        <v>29879.399999999998</v>
      </c>
    </row>
    <row r="471" spans="1:8" ht="13.2" customHeight="1" x14ac:dyDescent="0.25">
      <c r="A471" s="3">
        <v>19778</v>
      </c>
      <c r="B471" s="2" t="s">
        <v>465</v>
      </c>
      <c r="C471" s="31">
        <v>1.6</v>
      </c>
      <c r="D471" s="42">
        <v>1.4</v>
      </c>
      <c r="E471" s="29">
        <f t="shared" si="31"/>
        <v>61866.65600000001</v>
      </c>
      <c r="F471" s="323">
        <f t="shared" si="28"/>
        <v>59376.799999999996</v>
      </c>
      <c r="G471" s="338">
        <f t="shared" si="29"/>
        <v>65891</v>
      </c>
      <c r="H471" s="338">
        <f t="shared" si="30"/>
        <v>69718.599999999991</v>
      </c>
    </row>
    <row r="472" spans="1:8" ht="13.2" customHeight="1" x14ac:dyDescent="0.25">
      <c r="A472" s="3">
        <v>19779</v>
      </c>
      <c r="B472" s="2" t="s">
        <v>466</v>
      </c>
      <c r="C472" s="30">
        <v>1.52</v>
      </c>
      <c r="D472" s="42">
        <v>1.33</v>
      </c>
      <c r="E472" s="29">
        <f t="shared" si="31"/>
        <v>58773.323200000006</v>
      </c>
      <c r="F472" s="323">
        <f t="shared" si="28"/>
        <v>56407.960000000006</v>
      </c>
      <c r="G472" s="338">
        <f t="shared" si="29"/>
        <v>62596.450000000004</v>
      </c>
      <c r="H472" s="338">
        <f t="shared" si="30"/>
        <v>66232.67</v>
      </c>
    </row>
    <row r="473" spans="1:8" ht="13.2" customHeight="1" x14ac:dyDescent="0.25">
      <c r="A473" s="3">
        <v>19780</v>
      </c>
      <c r="B473" s="2" t="s">
        <v>467</v>
      </c>
      <c r="C473" s="30">
        <v>0.34</v>
      </c>
      <c r="D473" s="42">
        <v>0.3</v>
      </c>
      <c r="E473" s="29">
        <f t="shared" si="31"/>
        <v>13146.664400000001</v>
      </c>
      <c r="F473" s="323">
        <f t="shared" si="28"/>
        <v>12723.6</v>
      </c>
      <c r="G473" s="338">
        <f t="shared" si="29"/>
        <v>14119.5</v>
      </c>
      <c r="H473" s="338">
        <f t="shared" si="30"/>
        <v>14939.699999999999</v>
      </c>
    </row>
    <row r="474" spans="1:8" ht="13.2" customHeight="1" x14ac:dyDescent="0.25">
      <c r="A474" s="3">
        <v>19781</v>
      </c>
      <c r="B474" s="2" t="s">
        <v>468</v>
      </c>
      <c r="C474" s="30">
        <v>1.69</v>
      </c>
      <c r="D474" s="42">
        <v>1.48</v>
      </c>
      <c r="E474" s="29">
        <f t="shared" si="31"/>
        <v>65346.655400000003</v>
      </c>
      <c r="F474" s="323">
        <f t="shared" si="28"/>
        <v>62769.760000000002</v>
      </c>
      <c r="G474" s="338">
        <f t="shared" si="29"/>
        <v>69656.2</v>
      </c>
      <c r="H474" s="338">
        <f t="shared" si="30"/>
        <v>73702.52</v>
      </c>
    </row>
    <row r="475" spans="1:8" ht="13.2" customHeight="1" x14ac:dyDescent="0.25">
      <c r="A475" s="3">
        <v>19785</v>
      </c>
      <c r="B475" s="2" t="s">
        <v>469</v>
      </c>
      <c r="C475" s="30">
        <v>2.0299999999999998</v>
      </c>
      <c r="D475" s="42">
        <v>1.78</v>
      </c>
      <c r="E475" s="29">
        <f t="shared" si="31"/>
        <v>78493.319799999997</v>
      </c>
      <c r="F475" s="323">
        <f t="shared" si="28"/>
        <v>75493.36</v>
      </c>
      <c r="G475" s="338">
        <f t="shared" si="29"/>
        <v>83775.7</v>
      </c>
      <c r="H475" s="338">
        <f t="shared" si="30"/>
        <v>88642.22</v>
      </c>
    </row>
    <row r="476" spans="1:8" ht="13.2" customHeight="1" x14ac:dyDescent="0.25">
      <c r="A476" s="3">
        <v>19786</v>
      </c>
      <c r="B476" s="2" t="s">
        <v>470</v>
      </c>
      <c r="C476" s="30">
        <v>0.83</v>
      </c>
      <c r="D476" s="42">
        <v>0.73</v>
      </c>
      <c r="E476" s="29">
        <f t="shared" si="31"/>
        <v>32093.327800000003</v>
      </c>
      <c r="F476" s="323">
        <f t="shared" si="28"/>
        <v>30960.76</v>
      </c>
      <c r="G476" s="338">
        <f t="shared" si="29"/>
        <v>34357.449999999997</v>
      </c>
      <c r="H476" s="338">
        <f t="shared" si="30"/>
        <v>36353.269999999997</v>
      </c>
    </row>
    <row r="477" spans="1:8" ht="13.2" customHeight="1" x14ac:dyDescent="0.25">
      <c r="A477" s="3">
        <v>19787</v>
      </c>
      <c r="B477" s="2" t="s">
        <v>471</v>
      </c>
      <c r="C477" s="30">
        <v>0.84</v>
      </c>
      <c r="D477" s="42">
        <v>0.74</v>
      </c>
      <c r="E477" s="29">
        <f t="shared" si="31"/>
        <v>32479.994400000003</v>
      </c>
      <c r="F477" s="323">
        <f t="shared" si="28"/>
        <v>31384.880000000001</v>
      </c>
      <c r="G477" s="338">
        <f t="shared" si="29"/>
        <v>34828.1</v>
      </c>
      <c r="H477" s="338">
        <f t="shared" si="30"/>
        <v>36851.26</v>
      </c>
    </row>
    <row r="478" spans="1:8" ht="13.2" customHeight="1" x14ac:dyDescent="0.25">
      <c r="A478" s="3">
        <v>19791</v>
      </c>
      <c r="B478" s="2" t="s">
        <v>472</v>
      </c>
      <c r="C478" s="30">
        <v>1.02</v>
      </c>
      <c r="D478" s="42">
        <v>0.9</v>
      </c>
      <c r="E478" s="29">
        <f t="shared" si="31"/>
        <v>39439.993200000004</v>
      </c>
      <c r="F478" s="323">
        <f t="shared" si="28"/>
        <v>38170.800000000003</v>
      </c>
      <c r="G478" s="338">
        <f t="shared" si="29"/>
        <v>42358.5</v>
      </c>
      <c r="H478" s="338">
        <f t="shared" si="30"/>
        <v>44819.1</v>
      </c>
    </row>
    <row r="479" spans="1:8" ht="13.2" customHeight="1" x14ac:dyDescent="0.25">
      <c r="A479" s="3">
        <v>19792</v>
      </c>
      <c r="B479" s="2" t="s">
        <v>473</v>
      </c>
      <c r="C479" s="30">
        <v>1.19</v>
      </c>
      <c r="D479" s="42">
        <v>1.04</v>
      </c>
      <c r="E479" s="29">
        <f t="shared" si="31"/>
        <v>46013.325400000002</v>
      </c>
      <c r="F479" s="323">
        <f t="shared" si="28"/>
        <v>44108.480000000003</v>
      </c>
      <c r="G479" s="338">
        <f t="shared" si="29"/>
        <v>48947.6</v>
      </c>
      <c r="H479" s="338">
        <f t="shared" si="30"/>
        <v>51790.96</v>
      </c>
    </row>
    <row r="480" spans="1:8" ht="13.2" customHeight="1" x14ac:dyDescent="0.25">
      <c r="A480" s="3">
        <v>19793</v>
      </c>
      <c r="B480" s="2" t="s">
        <v>474</v>
      </c>
      <c r="C480" s="30">
        <v>3.18</v>
      </c>
      <c r="D480" s="42">
        <v>2.79</v>
      </c>
      <c r="E480" s="29">
        <f t="shared" si="31"/>
        <v>122959.97880000001</v>
      </c>
      <c r="F480" s="323">
        <f t="shared" si="28"/>
        <v>118329.48</v>
      </c>
      <c r="G480" s="338">
        <f t="shared" si="29"/>
        <v>131311.35</v>
      </c>
      <c r="H480" s="338">
        <f t="shared" si="30"/>
        <v>138939.21</v>
      </c>
    </row>
    <row r="481" spans="1:8" ht="13.2" customHeight="1" x14ac:dyDescent="0.25">
      <c r="A481" s="3">
        <v>19797</v>
      </c>
      <c r="B481" s="2" t="s">
        <v>475</v>
      </c>
      <c r="C481" s="30">
        <v>2.06</v>
      </c>
      <c r="D481" s="42">
        <v>1.81</v>
      </c>
      <c r="E481" s="29">
        <f t="shared" si="31"/>
        <v>79653.319600000003</v>
      </c>
      <c r="F481" s="323">
        <f t="shared" si="28"/>
        <v>76765.72</v>
      </c>
      <c r="G481" s="338">
        <f t="shared" si="29"/>
        <v>85187.650000000009</v>
      </c>
      <c r="H481" s="338">
        <f t="shared" si="30"/>
        <v>90136.19</v>
      </c>
    </row>
    <row r="482" spans="1:8" ht="13.2" customHeight="1" x14ac:dyDescent="0.25">
      <c r="A482" s="3">
        <v>19798</v>
      </c>
      <c r="B482" s="2" t="s">
        <v>476</v>
      </c>
      <c r="C482" s="30">
        <v>2.81</v>
      </c>
      <c r="D482" s="42">
        <v>2.46</v>
      </c>
      <c r="E482" s="29">
        <f t="shared" si="31"/>
        <v>108653.31460000001</v>
      </c>
      <c r="F482" s="323">
        <f t="shared" si="28"/>
        <v>104333.52</v>
      </c>
      <c r="G482" s="338">
        <f t="shared" si="29"/>
        <v>115779.9</v>
      </c>
      <c r="H482" s="338">
        <f t="shared" si="30"/>
        <v>122505.54</v>
      </c>
    </row>
    <row r="483" spans="1:8" ht="13.2" customHeight="1" x14ac:dyDescent="0.25">
      <c r="A483" s="3">
        <v>19799</v>
      </c>
      <c r="B483" s="2" t="s">
        <v>477</v>
      </c>
      <c r="C483" s="30">
        <v>3.05</v>
      </c>
      <c r="D483" s="42">
        <v>2.68</v>
      </c>
      <c r="E483" s="29">
        <f t="shared" si="31"/>
        <v>117933.31300000001</v>
      </c>
      <c r="F483" s="323">
        <f t="shared" si="28"/>
        <v>113664.16</v>
      </c>
      <c r="G483" s="338">
        <f t="shared" si="29"/>
        <v>126134.20000000001</v>
      </c>
      <c r="H483" s="338">
        <f t="shared" si="30"/>
        <v>133461.32</v>
      </c>
    </row>
    <row r="484" spans="1:8" ht="13.2" customHeight="1" x14ac:dyDescent="0.25">
      <c r="A484" s="3">
        <v>19802</v>
      </c>
      <c r="B484" s="2" t="s">
        <v>478</v>
      </c>
      <c r="C484" s="30">
        <v>2.71</v>
      </c>
      <c r="D484" s="42">
        <v>2.38</v>
      </c>
      <c r="E484" s="29">
        <f t="shared" si="31"/>
        <v>104786.64860000001</v>
      </c>
      <c r="F484" s="323">
        <f t="shared" si="28"/>
        <v>100940.56</v>
      </c>
      <c r="G484" s="338">
        <f t="shared" si="29"/>
        <v>112014.7</v>
      </c>
      <c r="H484" s="338">
        <f t="shared" si="30"/>
        <v>118521.62</v>
      </c>
    </row>
    <row r="485" spans="1:8" ht="13.2" customHeight="1" x14ac:dyDescent="0.25">
      <c r="A485" s="3">
        <v>19803</v>
      </c>
      <c r="B485" s="2" t="s">
        <v>479</v>
      </c>
      <c r="C485" s="30">
        <v>2.19</v>
      </c>
      <c r="D485" s="42">
        <v>1.92</v>
      </c>
      <c r="E485" s="29">
        <f t="shared" si="31"/>
        <v>84679.985400000005</v>
      </c>
      <c r="F485" s="323">
        <f t="shared" si="28"/>
        <v>81431.039999999994</v>
      </c>
      <c r="G485" s="338">
        <f t="shared" si="29"/>
        <v>90364.800000000003</v>
      </c>
      <c r="H485" s="338">
        <f t="shared" si="30"/>
        <v>95614.080000000002</v>
      </c>
    </row>
    <row r="486" spans="1:8" ht="13.2" customHeight="1" x14ac:dyDescent="0.25">
      <c r="A486" s="3">
        <v>19804</v>
      </c>
      <c r="B486" s="2" t="s">
        <v>480</v>
      </c>
      <c r="C486" s="30">
        <v>1.85</v>
      </c>
      <c r="D486" s="42">
        <v>1.62</v>
      </c>
      <c r="E486" s="29">
        <f t="shared" si="31"/>
        <v>71533.321000000011</v>
      </c>
      <c r="F486" s="323">
        <f t="shared" si="28"/>
        <v>68707.44</v>
      </c>
      <c r="G486" s="338">
        <f t="shared" si="29"/>
        <v>76245.3</v>
      </c>
      <c r="H486" s="338">
        <f t="shared" si="30"/>
        <v>80674.38</v>
      </c>
    </row>
    <row r="487" spans="1:8" ht="13.2" customHeight="1" x14ac:dyDescent="0.25">
      <c r="A487" s="3">
        <v>19805</v>
      </c>
      <c r="B487" s="2" t="s">
        <v>481</v>
      </c>
      <c r="C487" s="31">
        <v>2.1</v>
      </c>
      <c r="D487" s="42">
        <v>1.84</v>
      </c>
      <c r="E487" s="29">
        <f t="shared" si="31"/>
        <v>81199.986000000004</v>
      </c>
      <c r="F487" s="323">
        <f t="shared" si="28"/>
        <v>78038.080000000002</v>
      </c>
      <c r="G487" s="338">
        <f t="shared" si="29"/>
        <v>86599.6</v>
      </c>
      <c r="H487" s="338">
        <f t="shared" si="30"/>
        <v>91630.16</v>
      </c>
    </row>
    <row r="488" spans="1:8" ht="13.2" customHeight="1" x14ac:dyDescent="0.25">
      <c r="A488" s="3">
        <v>19806</v>
      </c>
      <c r="B488" s="2" t="s">
        <v>482</v>
      </c>
      <c r="C488" s="30">
        <v>1.69</v>
      </c>
      <c r="D488" s="42">
        <v>1.48</v>
      </c>
      <c r="E488" s="29">
        <f t="shared" si="31"/>
        <v>65346.655400000003</v>
      </c>
      <c r="F488" s="323">
        <f t="shared" si="28"/>
        <v>62769.760000000002</v>
      </c>
      <c r="G488" s="338">
        <f t="shared" si="29"/>
        <v>69656.2</v>
      </c>
      <c r="H488" s="338">
        <f t="shared" si="30"/>
        <v>73702.52</v>
      </c>
    </row>
    <row r="489" spans="1:8" ht="13.2" customHeight="1" x14ac:dyDescent="0.25">
      <c r="A489" s="3">
        <v>19809</v>
      </c>
      <c r="B489" s="2" t="s">
        <v>483</v>
      </c>
      <c r="C489" s="31">
        <v>0.5</v>
      </c>
      <c r="D489" s="42">
        <v>0.44</v>
      </c>
      <c r="E489" s="29">
        <f t="shared" si="31"/>
        <v>19333.330000000002</v>
      </c>
      <c r="F489" s="323">
        <f t="shared" si="28"/>
        <v>18661.28</v>
      </c>
      <c r="G489" s="338">
        <f t="shared" si="29"/>
        <v>20708.599999999999</v>
      </c>
      <c r="H489" s="338">
        <f t="shared" si="30"/>
        <v>21911.56</v>
      </c>
    </row>
    <row r="490" spans="1:8" ht="13.2" customHeight="1" x14ac:dyDescent="0.25">
      <c r="A490" s="3">
        <v>19810</v>
      </c>
      <c r="B490" s="2" t="s">
        <v>484</v>
      </c>
      <c r="C490" s="30">
        <v>0.43</v>
      </c>
      <c r="D490" s="42">
        <v>0.38</v>
      </c>
      <c r="E490" s="29">
        <f t="shared" si="31"/>
        <v>16626.663800000002</v>
      </c>
      <c r="F490" s="323">
        <f t="shared" si="28"/>
        <v>16116.56</v>
      </c>
      <c r="G490" s="338">
        <f t="shared" si="29"/>
        <v>17884.7</v>
      </c>
      <c r="H490" s="338">
        <f t="shared" si="30"/>
        <v>18923.62</v>
      </c>
    </row>
    <row r="491" spans="1:8" ht="13.2" customHeight="1" x14ac:dyDescent="0.25">
      <c r="A491" s="3">
        <v>19811</v>
      </c>
      <c r="B491" s="2" t="s">
        <v>485</v>
      </c>
      <c r="C491" s="30">
        <v>2.12</v>
      </c>
      <c r="D491" s="42">
        <v>1.86</v>
      </c>
      <c r="E491" s="29">
        <f t="shared" si="31"/>
        <v>81973.319200000013</v>
      </c>
      <c r="F491" s="323">
        <f t="shared" si="28"/>
        <v>78886.320000000007</v>
      </c>
      <c r="G491" s="338">
        <f t="shared" si="29"/>
        <v>87540.900000000009</v>
      </c>
      <c r="H491" s="338">
        <f t="shared" si="30"/>
        <v>92626.14</v>
      </c>
    </row>
    <row r="492" spans="1:8" ht="13.2" customHeight="1" x14ac:dyDescent="0.25">
      <c r="A492" s="3">
        <v>19815</v>
      </c>
      <c r="B492" s="2" t="s">
        <v>486</v>
      </c>
      <c r="C492" s="30">
        <v>1.62</v>
      </c>
      <c r="D492" s="42">
        <v>1.42</v>
      </c>
      <c r="E492" s="29">
        <f t="shared" si="31"/>
        <v>62639.989200000011</v>
      </c>
      <c r="F492" s="323">
        <f t="shared" si="28"/>
        <v>60225.039999999994</v>
      </c>
      <c r="G492" s="338">
        <f t="shared" si="29"/>
        <v>66832.3</v>
      </c>
      <c r="H492" s="338">
        <f t="shared" si="30"/>
        <v>70714.58</v>
      </c>
    </row>
    <row r="493" spans="1:8" ht="13.2" customHeight="1" x14ac:dyDescent="0.25">
      <c r="A493" s="3">
        <v>19816</v>
      </c>
      <c r="B493" s="2" t="s">
        <v>487</v>
      </c>
      <c r="C493" s="30">
        <v>0.34</v>
      </c>
      <c r="D493" s="42">
        <v>0.3</v>
      </c>
      <c r="E493" s="29">
        <f t="shared" si="31"/>
        <v>13146.664400000001</v>
      </c>
      <c r="F493" s="323">
        <f t="shared" si="28"/>
        <v>12723.6</v>
      </c>
      <c r="G493" s="338">
        <f t="shared" si="29"/>
        <v>14119.5</v>
      </c>
      <c r="H493" s="338">
        <f t="shared" si="30"/>
        <v>14939.699999999999</v>
      </c>
    </row>
    <row r="494" spans="1:8" ht="13.2" customHeight="1" x14ac:dyDescent="0.25">
      <c r="A494" s="3">
        <v>19817</v>
      </c>
      <c r="B494" s="2" t="s">
        <v>488</v>
      </c>
      <c r="C494" s="30">
        <v>3.72</v>
      </c>
      <c r="D494" s="42">
        <v>3.26</v>
      </c>
      <c r="E494" s="29">
        <f t="shared" si="31"/>
        <v>143839.97520000002</v>
      </c>
      <c r="F494" s="323">
        <f t="shared" si="28"/>
        <v>138263.12</v>
      </c>
      <c r="G494" s="338">
        <f t="shared" si="29"/>
        <v>153431.9</v>
      </c>
      <c r="H494" s="338">
        <f t="shared" si="30"/>
        <v>162344.74</v>
      </c>
    </row>
    <row r="495" spans="1:8" ht="13.2" customHeight="1" x14ac:dyDescent="0.25">
      <c r="A495" s="3">
        <v>19821</v>
      </c>
      <c r="B495" s="2" t="s">
        <v>489</v>
      </c>
      <c r="C495" s="30">
        <v>0.38</v>
      </c>
      <c r="D495" s="42">
        <v>0.33</v>
      </c>
      <c r="E495" s="29">
        <f t="shared" si="31"/>
        <v>14693.330800000002</v>
      </c>
      <c r="F495" s="323">
        <f t="shared" si="28"/>
        <v>13995.960000000001</v>
      </c>
      <c r="G495" s="338">
        <f t="shared" si="29"/>
        <v>15531.45</v>
      </c>
      <c r="H495" s="338">
        <f t="shared" si="30"/>
        <v>16433.670000000002</v>
      </c>
    </row>
    <row r="496" spans="1:8" ht="13.2" customHeight="1" x14ac:dyDescent="0.25">
      <c r="A496" s="3">
        <v>19822</v>
      </c>
      <c r="B496" s="2" t="s">
        <v>490</v>
      </c>
      <c r="C496" s="30">
        <v>1.42</v>
      </c>
      <c r="D496" s="42">
        <v>1.25</v>
      </c>
      <c r="E496" s="29">
        <f t="shared" si="31"/>
        <v>54906.657200000001</v>
      </c>
      <c r="F496" s="323">
        <f t="shared" si="28"/>
        <v>53015</v>
      </c>
      <c r="G496" s="338">
        <f t="shared" si="29"/>
        <v>58831.25</v>
      </c>
      <c r="H496" s="338">
        <f t="shared" si="30"/>
        <v>62248.75</v>
      </c>
    </row>
    <row r="497" spans="1:8" ht="13.2" customHeight="1" x14ac:dyDescent="0.25">
      <c r="A497" s="3">
        <v>19823</v>
      </c>
      <c r="B497" s="2" t="s">
        <v>491</v>
      </c>
      <c r="C497" s="30">
        <v>0.49</v>
      </c>
      <c r="D497" s="42">
        <v>0.43</v>
      </c>
      <c r="E497" s="29">
        <f t="shared" si="31"/>
        <v>18946.663400000001</v>
      </c>
      <c r="F497" s="323">
        <f t="shared" si="28"/>
        <v>18237.16</v>
      </c>
      <c r="G497" s="338">
        <f t="shared" si="29"/>
        <v>20237.95</v>
      </c>
      <c r="H497" s="338">
        <f t="shared" si="30"/>
        <v>21413.57</v>
      </c>
    </row>
    <row r="498" spans="1:8" ht="13.2" customHeight="1" x14ac:dyDescent="0.25">
      <c r="A498" s="3">
        <v>19827</v>
      </c>
      <c r="B498" s="2" t="s">
        <v>492</v>
      </c>
      <c r="C498" s="30">
        <v>1.21</v>
      </c>
      <c r="D498" s="42">
        <v>1.06</v>
      </c>
      <c r="E498" s="29">
        <f t="shared" si="31"/>
        <v>46786.658600000002</v>
      </c>
      <c r="F498" s="323">
        <f t="shared" si="28"/>
        <v>44956.72</v>
      </c>
      <c r="G498" s="338">
        <f t="shared" si="29"/>
        <v>49888.9</v>
      </c>
      <c r="H498" s="338">
        <f t="shared" si="30"/>
        <v>52786.94</v>
      </c>
    </row>
    <row r="499" spans="1:8" ht="13.2" customHeight="1" x14ac:dyDescent="0.25">
      <c r="A499" s="3">
        <v>19828</v>
      </c>
      <c r="B499" s="2" t="s">
        <v>493</v>
      </c>
      <c r="C499" s="30">
        <v>1.42</v>
      </c>
      <c r="D499" s="42">
        <v>1.25</v>
      </c>
      <c r="E499" s="29">
        <f t="shared" si="31"/>
        <v>54906.657200000001</v>
      </c>
      <c r="F499" s="323">
        <f t="shared" si="28"/>
        <v>53015</v>
      </c>
      <c r="G499" s="338">
        <f t="shared" si="29"/>
        <v>58831.25</v>
      </c>
      <c r="H499" s="338">
        <f t="shared" si="30"/>
        <v>62248.75</v>
      </c>
    </row>
    <row r="500" spans="1:8" ht="13.2" customHeight="1" x14ac:dyDescent="0.25">
      <c r="A500" s="3">
        <v>19829</v>
      </c>
      <c r="B500" s="2" t="s">
        <v>494</v>
      </c>
      <c r="C500" s="30">
        <v>1.35</v>
      </c>
      <c r="D500" s="42">
        <v>1.18</v>
      </c>
      <c r="E500" s="29">
        <f t="shared" si="31"/>
        <v>52199.991000000009</v>
      </c>
      <c r="F500" s="323">
        <f t="shared" si="28"/>
        <v>50046.159999999996</v>
      </c>
      <c r="G500" s="338">
        <f t="shared" si="29"/>
        <v>55536.7</v>
      </c>
      <c r="H500" s="338">
        <f t="shared" si="30"/>
        <v>58762.82</v>
      </c>
    </row>
    <row r="501" spans="1:8" ht="13.2" customHeight="1" x14ac:dyDescent="0.25">
      <c r="A501" s="3">
        <v>19830</v>
      </c>
      <c r="B501" s="2" t="s">
        <v>495</v>
      </c>
      <c r="C501" s="30">
        <v>1.69</v>
      </c>
      <c r="D501" s="42">
        <v>1.48</v>
      </c>
      <c r="E501" s="29">
        <f t="shared" si="31"/>
        <v>65346.655400000003</v>
      </c>
      <c r="F501" s="323">
        <f t="shared" si="28"/>
        <v>62769.760000000002</v>
      </c>
      <c r="G501" s="338">
        <f t="shared" si="29"/>
        <v>69656.2</v>
      </c>
      <c r="H501" s="338">
        <f t="shared" si="30"/>
        <v>73702.52</v>
      </c>
    </row>
    <row r="502" spans="1:8" ht="13.2" customHeight="1" x14ac:dyDescent="0.25">
      <c r="A502" s="3">
        <v>19833</v>
      </c>
      <c r="B502" s="2" t="s">
        <v>496</v>
      </c>
      <c r="C502" s="30">
        <v>1.26</v>
      </c>
      <c r="D502" s="42">
        <v>1.1100000000000001</v>
      </c>
      <c r="E502" s="29">
        <f t="shared" si="31"/>
        <v>48719.991600000001</v>
      </c>
      <c r="F502" s="323">
        <f t="shared" si="28"/>
        <v>47077.320000000007</v>
      </c>
      <c r="G502" s="338">
        <f t="shared" si="29"/>
        <v>52242.15</v>
      </c>
      <c r="H502" s="338">
        <f t="shared" si="30"/>
        <v>55276.890000000007</v>
      </c>
    </row>
    <row r="503" spans="1:8" ht="13.2" customHeight="1" x14ac:dyDescent="0.25">
      <c r="A503" s="3">
        <v>19835</v>
      </c>
      <c r="B503" s="2" t="s">
        <v>497</v>
      </c>
      <c r="C503" s="30">
        <v>28.17</v>
      </c>
      <c r="D503" s="42">
        <v>24.71</v>
      </c>
      <c r="E503" s="29">
        <f t="shared" si="31"/>
        <v>1089239.8122000003</v>
      </c>
      <c r="F503" s="323">
        <f t="shared" si="28"/>
        <v>1048000.52</v>
      </c>
      <c r="G503" s="338">
        <f t="shared" si="29"/>
        <v>1162976.1500000001</v>
      </c>
      <c r="H503" s="338">
        <f t="shared" si="30"/>
        <v>1230533.29</v>
      </c>
    </row>
    <row r="504" spans="1:8" ht="13.2" customHeight="1" x14ac:dyDescent="0.25">
      <c r="A504" s="3">
        <v>19838</v>
      </c>
      <c r="B504" s="2" t="s">
        <v>498</v>
      </c>
      <c r="C504" s="30">
        <v>1.26</v>
      </c>
      <c r="D504" s="42">
        <v>1.1100000000000001</v>
      </c>
      <c r="E504" s="29">
        <f t="shared" si="31"/>
        <v>48719.991600000001</v>
      </c>
      <c r="F504" s="323">
        <f t="shared" si="28"/>
        <v>47077.320000000007</v>
      </c>
      <c r="G504" s="338">
        <f t="shared" si="29"/>
        <v>52242.15</v>
      </c>
      <c r="H504" s="338">
        <f t="shared" si="30"/>
        <v>55276.890000000007</v>
      </c>
    </row>
    <row r="505" spans="1:8" ht="13.2" customHeight="1" x14ac:dyDescent="0.25">
      <c r="A505" s="3">
        <v>19839</v>
      </c>
      <c r="B505" s="2" t="s">
        <v>499</v>
      </c>
      <c r="C505" s="30">
        <v>7.71</v>
      </c>
      <c r="D505" s="42">
        <v>6.76</v>
      </c>
      <c r="E505" s="29">
        <f t="shared" si="31"/>
        <v>298119.9486</v>
      </c>
      <c r="F505" s="323">
        <f t="shared" si="28"/>
        <v>286705.12</v>
      </c>
      <c r="G505" s="338">
        <f t="shared" si="29"/>
        <v>318159.39999999997</v>
      </c>
      <c r="H505" s="338">
        <f t="shared" si="30"/>
        <v>336641.24</v>
      </c>
    </row>
    <row r="506" spans="1:8" ht="13.2" customHeight="1" x14ac:dyDescent="0.25">
      <c r="A506" s="3">
        <v>19842</v>
      </c>
      <c r="B506" s="2" t="s">
        <v>500</v>
      </c>
      <c r="C506" s="30">
        <v>1.35</v>
      </c>
      <c r="D506" s="42">
        <v>1.18</v>
      </c>
      <c r="E506" s="29">
        <f t="shared" si="31"/>
        <v>52199.991000000009</v>
      </c>
      <c r="F506" s="323">
        <f t="shared" si="28"/>
        <v>50046.159999999996</v>
      </c>
      <c r="G506" s="338">
        <f t="shared" si="29"/>
        <v>55536.7</v>
      </c>
      <c r="H506" s="338">
        <f t="shared" si="30"/>
        <v>58762.82</v>
      </c>
    </row>
    <row r="507" spans="1:8" ht="13.2" customHeight="1" x14ac:dyDescent="0.25">
      <c r="A507" s="3">
        <v>19843</v>
      </c>
      <c r="B507" s="2" t="s">
        <v>501</v>
      </c>
      <c r="C507" s="30">
        <v>1.29</v>
      </c>
      <c r="D507" s="42">
        <v>1.1299999999999999</v>
      </c>
      <c r="E507" s="29">
        <f t="shared" si="31"/>
        <v>49879.991400000006</v>
      </c>
      <c r="F507" s="323">
        <f t="shared" si="28"/>
        <v>47925.56</v>
      </c>
      <c r="G507" s="338">
        <f t="shared" si="29"/>
        <v>53183.45</v>
      </c>
      <c r="H507" s="338">
        <f t="shared" si="30"/>
        <v>56272.869999999995</v>
      </c>
    </row>
    <row r="508" spans="1:8" ht="13.2" customHeight="1" x14ac:dyDescent="0.25">
      <c r="A508" s="3">
        <v>19844</v>
      </c>
      <c r="B508" s="2" t="s">
        <v>502</v>
      </c>
      <c r="C508" s="30">
        <v>0.34</v>
      </c>
      <c r="D508" s="42">
        <v>0.3</v>
      </c>
      <c r="E508" s="29">
        <f t="shared" si="31"/>
        <v>13146.664400000001</v>
      </c>
      <c r="F508" s="323">
        <f t="shared" si="28"/>
        <v>12723.6</v>
      </c>
      <c r="G508" s="338">
        <f t="shared" si="29"/>
        <v>14119.5</v>
      </c>
      <c r="H508" s="338">
        <f t="shared" si="30"/>
        <v>14939.699999999999</v>
      </c>
    </row>
    <row r="509" spans="1:8" ht="13.2" customHeight="1" x14ac:dyDescent="0.25">
      <c r="A509" s="3">
        <v>19845</v>
      </c>
      <c r="B509" s="2" t="s">
        <v>503</v>
      </c>
      <c r="C509" s="30">
        <v>3.29</v>
      </c>
      <c r="D509" s="42">
        <v>2.89</v>
      </c>
      <c r="E509" s="29">
        <f t="shared" si="31"/>
        <v>127213.31140000001</v>
      </c>
      <c r="F509" s="323">
        <f t="shared" si="28"/>
        <v>122570.68000000001</v>
      </c>
      <c r="G509" s="338">
        <f t="shared" si="29"/>
        <v>136017.85</v>
      </c>
      <c r="H509" s="338">
        <f t="shared" si="30"/>
        <v>143919.11000000002</v>
      </c>
    </row>
    <row r="510" spans="1:8" ht="13.2" customHeight="1" x14ac:dyDescent="0.25">
      <c r="A510" s="3">
        <v>19849</v>
      </c>
      <c r="B510" s="2" t="s">
        <v>504</v>
      </c>
      <c r="C510" s="31">
        <v>2.8</v>
      </c>
      <c r="D510" s="42">
        <v>2.46</v>
      </c>
      <c r="E510" s="29">
        <f t="shared" si="31"/>
        <v>108266.648</v>
      </c>
      <c r="F510" s="323">
        <f t="shared" si="28"/>
        <v>104333.52</v>
      </c>
      <c r="G510" s="338">
        <f t="shared" si="29"/>
        <v>115779.9</v>
      </c>
      <c r="H510" s="338">
        <f t="shared" si="30"/>
        <v>122505.54</v>
      </c>
    </row>
    <row r="511" spans="1:8" ht="13.2" customHeight="1" x14ac:dyDescent="0.25">
      <c r="A511" s="3">
        <v>19850</v>
      </c>
      <c r="B511" s="2" t="s">
        <v>505</v>
      </c>
      <c r="C511" s="30">
        <v>0.92</v>
      </c>
      <c r="D511" s="42">
        <v>0.81</v>
      </c>
      <c r="E511" s="29">
        <f t="shared" si="31"/>
        <v>35573.327200000007</v>
      </c>
      <c r="F511" s="323">
        <f t="shared" si="28"/>
        <v>34353.72</v>
      </c>
      <c r="G511" s="338">
        <f t="shared" si="29"/>
        <v>38122.65</v>
      </c>
      <c r="H511" s="338">
        <f t="shared" si="30"/>
        <v>40337.19</v>
      </c>
    </row>
    <row r="512" spans="1:8" ht="13.2" customHeight="1" x14ac:dyDescent="0.25">
      <c r="A512" s="3">
        <v>19851</v>
      </c>
      <c r="B512" s="2" t="s">
        <v>506</v>
      </c>
      <c r="C512" s="30">
        <v>0.84</v>
      </c>
      <c r="D512" s="42">
        <v>0.74</v>
      </c>
      <c r="E512" s="29">
        <f t="shared" si="31"/>
        <v>32479.994400000003</v>
      </c>
      <c r="F512" s="323">
        <f t="shared" si="28"/>
        <v>31384.880000000001</v>
      </c>
      <c r="G512" s="338">
        <f t="shared" si="29"/>
        <v>34828.1</v>
      </c>
      <c r="H512" s="338">
        <f t="shared" si="30"/>
        <v>36851.26</v>
      </c>
    </row>
    <row r="513" spans="1:8" ht="13.2" customHeight="1" x14ac:dyDescent="0.25">
      <c r="A513" s="3">
        <v>19852</v>
      </c>
      <c r="B513" s="2" t="s">
        <v>507</v>
      </c>
      <c r="C513" s="30">
        <v>3.05</v>
      </c>
      <c r="D513" s="42">
        <v>2.68</v>
      </c>
      <c r="E513" s="29">
        <f t="shared" si="31"/>
        <v>117933.31300000001</v>
      </c>
      <c r="F513" s="323">
        <f t="shared" si="28"/>
        <v>113664.16</v>
      </c>
      <c r="G513" s="338">
        <f t="shared" si="29"/>
        <v>126134.20000000001</v>
      </c>
      <c r="H513" s="338">
        <f t="shared" si="30"/>
        <v>133461.32</v>
      </c>
    </row>
    <row r="514" spans="1:8" ht="13.2" customHeight="1" x14ac:dyDescent="0.25">
      <c r="A514" s="3">
        <v>19855</v>
      </c>
      <c r="B514" s="2" t="s">
        <v>508</v>
      </c>
      <c r="C514" s="30">
        <v>0.53</v>
      </c>
      <c r="D514" s="42">
        <v>0.47</v>
      </c>
      <c r="E514" s="29">
        <f t="shared" si="31"/>
        <v>20493.329800000003</v>
      </c>
      <c r="F514" s="323">
        <f t="shared" si="28"/>
        <v>19933.64</v>
      </c>
      <c r="G514" s="338">
        <f t="shared" si="29"/>
        <v>22120.55</v>
      </c>
      <c r="H514" s="338">
        <f t="shared" si="30"/>
        <v>23405.53</v>
      </c>
    </row>
    <row r="515" spans="1:8" ht="13.2" customHeight="1" x14ac:dyDescent="0.25">
      <c r="A515" s="3">
        <v>19856</v>
      </c>
      <c r="B515" s="2" t="s">
        <v>509</v>
      </c>
      <c r="C515" s="30">
        <v>2.99</v>
      </c>
      <c r="D515" s="42">
        <v>2.62</v>
      </c>
      <c r="E515" s="29">
        <f t="shared" si="31"/>
        <v>115613.31340000001</v>
      </c>
      <c r="F515" s="323">
        <f t="shared" si="28"/>
        <v>111119.44</v>
      </c>
      <c r="G515" s="338">
        <f t="shared" si="29"/>
        <v>123310.3</v>
      </c>
      <c r="H515" s="338">
        <f t="shared" si="30"/>
        <v>130473.38</v>
      </c>
    </row>
    <row r="516" spans="1:8" ht="13.2" customHeight="1" x14ac:dyDescent="0.25">
      <c r="A516" s="3">
        <v>19857</v>
      </c>
      <c r="B516" s="2" t="s">
        <v>510</v>
      </c>
      <c r="C516" s="30">
        <v>2.76</v>
      </c>
      <c r="D516" s="42">
        <v>2.42</v>
      </c>
      <c r="E516" s="29">
        <f t="shared" si="31"/>
        <v>106719.9816</v>
      </c>
      <c r="F516" s="323">
        <f t="shared" si="28"/>
        <v>102637.04</v>
      </c>
      <c r="G516" s="338">
        <f t="shared" si="29"/>
        <v>113897.3</v>
      </c>
      <c r="H516" s="338">
        <f t="shared" si="30"/>
        <v>120513.58</v>
      </c>
    </row>
    <row r="517" spans="1:8" ht="13.2" customHeight="1" x14ac:dyDescent="0.25">
      <c r="A517" s="3">
        <v>19861</v>
      </c>
      <c r="B517" s="2" t="s">
        <v>511</v>
      </c>
      <c r="C517" s="31">
        <v>2.9</v>
      </c>
      <c r="D517" s="42">
        <v>2.54</v>
      </c>
      <c r="E517" s="29">
        <f t="shared" si="31"/>
        <v>112133.31400000001</v>
      </c>
      <c r="F517" s="323">
        <f t="shared" si="28"/>
        <v>107726.48</v>
      </c>
      <c r="G517" s="338">
        <f t="shared" si="29"/>
        <v>119545.1</v>
      </c>
      <c r="H517" s="338">
        <f t="shared" si="30"/>
        <v>126489.46</v>
      </c>
    </row>
    <row r="518" spans="1:8" ht="13.2" customHeight="1" x14ac:dyDescent="0.25">
      <c r="A518" s="3">
        <v>19866</v>
      </c>
      <c r="B518" s="2" t="s">
        <v>512</v>
      </c>
      <c r="C518" s="30">
        <v>1.18</v>
      </c>
      <c r="D518" s="42">
        <v>1.03</v>
      </c>
      <c r="E518" s="29">
        <f t="shared" si="31"/>
        <v>45626.658800000005</v>
      </c>
      <c r="F518" s="323">
        <f t="shared" ref="F518:F586" si="32">+$D518*$F$2</f>
        <v>43684.36</v>
      </c>
      <c r="G518" s="338">
        <f t="shared" ref="G518:G586" si="33">+$D518*$G$2</f>
        <v>48476.950000000004</v>
      </c>
      <c r="H518" s="338">
        <f t="shared" ref="H518:H586" si="34">+$D518*$H$2</f>
        <v>51292.97</v>
      </c>
    </row>
    <row r="519" spans="1:8" ht="13.2" customHeight="1" x14ac:dyDescent="0.25">
      <c r="A519" s="3">
        <v>19867</v>
      </c>
      <c r="B519" s="2" t="s">
        <v>513</v>
      </c>
      <c r="C519" s="30">
        <v>1.35</v>
      </c>
      <c r="D519" s="42">
        <v>1.18</v>
      </c>
      <c r="E519" s="29">
        <f t="shared" ref="E519:E582" si="35">+$C519*$E$2</f>
        <v>52199.991000000009</v>
      </c>
      <c r="F519" s="323">
        <f t="shared" si="32"/>
        <v>50046.159999999996</v>
      </c>
      <c r="G519" s="338">
        <f t="shared" si="33"/>
        <v>55536.7</v>
      </c>
      <c r="H519" s="338">
        <f t="shared" si="34"/>
        <v>58762.82</v>
      </c>
    </row>
    <row r="520" spans="1:8" ht="13.2" customHeight="1" x14ac:dyDescent="0.25">
      <c r="A520" s="3">
        <v>19868</v>
      </c>
      <c r="B520" s="2" t="s">
        <v>514</v>
      </c>
      <c r="C520" s="30">
        <v>0.25</v>
      </c>
      <c r="D520" s="42">
        <v>0.22</v>
      </c>
      <c r="E520" s="29">
        <f t="shared" si="35"/>
        <v>9666.6650000000009</v>
      </c>
      <c r="F520" s="323">
        <f t="shared" si="32"/>
        <v>9330.64</v>
      </c>
      <c r="G520" s="338">
        <f t="shared" si="33"/>
        <v>10354.299999999999</v>
      </c>
      <c r="H520" s="338">
        <f t="shared" si="34"/>
        <v>10955.78</v>
      </c>
    </row>
    <row r="521" spans="1:8" ht="13.2" customHeight="1" x14ac:dyDescent="0.25">
      <c r="A521" s="3">
        <v>19872</v>
      </c>
      <c r="B521" s="2" t="s">
        <v>515</v>
      </c>
      <c r="C521" s="30">
        <v>0.21</v>
      </c>
      <c r="D521" s="42">
        <v>0.18</v>
      </c>
      <c r="E521" s="29">
        <f t="shared" si="35"/>
        <v>8119.9986000000008</v>
      </c>
      <c r="F521" s="323">
        <f t="shared" si="32"/>
        <v>7634.16</v>
      </c>
      <c r="G521" s="338">
        <f t="shared" si="33"/>
        <v>8471.6999999999989</v>
      </c>
      <c r="H521" s="338">
        <f t="shared" si="34"/>
        <v>8963.82</v>
      </c>
    </row>
    <row r="522" spans="1:8" ht="13.2" customHeight="1" x14ac:dyDescent="0.25">
      <c r="A522" s="3">
        <v>19873</v>
      </c>
      <c r="B522" s="2" t="s">
        <v>516</v>
      </c>
      <c r="C522" s="30">
        <v>1.38</v>
      </c>
      <c r="D522" s="42">
        <v>1.21</v>
      </c>
      <c r="E522" s="29">
        <f t="shared" si="35"/>
        <v>53359.9908</v>
      </c>
      <c r="F522" s="323">
        <f t="shared" si="32"/>
        <v>51318.52</v>
      </c>
      <c r="G522" s="338">
        <f t="shared" si="33"/>
        <v>56948.65</v>
      </c>
      <c r="H522" s="338">
        <f t="shared" si="34"/>
        <v>60256.79</v>
      </c>
    </row>
    <row r="523" spans="1:8" ht="13.2" customHeight="1" x14ac:dyDescent="0.25">
      <c r="A523" s="3">
        <v>19874</v>
      </c>
      <c r="B523" s="2" t="s">
        <v>517</v>
      </c>
      <c r="C523" s="30">
        <v>0.84</v>
      </c>
      <c r="D523" s="42">
        <v>0.74</v>
      </c>
      <c r="E523" s="29">
        <f t="shared" si="35"/>
        <v>32479.994400000003</v>
      </c>
      <c r="F523" s="323">
        <f t="shared" si="32"/>
        <v>31384.880000000001</v>
      </c>
      <c r="G523" s="338">
        <f t="shared" si="33"/>
        <v>34828.1</v>
      </c>
      <c r="H523" s="338">
        <f t="shared" si="34"/>
        <v>36851.26</v>
      </c>
    </row>
    <row r="524" spans="1:8" ht="13.2" customHeight="1" x14ac:dyDescent="0.25">
      <c r="A524" s="3">
        <v>19875</v>
      </c>
      <c r="B524" s="2" t="s">
        <v>518</v>
      </c>
      <c r="C524" s="30">
        <v>1.78</v>
      </c>
      <c r="D524" s="42">
        <v>1.56</v>
      </c>
      <c r="E524" s="29">
        <f t="shared" si="35"/>
        <v>68826.654800000004</v>
      </c>
      <c r="F524" s="323">
        <f t="shared" si="32"/>
        <v>66162.720000000001</v>
      </c>
      <c r="G524" s="338">
        <f t="shared" si="33"/>
        <v>73421.400000000009</v>
      </c>
      <c r="H524" s="338">
        <f t="shared" si="34"/>
        <v>77686.44</v>
      </c>
    </row>
    <row r="525" spans="1:8" ht="13.2" customHeight="1" x14ac:dyDescent="0.25">
      <c r="A525" s="3">
        <v>19876</v>
      </c>
      <c r="B525" s="2" t="s">
        <v>519</v>
      </c>
      <c r="C525" s="30">
        <v>1.1100000000000001</v>
      </c>
      <c r="D525" s="42">
        <v>0.97</v>
      </c>
      <c r="E525" s="29">
        <f t="shared" si="35"/>
        <v>42919.992600000005</v>
      </c>
      <c r="F525" s="323">
        <f t="shared" si="32"/>
        <v>41139.64</v>
      </c>
      <c r="G525" s="338">
        <f t="shared" si="33"/>
        <v>45653.049999999996</v>
      </c>
      <c r="H525" s="338">
        <f t="shared" si="34"/>
        <v>48305.03</v>
      </c>
    </row>
    <row r="526" spans="1:8" ht="13.2" customHeight="1" x14ac:dyDescent="0.25">
      <c r="A526" s="3">
        <v>19878</v>
      </c>
      <c r="B526" s="2" t="s">
        <v>520</v>
      </c>
      <c r="C526" s="30">
        <v>2.87</v>
      </c>
      <c r="D526" s="42">
        <v>2.52</v>
      </c>
      <c r="E526" s="29">
        <f t="shared" si="35"/>
        <v>110973.31420000001</v>
      </c>
      <c r="F526" s="323">
        <f t="shared" si="32"/>
        <v>106878.24</v>
      </c>
      <c r="G526" s="338">
        <f t="shared" si="33"/>
        <v>118603.8</v>
      </c>
      <c r="H526" s="338">
        <f t="shared" si="34"/>
        <v>125493.48</v>
      </c>
    </row>
    <row r="527" spans="1:8" ht="13.2" customHeight="1" x14ac:dyDescent="0.25">
      <c r="A527" s="3">
        <v>19879</v>
      </c>
      <c r="B527" s="2" t="s">
        <v>521</v>
      </c>
      <c r="C527" s="30">
        <v>2.87</v>
      </c>
      <c r="D527" s="42">
        <v>2.52</v>
      </c>
      <c r="E527" s="29">
        <f t="shared" si="35"/>
        <v>110973.31420000001</v>
      </c>
      <c r="F527" s="323">
        <f t="shared" si="32"/>
        <v>106878.24</v>
      </c>
      <c r="G527" s="338">
        <f t="shared" si="33"/>
        <v>118603.8</v>
      </c>
      <c r="H527" s="338">
        <f t="shared" si="34"/>
        <v>125493.48</v>
      </c>
    </row>
    <row r="528" spans="1:8" ht="13.2" customHeight="1" x14ac:dyDescent="0.25">
      <c r="A528" s="3">
        <v>19882</v>
      </c>
      <c r="B528" s="2" t="s">
        <v>522</v>
      </c>
      <c r="C528" s="30">
        <v>3.79</v>
      </c>
      <c r="D528" s="42">
        <v>3.32</v>
      </c>
      <c r="E528" s="29">
        <f t="shared" si="35"/>
        <v>146546.64140000002</v>
      </c>
      <c r="F528" s="323">
        <f t="shared" si="32"/>
        <v>140807.84</v>
      </c>
      <c r="G528" s="338">
        <f t="shared" si="33"/>
        <v>156255.79999999999</v>
      </c>
      <c r="H528" s="338">
        <f t="shared" si="34"/>
        <v>165332.68</v>
      </c>
    </row>
    <row r="529" spans="1:8" ht="13.2" customHeight="1" x14ac:dyDescent="0.25">
      <c r="A529" s="3">
        <v>19884</v>
      </c>
      <c r="B529" s="2" t="s">
        <v>523</v>
      </c>
      <c r="C529" s="30">
        <v>13.95</v>
      </c>
      <c r="D529" s="42">
        <v>12.24</v>
      </c>
      <c r="E529" s="29">
        <f t="shared" si="35"/>
        <v>539399.90700000001</v>
      </c>
      <c r="F529" s="323">
        <f t="shared" si="32"/>
        <v>519122.88</v>
      </c>
      <c r="G529" s="338">
        <f t="shared" si="33"/>
        <v>576075.6</v>
      </c>
      <c r="H529" s="338">
        <f t="shared" si="34"/>
        <v>609539.76</v>
      </c>
    </row>
    <row r="530" spans="1:8" ht="13.2" customHeight="1" x14ac:dyDescent="0.25">
      <c r="A530" s="3">
        <v>19885</v>
      </c>
      <c r="B530" s="2" t="s">
        <v>524</v>
      </c>
      <c r="C530" s="30">
        <v>3.31</v>
      </c>
      <c r="D530" s="42">
        <v>2.9</v>
      </c>
      <c r="E530" s="29">
        <f t="shared" si="35"/>
        <v>127986.64460000001</v>
      </c>
      <c r="F530" s="323">
        <f t="shared" si="32"/>
        <v>122994.8</v>
      </c>
      <c r="G530" s="338">
        <f t="shared" si="33"/>
        <v>136488.5</v>
      </c>
      <c r="H530" s="338">
        <f t="shared" si="34"/>
        <v>144417.1</v>
      </c>
    </row>
    <row r="531" spans="1:8" ht="13.2" customHeight="1" x14ac:dyDescent="0.25">
      <c r="A531" s="3">
        <v>19886</v>
      </c>
      <c r="B531" s="2" t="s">
        <v>525</v>
      </c>
      <c r="C531" s="30">
        <v>0.53</v>
      </c>
      <c r="D531" s="42">
        <v>0.47</v>
      </c>
      <c r="E531" s="29">
        <f t="shared" si="35"/>
        <v>20493.329800000003</v>
      </c>
      <c r="F531" s="323">
        <f t="shared" si="32"/>
        <v>19933.64</v>
      </c>
      <c r="G531" s="338">
        <f t="shared" si="33"/>
        <v>22120.55</v>
      </c>
      <c r="H531" s="338">
        <f t="shared" si="34"/>
        <v>23405.53</v>
      </c>
    </row>
    <row r="532" spans="1:8" ht="13.2" customHeight="1" x14ac:dyDescent="0.25">
      <c r="A532" s="3">
        <v>19889</v>
      </c>
      <c r="B532" s="2" t="s">
        <v>526</v>
      </c>
      <c r="C532" s="30">
        <v>2.0099999999999998</v>
      </c>
      <c r="D532" s="42">
        <v>1.76</v>
      </c>
      <c r="E532" s="29">
        <f t="shared" si="35"/>
        <v>77719.986600000004</v>
      </c>
      <c r="F532" s="323">
        <f t="shared" si="32"/>
        <v>74645.119999999995</v>
      </c>
      <c r="G532" s="338">
        <f t="shared" si="33"/>
        <v>82834.399999999994</v>
      </c>
      <c r="H532" s="338">
        <f t="shared" si="34"/>
        <v>87646.24</v>
      </c>
    </row>
    <row r="533" spans="1:8" ht="13.2" customHeight="1" x14ac:dyDescent="0.25">
      <c r="A533" s="3">
        <v>19890</v>
      </c>
      <c r="B533" s="2" t="s">
        <v>527</v>
      </c>
      <c r="C533" s="30">
        <v>2.37</v>
      </c>
      <c r="D533" s="42">
        <v>2.08</v>
      </c>
      <c r="E533" s="29">
        <f t="shared" si="35"/>
        <v>91639.984200000006</v>
      </c>
      <c r="F533" s="323">
        <f t="shared" si="32"/>
        <v>88216.960000000006</v>
      </c>
      <c r="G533" s="338">
        <f t="shared" si="33"/>
        <v>97895.2</v>
      </c>
      <c r="H533" s="338">
        <f t="shared" si="34"/>
        <v>103581.92</v>
      </c>
    </row>
    <row r="534" spans="1:8" ht="13.2" customHeight="1" x14ac:dyDescent="0.25">
      <c r="A534" s="3">
        <v>19891</v>
      </c>
      <c r="B534" s="2" t="s">
        <v>528</v>
      </c>
      <c r="C534" s="30">
        <v>0.98</v>
      </c>
      <c r="D534" s="42">
        <v>0.86</v>
      </c>
      <c r="E534" s="29">
        <f t="shared" si="35"/>
        <v>37893.326800000003</v>
      </c>
      <c r="F534" s="323">
        <f t="shared" si="32"/>
        <v>36474.32</v>
      </c>
      <c r="G534" s="338">
        <f t="shared" si="33"/>
        <v>40475.9</v>
      </c>
      <c r="H534" s="338">
        <f t="shared" si="34"/>
        <v>42827.14</v>
      </c>
    </row>
    <row r="535" spans="1:8" ht="13.2" customHeight="1" x14ac:dyDescent="0.25">
      <c r="A535" s="3">
        <v>19892</v>
      </c>
      <c r="B535" s="2" t="s">
        <v>529</v>
      </c>
      <c r="C535" s="30">
        <v>4.99</v>
      </c>
      <c r="D535" s="42">
        <v>4.38</v>
      </c>
      <c r="E535" s="29">
        <f t="shared" si="35"/>
        <v>192946.63340000002</v>
      </c>
      <c r="F535" s="323">
        <f t="shared" si="32"/>
        <v>185764.56</v>
      </c>
      <c r="G535" s="338">
        <f t="shared" si="33"/>
        <v>206144.69999999998</v>
      </c>
      <c r="H535" s="338">
        <f t="shared" si="34"/>
        <v>218119.62</v>
      </c>
    </row>
    <row r="536" spans="1:8" ht="13.2" customHeight="1" x14ac:dyDescent="0.25">
      <c r="A536" s="3">
        <v>19896</v>
      </c>
      <c r="B536" s="2" t="s">
        <v>530</v>
      </c>
      <c r="C536" s="31">
        <v>1.1000000000000001</v>
      </c>
      <c r="D536" s="42">
        <v>0.97</v>
      </c>
      <c r="E536" s="29">
        <f t="shared" si="35"/>
        <v>42533.326000000008</v>
      </c>
      <c r="F536" s="323">
        <f t="shared" si="32"/>
        <v>41139.64</v>
      </c>
      <c r="G536" s="338">
        <f t="shared" si="33"/>
        <v>45653.049999999996</v>
      </c>
      <c r="H536" s="338">
        <f t="shared" si="34"/>
        <v>48305.03</v>
      </c>
    </row>
    <row r="537" spans="1:8" ht="13.2" customHeight="1" x14ac:dyDescent="0.25">
      <c r="A537" s="3">
        <v>19897</v>
      </c>
      <c r="B537" s="2" t="s">
        <v>531</v>
      </c>
      <c r="C537" s="30">
        <v>0.83</v>
      </c>
      <c r="D537" s="42">
        <v>0.73</v>
      </c>
      <c r="E537" s="29">
        <f t="shared" si="35"/>
        <v>32093.327800000003</v>
      </c>
      <c r="F537" s="323">
        <f t="shared" si="32"/>
        <v>30960.76</v>
      </c>
      <c r="G537" s="338">
        <f t="shared" si="33"/>
        <v>34357.449999999997</v>
      </c>
      <c r="H537" s="338">
        <f t="shared" si="34"/>
        <v>36353.269999999997</v>
      </c>
    </row>
    <row r="538" spans="1:8" ht="13.2" customHeight="1" x14ac:dyDescent="0.25">
      <c r="A538" s="3">
        <v>19898</v>
      </c>
      <c r="B538" s="2" t="s">
        <v>532</v>
      </c>
      <c r="C538" s="30">
        <v>0.71</v>
      </c>
      <c r="D538" s="42">
        <v>0.62</v>
      </c>
      <c r="E538" s="29">
        <f t="shared" si="35"/>
        <v>27453.328600000001</v>
      </c>
      <c r="F538" s="323">
        <f t="shared" si="32"/>
        <v>26295.439999999999</v>
      </c>
      <c r="G538" s="338">
        <f t="shared" si="33"/>
        <v>29180.3</v>
      </c>
      <c r="H538" s="338">
        <f t="shared" si="34"/>
        <v>30875.38</v>
      </c>
    </row>
    <row r="539" spans="1:8" ht="13.2" customHeight="1" x14ac:dyDescent="0.25">
      <c r="A539" s="3">
        <v>19899</v>
      </c>
      <c r="B539" s="2" t="s">
        <v>533</v>
      </c>
      <c r="C539" s="30">
        <v>2.81</v>
      </c>
      <c r="D539" s="42">
        <v>2.46</v>
      </c>
      <c r="E539" s="29">
        <f t="shared" si="35"/>
        <v>108653.31460000001</v>
      </c>
      <c r="F539" s="323">
        <f t="shared" si="32"/>
        <v>104333.52</v>
      </c>
      <c r="G539" s="338">
        <f t="shared" si="33"/>
        <v>115779.9</v>
      </c>
      <c r="H539" s="338">
        <f t="shared" si="34"/>
        <v>122505.54</v>
      </c>
    </row>
    <row r="540" spans="1:8" ht="13.2" customHeight="1" x14ac:dyDescent="0.25">
      <c r="A540" s="3">
        <v>19902</v>
      </c>
      <c r="B540" s="2" t="s">
        <v>534</v>
      </c>
      <c r="C540" s="30">
        <v>1.76</v>
      </c>
      <c r="D540" s="42">
        <v>1.54</v>
      </c>
      <c r="E540" s="29">
        <f t="shared" si="35"/>
        <v>68053.32160000001</v>
      </c>
      <c r="F540" s="323">
        <f t="shared" si="32"/>
        <v>65314.48</v>
      </c>
      <c r="G540" s="338">
        <f t="shared" si="33"/>
        <v>72480.100000000006</v>
      </c>
      <c r="H540" s="338">
        <f t="shared" si="34"/>
        <v>76690.460000000006</v>
      </c>
    </row>
    <row r="541" spans="1:8" ht="13.2" customHeight="1" x14ac:dyDescent="0.25">
      <c r="A541" s="3">
        <v>19903</v>
      </c>
      <c r="B541" s="2" t="s">
        <v>535</v>
      </c>
      <c r="C541" s="30">
        <v>33.81</v>
      </c>
      <c r="D541" s="42">
        <v>29.65</v>
      </c>
      <c r="E541" s="29">
        <f t="shared" si="35"/>
        <v>1307319.7746000001</v>
      </c>
      <c r="F541" s="323">
        <f t="shared" si="32"/>
        <v>1257515.8</v>
      </c>
      <c r="G541" s="338">
        <f t="shared" si="33"/>
        <v>1395477.25</v>
      </c>
      <c r="H541" s="338">
        <f t="shared" si="34"/>
        <v>1476540.3499999999</v>
      </c>
    </row>
    <row r="542" spans="1:8" ht="13.2" customHeight="1" x14ac:dyDescent="0.25">
      <c r="A542" s="3">
        <v>19904</v>
      </c>
      <c r="B542" s="2" t="s">
        <v>536</v>
      </c>
      <c r="C542" s="30">
        <v>2.93</v>
      </c>
      <c r="D542" s="42">
        <v>2.57</v>
      </c>
      <c r="E542" s="29">
        <f t="shared" si="35"/>
        <v>113293.31380000002</v>
      </c>
      <c r="F542" s="323">
        <f t="shared" si="32"/>
        <v>108998.84</v>
      </c>
      <c r="G542" s="338">
        <f t="shared" si="33"/>
        <v>120957.04999999999</v>
      </c>
      <c r="H542" s="338">
        <f t="shared" si="34"/>
        <v>127983.43</v>
      </c>
    </row>
    <row r="543" spans="1:8" ht="13.2" customHeight="1" x14ac:dyDescent="0.25">
      <c r="A543" s="3">
        <v>19905</v>
      </c>
      <c r="B543" s="2" t="s">
        <v>537</v>
      </c>
      <c r="C543" s="30">
        <v>2.87</v>
      </c>
      <c r="D543" s="42">
        <v>2.52</v>
      </c>
      <c r="E543" s="29">
        <f t="shared" si="35"/>
        <v>110973.31420000001</v>
      </c>
      <c r="F543" s="323">
        <f t="shared" si="32"/>
        <v>106878.24</v>
      </c>
      <c r="G543" s="338">
        <f t="shared" si="33"/>
        <v>118603.8</v>
      </c>
      <c r="H543" s="338">
        <f t="shared" si="34"/>
        <v>125493.48</v>
      </c>
    </row>
    <row r="544" spans="1:8" ht="13.2" customHeight="1" x14ac:dyDescent="0.25">
      <c r="A544" s="3">
        <v>19907</v>
      </c>
      <c r="B544" s="2" t="s">
        <v>538</v>
      </c>
      <c r="C544" s="30">
        <v>2.63</v>
      </c>
      <c r="D544" s="42">
        <v>2.31</v>
      </c>
      <c r="E544" s="29">
        <f t="shared" si="35"/>
        <v>101693.31580000001</v>
      </c>
      <c r="F544" s="323">
        <f t="shared" si="32"/>
        <v>97971.72</v>
      </c>
      <c r="G544" s="338">
        <f t="shared" si="33"/>
        <v>108720.15000000001</v>
      </c>
      <c r="H544" s="338">
        <f t="shared" si="34"/>
        <v>115035.69</v>
      </c>
    </row>
    <row r="545" spans="1:8" ht="13.2" customHeight="1" x14ac:dyDescent="0.25">
      <c r="A545" s="3">
        <v>19908</v>
      </c>
      <c r="B545" s="2" t="s">
        <v>539</v>
      </c>
      <c r="C545" s="30">
        <v>0.71</v>
      </c>
      <c r="D545" s="42">
        <v>0.62</v>
      </c>
      <c r="E545" s="29">
        <f t="shared" si="35"/>
        <v>27453.328600000001</v>
      </c>
      <c r="F545" s="323">
        <f t="shared" si="32"/>
        <v>26295.439999999999</v>
      </c>
      <c r="G545" s="338">
        <f t="shared" si="33"/>
        <v>29180.3</v>
      </c>
      <c r="H545" s="338">
        <f t="shared" si="34"/>
        <v>30875.38</v>
      </c>
    </row>
    <row r="546" spans="1:8" ht="13.2" customHeight="1" x14ac:dyDescent="0.25">
      <c r="A546" s="3">
        <v>19910</v>
      </c>
      <c r="B546" s="2" t="s">
        <v>540</v>
      </c>
      <c r="C546" s="30">
        <v>2.4700000000000002</v>
      </c>
      <c r="D546" s="42">
        <v>2.17</v>
      </c>
      <c r="E546" s="29">
        <f t="shared" si="35"/>
        <v>95506.650200000018</v>
      </c>
      <c r="F546" s="323">
        <f t="shared" si="32"/>
        <v>92034.04</v>
      </c>
      <c r="G546" s="338">
        <f t="shared" si="33"/>
        <v>102131.05</v>
      </c>
      <c r="H546" s="338">
        <f t="shared" si="34"/>
        <v>108063.83</v>
      </c>
    </row>
    <row r="547" spans="1:8" ht="13.2" customHeight="1" x14ac:dyDescent="0.25">
      <c r="A547" s="3">
        <v>19911</v>
      </c>
      <c r="B547" s="2" t="s">
        <v>541</v>
      </c>
      <c r="C547" s="30">
        <v>2.63</v>
      </c>
      <c r="D547" s="42">
        <v>2.31</v>
      </c>
      <c r="E547" s="29">
        <f t="shared" si="35"/>
        <v>101693.31580000001</v>
      </c>
      <c r="F547" s="323">
        <f t="shared" si="32"/>
        <v>97971.72</v>
      </c>
      <c r="G547" s="338">
        <f t="shared" si="33"/>
        <v>108720.15000000001</v>
      </c>
      <c r="H547" s="338">
        <f t="shared" si="34"/>
        <v>115035.69</v>
      </c>
    </row>
    <row r="548" spans="1:8" ht="13.2" customHeight="1" x14ac:dyDescent="0.25">
      <c r="A548" s="3">
        <v>19912</v>
      </c>
      <c r="B548" s="2" t="s">
        <v>542</v>
      </c>
      <c r="C548" s="30">
        <v>5.64</v>
      </c>
      <c r="D548" s="42">
        <v>4.95</v>
      </c>
      <c r="E548" s="29">
        <f t="shared" si="35"/>
        <v>218079.96240000002</v>
      </c>
      <c r="F548" s="323">
        <f t="shared" si="32"/>
        <v>209939.4</v>
      </c>
      <c r="G548" s="338">
        <f t="shared" si="33"/>
        <v>232971.75</v>
      </c>
      <c r="H548" s="338">
        <f t="shared" si="34"/>
        <v>246505.05000000002</v>
      </c>
    </row>
    <row r="549" spans="1:8" ht="13.2" customHeight="1" x14ac:dyDescent="0.25">
      <c r="A549" s="3">
        <v>19913</v>
      </c>
      <c r="B549" s="2" t="s">
        <v>543</v>
      </c>
      <c r="C549" s="30">
        <v>8.4499999999999993</v>
      </c>
      <c r="D549" s="42">
        <v>7.41</v>
      </c>
      <c r="E549" s="29">
        <f t="shared" si="35"/>
        <v>326733.277</v>
      </c>
      <c r="F549" s="323">
        <f t="shared" si="32"/>
        <v>314272.92</v>
      </c>
      <c r="G549" s="338">
        <f t="shared" si="33"/>
        <v>348751.65</v>
      </c>
      <c r="H549" s="338">
        <f t="shared" si="34"/>
        <v>369010.59</v>
      </c>
    </row>
    <row r="550" spans="1:8" ht="13.2" customHeight="1" x14ac:dyDescent="0.25">
      <c r="A550" s="3">
        <v>19915</v>
      </c>
      <c r="B550" s="2" t="s">
        <v>544</v>
      </c>
      <c r="C550" s="30">
        <v>2.63</v>
      </c>
      <c r="D550" s="42">
        <v>2.31</v>
      </c>
      <c r="E550" s="29">
        <f t="shared" si="35"/>
        <v>101693.31580000001</v>
      </c>
      <c r="F550" s="323">
        <f t="shared" si="32"/>
        <v>97971.72</v>
      </c>
      <c r="G550" s="338">
        <f t="shared" si="33"/>
        <v>108720.15000000001</v>
      </c>
      <c r="H550" s="338">
        <f t="shared" si="34"/>
        <v>115035.69</v>
      </c>
    </row>
    <row r="551" spans="1:8" ht="13.2" customHeight="1" x14ac:dyDescent="0.25">
      <c r="A551" s="3">
        <v>19916</v>
      </c>
      <c r="B551" s="2" t="s">
        <v>545</v>
      </c>
      <c r="C551" s="30">
        <v>1.97</v>
      </c>
      <c r="D551" s="42">
        <v>1.73</v>
      </c>
      <c r="E551" s="29">
        <f t="shared" si="35"/>
        <v>76173.320200000002</v>
      </c>
      <c r="F551" s="323">
        <f t="shared" si="32"/>
        <v>73372.759999999995</v>
      </c>
      <c r="G551" s="338">
        <f t="shared" si="33"/>
        <v>81422.45</v>
      </c>
      <c r="H551" s="338">
        <f t="shared" si="34"/>
        <v>86152.27</v>
      </c>
    </row>
    <row r="552" spans="1:8" ht="13.2" customHeight="1" x14ac:dyDescent="0.25">
      <c r="A552" s="3">
        <v>19917</v>
      </c>
      <c r="B552" s="2" t="s">
        <v>546</v>
      </c>
      <c r="C552" s="32">
        <v>2</v>
      </c>
      <c r="D552" s="42">
        <v>1.75</v>
      </c>
      <c r="E552" s="29">
        <f t="shared" si="35"/>
        <v>77333.320000000007</v>
      </c>
      <c r="F552" s="323">
        <f t="shared" si="32"/>
        <v>74221</v>
      </c>
      <c r="G552" s="338">
        <f t="shared" si="33"/>
        <v>82363.75</v>
      </c>
      <c r="H552" s="338">
        <f t="shared" si="34"/>
        <v>87148.25</v>
      </c>
    </row>
    <row r="553" spans="1:8" ht="13.2" customHeight="1" x14ac:dyDescent="0.25">
      <c r="A553" s="3">
        <v>19921</v>
      </c>
      <c r="B553" s="2" t="s">
        <v>547</v>
      </c>
      <c r="C553" s="30">
        <v>0.95</v>
      </c>
      <c r="D553" s="42">
        <v>0.83</v>
      </c>
      <c r="E553" s="29">
        <f t="shared" si="35"/>
        <v>36733.327000000005</v>
      </c>
      <c r="F553" s="323">
        <f t="shared" si="32"/>
        <v>35201.96</v>
      </c>
      <c r="G553" s="338">
        <f t="shared" si="33"/>
        <v>39063.949999999997</v>
      </c>
      <c r="H553" s="338">
        <f t="shared" si="34"/>
        <v>41333.17</v>
      </c>
    </row>
    <row r="554" spans="1:8" ht="13.2" customHeight="1" x14ac:dyDescent="0.25">
      <c r="A554" s="3">
        <v>19922</v>
      </c>
      <c r="B554" s="2" t="s">
        <v>548</v>
      </c>
      <c r="C554" s="30">
        <v>0.95</v>
      </c>
      <c r="D554" s="42">
        <v>0.83</v>
      </c>
      <c r="E554" s="29">
        <f t="shared" si="35"/>
        <v>36733.327000000005</v>
      </c>
      <c r="F554" s="323">
        <f t="shared" si="32"/>
        <v>35201.96</v>
      </c>
      <c r="G554" s="338">
        <f t="shared" si="33"/>
        <v>39063.949999999997</v>
      </c>
      <c r="H554" s="338">
        <f t="shared" si="34"/>
        <v>41333.17</v>
      </c>
    </row>
    <row r="555" spans="1:8" ht="13.2" customHeight="1" x14ac:dyDescent="0.25">
      <c r="A555" s="3">
        <v>19923</v>
      </c>
      <c r="B555" s="2" t="s">
        <v>549</v>
      </c>
      <c r="C555" s="30">
        <v>1.29</v>
      </c>
      <c r="D555" s="42">
        <v>1.1299999999999999</v>
      </c>
      <c r="E555" s="29">
        <f t="shared" si="35"/>
        <v>49879.991400000006</v>
      </c>
      <c r="F555" s="323">
        <f t="shared" si="32"/>
        <v>47925.56</v>
      </c>
      <c r="G555" s="338">
        <f t="shared" si="33"/>
        <v>53183.45</v>
      </c>
      <c r="H555" s="338">
        <f t="shared" si="34"/>
        <v>56272.869999999995</v>
      </c>
    </row>
    <row r="556" spans="1:8" ht="13.2" customHeight="1" x14ac:dyDescent="0.25">
      <c r="A556" s="3">
        <v>19926</v>
      </c>
      <c r="B556" s="2" t="s">
        <v>550</v>
      </c>
      <c r="C556" s="30">
        <v>1.44</v>
      </c>
      <c r="D556" s="42">
        <v>1.26</v>
      </c>
      <c r="E556" s="29">
        <f t="shared" si="35"/>
        <v>55679.990400000002</v>
      </c>
      <c r="F556" s="323">
        <f t="shared" si="32"/>
        <v>53439.12</v>
      </c>
      <c r="G556" s="338">
        <f t="shared" si="33"/>
        <v>59301.9</v>
      </c>
      <c r="H556" s="338">
        <f t="shared" si="34"/>
        <v>62746.74</v>
      </c>
    </row>
    <row r="557" spans="1:8" ht="13.2" customHeight="1" x14ac:dyDescent="0.25">
      <c r="A557" s="3">
        <v>19927</v>
      </c>
      <c r="B557" s="2" t="s">
        <v>551</v>
      </c>
      <c r="C557" s="30">
        <v>4.0599999999999996</v>
      </c>
      <c r="D557" s="42">
        <v>3.56</v>
      </c>
      <c r="E557" s="29">
        <f t="shared" si="35"/>
        <v>156986.63959999999</v>
      </c>
      <c r="F557" s="323">
        <f t="shared" si="32"/>
        <v>150986.72</v>
      </c>
      <c r="G557" s="338">
        <f t="shared" si="33"/>
        <v>167551.4</v>
      </c>
      <c r="H557" s="338">
        <f t="shared" si="34"/>
        <v>177284.44</v>
      </c>
    </row>
    <row r="558" spans="1:8" ht="13.2" customHeight="1" x14ac:dyDescent="0.25">
      <c r="A558" s="3">
        <v>19928</v>
      </c>
      <c r="B558" s="2" t="s">
        <v>552</v>
      </c>
      <c r="C558" s="30">
        <v>3.05</v>
      </c>
      <c r="D558" s="42">
        <v>2.68</v>
      </c>
      <c r="E558" s="29">
        <f t="shared" si="35"/>
        <v>117933.31300000001</v>
      </c>
      <c r="F558" s="323">
        <f t="shared" si="32"/>
        <v>113664.16</v>
      </c>
      <c r="G558" s="338">
        <f t="shared" si="33"/>
        <v>126134.20000000001</v>
      </c>
      <c r="H558" s="338">
        <f t="shared" si="34"/>
        <v>133461.32</v>
      </c>
    </row>
    <row r="559" spans="1:8" ht="13.2" customHeight="1" x14ac:dyDescent="0.25">
      <c r="A559" s="3">
        <v>19929</v>
      </c>
      <c r="B559" s="2" t="s">
        <v>553</v>
      </c>
      <c r="C559" s="30">
        <v>3.05</v>
      </c>
      <c r="D559" s="42">
        <v>2.68</v>
      </c>
      <c r="E559" s="29">
        <f t="shared" si="35"/>
        <v>117933.31300000001</v>
      </c>
      <c r="F559" s="323">
        <f t="shared" si="32"/>
        <v>113664.16</v>
      </c>
      <c r="G559" s="338">
        <f t="shared" si="33"/>
        <v>126134.20000000001</v>
      </c>
      <c r="H559" s="338">
        <f t="shared" si="34"/>
        <v>133461.32</v>
      </c>
    </row>
    <row r="560" spans="1:8" ht="13.2" customHeight="1" x14ac:dyDescent="0.25">
      <c r="A560" s="3">
        <v>19933</v>
      </c>
      <c r="B560" s="2" t="s">
        <v>554</v>
      </c>
      <c r="C560" s="30">
        <v>0.87</v>
      </c>
      <c r="D560" s="42">
        <v>0.76</v>
      </c>
      <c r="E560" s="29">
        <f t="shared" si="35"/>
        <v>33639.994200000001</v>
      </c>
      <c r="F560" s="323">
        <f t="shared" si="32"/>
        <v>32233.119999999999</v>
      </c>
      <c r="G560" s="338">
        <f t="shared" si="33"/>
        <v>35769.4</v>
      </c>
      <c r="H560" s="338">
        <f t="shared" si="34"/>
        <v>37847.24</v>
      </c>
    </row>
    <row r="561" spans="1:8" ht="13.2" customHeight="1" x14ac:dyDescent="0.25">
      <c r="A561" s="3">
        <v>19934</v>
      </c>
      <c r="B561" s="2" t="s">
        <v>555</v>
      </c>
      <c r="C561" s="30">
        <v>0.87</v>
      </c>
      <c r="D561" s="42">
        <v>0.76</v>
      </c>
      <c r="E561" s="29">
        <f t="shared" si="35"/>
        <v>33639.994200000001</v>
      </c>
      <c r="F561" s="323">
        <f t="shared" si="32"/>
        <v>32233.119999999999</v>
      </c>
      <c r="G561" s="338">
        <f t="shared" si="33"/>
        <v>35769.4</v>
      </c>
      <c r="H561" s="338">
        <f t="shared" si="34"/>
        <v>37847.24</v>
      </c>
    </row>
    <row r="562" spans="1:8" ht="13.2" customHeight="1" x14ac:dyDescent="0.25">
      <c r="A562" s="3">
        <v>19935</v>
      </c>
      <c r="B562" s="2" t="s">
        <v>556</v>
      </c>
      <c r="C562" s="30">
        <v>2.99</v>
      </c>
      <c r="D562" s="42">
        <v>2.62</v>
      </c>
      <c r="E562" s="29">
        <f t="shared" si="35"/>
        <v>115613.31340000001</v>
      </c>
      <c r="F562" s="323">
        <f t="shared" si="32"/>
        <v>111119.44</v>
      </c>
      <c r="G562" s="338">
        <f t="shared" si="33"/>
        <v>123310.3</v>
      </c>
      <c r="H562" s="338">
        <f t="shared" si="34"/>
        <v>130473.38</v>
      </c>
    </row>
    <row r="563" spans="1:8" ht="13.2" customHeight="1" x14ac:dyDescent="0.25">
      <c r="A563" s="3">
        <v>19939</v>
      </c>
      <c r="B563" s="2" t="s">
        <v>557</v>
      </c>
      <c r="C563" s="30">
        <v>1.58</v>
      </c>
      <c r="D563" s="42">
        <v>1.39</v>
      </c>
      <c r="E563" s="29">
        <f t="shared" si="35"/>
        <v>61093.322800000009</v>
      </c>
      <c r="F563" s="323">
        <f t="shared" si="32"/>
        <v>58952.679999999993</v>
      </c>
      <c r="G563" s="338">
        <f t="shared" si="33"/>
        <v>65420.35</v>
      </c>
      <c r="H563" s="338">
        <f t="shared" si="34"/>
        <v>69220.61</v>
      </c>
    </row>
    <row r="564" spans="1:8" ht="13.2" customHeight="1" x14ac:dyDescent="0.25">
      <c r="A564" s="3">
        <v>19940</v>
      </c>
      <c r="B564" s="2" t="s">
        <v>558</v>
      </c>
      <c r="C564" s="30">
        <v>0.56000000000000005</v>
      </c>
      <c r="D564" s="42">
        <v>0.49</v>
      </c>
      <c r="E564" s="29">
        <f t="shared" si="35"/>
        <v>21653.329600000005</v>
      </c>
      <c r="F564" s="323">
        <f t="shared" si="32"/>
        <v>20781.88</v>
      </c>
      <c r="G564" s="338">
        <f t="shared" si="33"/>
        <v>23061.85</v>
      </c>
      <c r="H564" s="338">
        <f t="shared" si="34"/>
        <v>24401.51</v>
      </c>
    </row>
    <row r="565" spans="1:8" ht="13.2" customHeight="1" x14ac:dyDescent="0.25">
      <c r="A565" s="3">
        <v>19941</v>
      </c>
      <c r="B565" s="2" t="s">
        <v>559</v>
      </c>
      <c r="C565" s="30">
        <v>1.26</v>
      </c>
      <c r="D565" s="42">
        <v>1.1100000000000001</v>
      </c>
      <c r="E565" s="29">
        <f t="shared" si="35"/>
        <v>48719.991600000001</v>
      </c>
      <c r="F565" s="323">
        <f t="shared" si="32"/>
        <v>47077.320000000007</v>
      </c>
      <c r="G565" s="338">
        <f t="shared" si="33"/>
        <v>52242.15</v>
      </c>
      <c r="H565" s="338">
        <f t="shared" si="34"/>
        <v>55276.890000000007</v>
      </c>
    </row>
    <row r="566" spans="1:8" ht="13.2" customHeight="1" x14ac:dyDescent="0.25">
      <c r="A566" s="3">
        <v>19945</v>
      </c>
      <c r="B566" s="2" t="s">
        <v>560</v>
      </c>
      <c r="C566" s="30">
        <v>2.31</v>
      </c>
      <c r="D566" s="42">
        <v>2.0299999999999998</v>
      </c>
      <c r="E566" s="29">
        <f t="shared" si="35"/>
        <v>89319.984600000011</v>
      </c>
      <c r="F566" s="323">
        <f t="shared" si="32"/>
        <v>86096.359999999986</v>
      </c>
      <c r="G566" s="338">
        <f t="shared" si="33"/>
        <v>95541.95</v>
      </c>
      <c r="H566" s="338">
        <f t="shared" si="34"/>
        <v>101091.96999999999</v>
      </c>
    </row>
    <row r="567" spans="1:8" ht="13.2" customHeight="1" x14ac:dyDescent="0.25">
      <c r="A567" s="3">
        <v>19946</v>
      </c>
      <c r="B567" s="2" t="s">
        <v>561</v>
      </c>
      <c r="C567" s="30">
        <v>0.89</v>
      </c>
      <c r="D567" s="42">
        <v>0.78</v>
      </c>
      <c r="E567" s="29">
        <f t="shared" si="35"/>
        <v>34413.327400000002</v>
      </c>
      <c r="F567" s="323">
        <f t="shared" si="32"/>
        <v>33081.360000000001</v>
      </c>
      <c r="G567" s="338">
        <f t="shared" si="33"/>
        <v>36710.700000000004</v>
      </c>
      <c r="H567" s="338">
        <f t="shared" si="34"/>
        <v>38843.22</v>
      </c>
    </row>
    <row r="568" spans="1:8" ht="13.2" customHeight="1" x14ac:dyDescent="0.25">
      <c r="A568" s="3">
        <v>19947</v>
      </c>
      <c r="B568" s="2" t="s">
        <v>562</v>
      </c>
      <c r="C568" s="30">
        <v>2.5299999999999998</v>
      </c>
      <c r="D568" s="42">
        <v>2.2200000000000002</v>
      </c>
      <c r="E568" s="29">
        <f t="shared" si="35"/>
        <v>97826.649799999999</v>
      </c>
      <c r="F568" s="323">
        <f t="shared" si="32"/>
        <v>94154.640000000014</v>
      </c>
      <c r="G568" s="338">
        <f t="shared" si="33"/>
        <v>104484.3</v>
      </c>
      <c r="H568" s="338">
        <f t="shared" si="34"/>
        <v>110553.78000000001</v>
      </c>
    </row>
    <row r="569" spans="1:8" ht="13.2" customHeight="1" x14ac:dyDescent="0.25">
      <c r="A569" s="3">
        <v>19948</v>
      </c>
      <c r="B569" s="2" t="s">
        <v>563</v>
      </c>
      <c r="C569" s="30">
        <v>1.96</v>
      </c>
      <c r="D569" s="42">
        <v>1.72</v>
      </c>
      <c r="E569" s="29">
        <f t="shared" si="35"/>
        <v>75786.653600000005</v>
      </c>
      <c r="F569" s="323">
        <f t="shared" si="32"/>
        <v>72948.639999999999</v>
      </c>
      <c r="G569" s="338">
        <f t="shared" si="33"/>
        <v>80951.8</v>
      </c>
      <c r="H569" s="338">
        <f t="shared" si="34"/>
        <v>85654.28</v>
      </c>
    </row>
    <row r="570" spans="1:8" ht="13.2" customHeight="1" x14ac:dyDescent="0.25">
      <c r="A570" s="3">
        <v>19951</v>
      </c>
      <c r="B570" s="2" t="s">
        <v>564</v>
      </c>
      <c r="C570" s="30">
        <v>1.96</v>
      </c>
      <c r="D570" s="42">
        <v>1.72</v>
      </c>
      <c r="E570" s="29">
        <f t="shared" si="35"/>
        <v>75786.653600000005</v>
      </c>
      <c r="F570" s="323">
        <f t="shared" si="32"/>
        <v>72948.639999999999</v>
      </c>
      <c r="G570" s="338">
        <f t="shared" si="33"/>
        <v>80951.8</v>
      </c>
      <c r="H570" s="338">
        <f t="shared" si="34"/>
        <v>85654.28</v>
      </c>
    </row>
    <row r="571" spans="1:8" ht="13.2" customHeight="1" x14ac:dyDescent="0.25">
      <c r="A571" s="3">
        <v>19952</v>
      </c>
      <c r="B571" s="2" t="s">
        <v>565</v>
      </c>
      <c r="C571" s="30">
        <v>0.37</v>
      </c>
      <c r="D571" s="42">
        <v>0.33</v>
      </c>
      <c r="E571" s="29">
        <f t="shared" si="35"/>
        <v>14306.664200000001</v>
      </c>
      <c r="F571" s="323">
        <f t="shared" si="32"/>
        <v>13995.960000000001</v>
      </c>
      <c r="G571" s="338">
        <f t="shared" si="33"/>
        <v>15531.45</v>
      </c>
      <c r="H571" s="338">
        <f t="shared" si="34"/>
        <v>16433.670000000002</v>
      </c>
    </row>
    <row r="572" spans="1:8" ht="13.2" customHeight="1" x14ac:dyDescent="0.25">
      <c r="A572" s="3">
        <v>19953</v>
      </c>
      <c r="B572" s="2" t="s">
        <v>566</v>
      </c>
      <c r="C572" s="30">
        <v>1.02</v>
      </c>
      <c r="D572" s="42">
        <v>0.9</v>
      </c>
      <c r="E572" s="29">
        <f t="shared" si="35"/>
        <v>39439.993200000004</v>
      </c>
      <c r="F572" s="323">
        <f t="shared" si="32"/>
        <v>38170.800000000003</v>
      </c>
      <c r="G572" s="338">
        <f t="shared" si="33"/>
        <v>42358.5</v>
      </c>
      <c r="H572" s="338">
        <f t="shared" si="34"/>
        <v>44819.1</v>
      </c>
    </row>
    <row r="573" spans="1:8" ht="13.2" customHeight="1" x14ac:dyDescent="0.25">
      <c r="A573" s="3">
        <v>19957</v>
      </c>
      <c r="B573" s="2" t="s">
        <v>567</v>
      </c>
      <c r="C573" s="30">
        <v>0.68</v>
      </c>
      <c r="D573" s="42">
        <v>0.6</v>
      </c>
      <c r="E573" s="29">
        <f t="shared" si="35"/>
        <v>26293.328800000003</v>
      </c>
      <c r="F573" s="323">
        <f t="shared" si="32"/>
        <v>25447.200000000001</v>
      </c>
      <c r="G573" s="338">
        <f t="shared" si="33"/>
        <v>28239</v>
      </c>
      <c r="H573" s="338">
        <f t="shared" si="34"/>
        <v>29879.399999999998</v>
      </c>
    </row>
    <row r="574" spans="1:8" ht="13.2" customHeight="1" x14ac:dyDescent="0.25">
      <c r="A574" s="3">
        <v>19958</v>
      </c>
      <c r="B574" s="2" t="s">
        <v>568</v>
      </c>
      <c r="C574" s="30">
        <v>1.18</v>
      </c>
      <c r="D574" s="42">
        <v>1.03</v>
      </c>
      <c r="E574" s="29">
        <f t="shared" si="35"/>
        <v>45626.658800000005</v>
      </c>
      <c r="F574" s="323">
        <f t="shared" si="32"/>
        <v>43684.36</v>
      </c>
      <c r="G574" s="338">
        <f t="shared" si="33"/>
        <v>48476.950000000004</v>
      </c>
      <c r="H574" s="338">
        <f t="shared" si="34"/>
        <v>51292.97</v>
      </c>
    </row>
    <row r="575" spans="1:8" ht="13.2" customHeight="1" x14ac:dyDescent="0.25">
      <c r="A575" s="3">
        <v>19959</v>
      </c>
      <c r="B575" s="2" t="s">
        <v>569</v>
      </c>
      <c r="C575" s="30">
        <v>2.56</v>
      </c>
      <c r="D575" s="42">
        <v>2.25</v>
      </c>
      <c r="E575" s="29">
        <f t="shared" si="35"/>
        <v>98986.649600000004</v>
      </c>
      <c r="F575" s="323">
        <f t="shared" si="32"/>
        <v>95427</v>
      </c>
      <c r="G575" s="338">
        <f t="shared" si="33"/>
        <v>105896.25</v>
      </c>
      <c r="H575" s="338">
        <f t="shared" si="34"/>
        <v>112047.75</v>
      </c>
    </row>
    <row r="576" spans="1:8" ht="13.2" customHeight="1" x14ac:dyDescent="0.25">
      <c r="A576" s="3">
        <v>19960</v>
      </c>
      <c r="B576" s="2" t="s">
        <v>570</v>
      </c>
      <c r="C576" s="30">
        <v>8.6300000000000008</v>
      </c>
      <c r="D576" s="42">
        <v>7.57</v>
      </c>
      <c r="E576" s="29">
        <f t="shared" si="35"/>
        <v>333693.27580000006</v>
      </c>
      <c r="F576" s="323">
        <f t="shared" si="32"/>
        <v>321058.84000000003</v>
      </c>
      <c r="G576" s="338">
        <f t="shared" si="33"/>
        <v>356282.05</v>
      </c>
      <c r="H576" s="338">
        <f t="shared" si="34"/>
        <v>376978.43</v>
      </c>
    </row>
    <row r="577" spans="1:8" ht="13.2" customHeight="1" x14ac:dyDescent="0.25">
      <c r="A577" s="3">
        <v>19964</v>
      </c>
      <c r="B577" s="2" t="s">
        <v>571</v>
      </c>
      <c r="C577" s="30">
        <v>0.44</v>
      </c>
      <c r="D577" s="42">
        <v>0.39</v>
      </c>
      <c r="E577" s="29">
        <f t="shared" si="35"/>
        <v>17013.330400000003</v>
      </c>
      <c r="F577" s="323">
        <f t="shared" si="32"/>
        <v>16540.68</v>
      </c>
      <c r="G577" s="338">
        <f t="shared" si="33"/>
        <v>18355.350000000002</v>
      </c>
      <c r="H577" s="338">
        <f t="shared" si="34"/>
        <v>19421.61</v>
      </c>
    </row>
    <row r="578" spans="1:8" ht="13.2" customHeight="1" x14ac:dyDescent="0.25">
      <c r="A578" s="3">
        <v>19965</v>
      </c>
      <c r="B578" s="2" t="s">
        <v>572</v>
      </c>
      <c r="C578" s="30">
        <v>0.53</v>
      </c>
      <c r="D578" s="42">
        <v>0.47</v>
      </c>
      <c r="E578" s="29">
        <f t="shared" si="35"/>
        <v>20493.329800000003</v>
      </c>
      <c r="F578" s="323">
        <f t="shared" si="32"/>
        <v>19933.64</v>
      </c>
      <c r="G578" s="338">
        <f t="shared" si="33"/>
        <v>22120.55</v>
      </c>
      <c r="H578" s="338">
        <f t="shared" si="34"/>
        <v>23405.53</v>
      </c>
    </row>
    <row r="579" spans="1:8" ht="13.2" customHeight="1" x14ac:dyDescent="0.25">
      <c r="A579" s="3">
        <v>19966</v>
      </c>
      <c r="B579" s="2" t="s">
        <v>573</v>
      </c>
      <c r="C579" s="30">
        <v>2.19</v>
      </c>
      <c r="D579" s="42">
        <v>1.92</v>
      </c>
      <c r="E579" s="29">
        <f t="shared" si="35"/>
        <v>84679.985400000005</v>
      </c>
      <c r="F579" s="323">
        <f t="shared" si="32"/>
        <v>81431.039999999994</v>
      </c>
      <c r="G579" s="338">
        <f t="shared" si="33"/>
        <v>90364.800000000003</v>
      </c>
      <c r="H579" s="338">
        <f t="shared" si="34"/>
        <v>95614.080000000002</v>
      </c>
    </row>
    <row r="580" spans="1:8" ht="13.2" customHeight="1" x14ac:dyDescent="0.25">
      <c r="A580" s="3">
        <v>19970</v>
      </c>
      <c r="B580" s="2" t="s">
        <v>574</v>
      </c>
      <c r="C580" s="30">
        <v>1.04</v>
      </c>
      <c r="D580" s="42">
        <v>0.91</v>
      </c>
      <c r="E580" s="29">
        <f t="shared" si="35"/>
        <v>40213.326400000005</v>
      </c>
      <c r="F580" s="323">
        <f t="shared" si="32"/>
        <v>38594.92</v>
      </c>
      <c r="G580" s="338">
        <f t="shared" si="33"/>
        <v>42829.15</v>
      </c>
      <c r="H580" s="338">
        <f t="shared" si="34"/>
        <v>45317.090000000004</v>
      </c>
    </row>
    <row r="581" spans="1:8" ht="13.2" customHeight="1" x14ac:dyDescent="0.25">
      <c r="A581" s="3">
        <v>19975</v>
      </c>
      <c r="B581" s="2" t="s">
        <v>575</v>
      </c>
      <c r="C581" s="30">
        <v>2.0699999999999998</v>
      </c>
      <c r="D581" s="42">
        <v>1.82</v>
      </c>
      <c r="E581" s="29">
        <f t="shared" si="35"/>
        <v>80039.986199999999</v>
      </c>
      <c r="F581" s="323">
        <f t="shared" si="32"/>
        <v>77189.84</v>
      </c>
      <c r="G581" s="338">
        <f t="shared" si="33"/>
        <v>85658.3</v>
      </c>
      <c r="H581" s="338">
        <f t="shared" si="34"/>
        <v>90634.180000000008</v>
      </c>
    </row>
    <row r="582" spans="1:8" ht="13.2" customHeight="1" x14ac:dyDescent="0.25">
      <c r="A582" s="3">
        <v>19976</v>
      </c>
      <c r="B582" s="2" t="s">
        <v>576</v>
      </c>
      <c r="C582" s="30">
        <v>1.58</v>
      </c>
      <c r="D582" s="42">
        <v>1.39</v>
      </c>
      <c r="E582" s="29">
        <f t="shared" si="35"/>
        <v>61093.322800000009</v>
      </c>
      <c r="F582" s="323">
        <f t="shared" si="32"/>
        <v>58952.679999999993</v>
      </c>
      <c r="G582" s="338">
        <f t="shared" si="33"/>
        <v>65420.35</v>
      </c>
      <c r="H582" s="338">
        <f t="shared" si="34"/>
        <v>69220.61</v>
      </c>
    </row>
    <row r="583" spans="1:8" ht="13.2" customHeight="1" x14ac:dyDescent="0.25">
      <c r="A583" s="3">
        <v>19977</v>
      </c>
      <c r="B583" s="2" t="s">
        <v>577</v>
      </c>
      <c r="C583" s="30">
        <v>0.19</v>
      </c>
      <c r="D583" s="42">
        <v>0.17</v>
      </c>
      <c r="E583" s="29">
        <f t="shared" ref="E583:E586" si="36">+$C583*$E$2</f>
        <v>7346.6654000000008</v>
      </c>
      <c r="F583" s="323">
        <f t="shared" si="32"/>
        <v>7210.0400000000009</v>
      </c>
      <c r="G583" s="338">
        <f t="shared" si="33"/>
        <v>8001.05</v>
      </c>
      <c r="H583" s="338">
        <f t="shared" si="34"/>
        <v>8465.83</v>
      </c>
    </row>
    <row r="584" spans="1:8" ht="13.2" customHeight="1" x14ac:dyDescent="0.25">
      <c r="A584" s="3">
        <v>19981</v>
      </c>
      <c r="B584" s="2" t="s">
        <v>578</v>
      </c>
      <c r="C584" s="31">
        <v>4.4000000000000004</v>
      </c>
      <c r="D584" s="42">
        <v>3.86</v>
      </c>
      <c r="E584" s="29">
        <f t="shared" si="36"/>
        <v>170133.30400000003</v>
      </c>
      <c r="F584" s="323">
        <f t="shared" si="32"/>
        <v>163710.32</v>
      </c>
      <c r="G584" s="338">
        <f t="shared" si="33"/>
        <v>181670.9</v>
      </c>
      <c r="H584" s="338">
        <f t="shared" si="34"/>
        <v>192224.13999999998</v>
      </c>
    </row>
    <row r="585" spans="1:8" ht="13.2" customHeight="1" x14ac:dyDescent="0.25">
      <c r="A585" s="3">
        <v>19986</v>
      </c>
      <c r="B585" s="2" t="s">
        <v>579</v>
      </c>
      <c r="C585" s="30">
        <v>1.79</v>
      </c>
      <c r="D585" s="42">
        <v>1.57</v>
      </c>
      <c r="E585" s="29">
        <f t="shared" si="36"/>
        <v>69213.321400000001</v>
      </c>
      <c r="F585" s="323">
        <f t="shared" si="32"/>
        <v>66586.84</v>
      </c>
      <c r="G585" s="338">
        <f t="shared" si="33"/>
        <v>73892.05</v>
      </c>
      <c r="H585" s="338">
        <f t="shared" si="34"/>
        <v>78184.430000000008</v>
      </c>
    </row>
    <row r="586" spans="1:8" ht="13.2" customHeight="1" thickBot="1" x14ac:dyDescent="0.3">
      <c r="A586" s="8">
        <v>19991</v>
      </c>
      <c r="B586" s="9" t="s">
        <v>580</v>
      </c>
      <c r="C586" s="33">
        <v>2.12</v>
      </c>
      <c r="D586" s="43">
        <v>1.86</v>
      </c>
      <c r="E586" s="47">
        <f t="shared" si="36"/>
        <v>81973.319200000013</v>
      </c>
      <c r="F586" s="324">
        <f t="shared" si="32"/>
        <v>78886.320000000007</v>
      </c>
      <c r="G586" s="341">
        <f t="shared" si="33"/>
        <v>87540.900000000009</v>
      </c>
      <c r="H586" s="341">
        <f t="shared" si="34"/>
        <v>92626.14</v>
      </c>
    </row>
    <row r="587" spans="1:8" ht="15.6" customHeight="1" thickBot="1" x14ac:dyDescent="0.3">
      <c r="A587" s="16" t="s">
        <v>587</v>
      </c>
      <c r="B587" s="14"/>
      <c r="C587" s="351"/>
      <c r="D587" s="351"/>
      <c r="E587" s="351"/>
      <c r="F587" s="351" t="s">
        <v>3476</v>
      </c>
      <c r="G587" s="352" t="s">
        <v>3476</v>
      </c>
      <c r="H587" s="353" t="s">
        <v>3476</v>
      </c>
    </row>
    <row r="588" spans="1:8" ht="16.2" thickBot="1" x14ac:dyDescent="0.3">
      <c r="A588" s="20" t="s">
        <v>614</v>
      </c>
      <c r="B588" s="21"/>
      <c r="C588" s="354" t="s">
        <v>3476</v>
      </c>
      <c r="D588" s="354" t="s">
        <v>3476</v>
      </c>
      <c r="E588" s="354" t="s">
        <v>3476</v>
      </c>
      <c r="F588" s="354" t="s">
        <v>3476</v>
      </c>
      <c r="G588" s="355" t="s">
        <v>3476</v>
      </c>
      <c r="H588" s="356" t="s">
        <v>3476</v>
      </c>
    </row>
    <row r="589" spans="1:8" ht="16.2" thickBot="1" x14ac:dyDescent="0.3">
      <c r="A589" s="20" t="s">
        <v>613</v>
      </c>
      <c r="B589" s="21"/>
      <c r="C589" s="354" t="s">
        <v>3476</v>
      </c>
      <c r="D589" s="354" t="s">
        <v>3476</v>
      </c>
      <c r="E589" s="354" t="s">
        <v>3476</v>
      </c>
      <c r="F589" s="354" t="s">
        <v>3476</v>
      </c>
      <c r="G589" s="355" t="s">
        <v>3476</v>
      </c>
      <c r="H589" s="356" t="s">
        <v>3476</v>
      </c>
    </row>
    <row r="590" spans="1:8" x14ac:dyDescent="0.25">
      <c r="A590" s="4">
        <v>20101</v>
      </c>
      <c r="B590" s="4" t="s">
        <v>588</v>
      </c>
      <c r="C590" s="28">
        <v>3.55</v>
      </c>
      <c r="D590" s="46">
        <v>3.11</v>
      </c>
      <c r="E590" s="48">
        <f t="shared" ref="E590:E595" si="37">+$C590*$E$2</f>
        <v>137266.64300000001</v>
      </c>
      <c r="F590" s="323">
        <f t="shared" ref="F590:F595" si="38">+$D590*$F$2</f>
        <v>131901.32</v>
      </c>
      <c r="G590" s="338">
        <f t="shared" ref="G590:G595" si="39">+$D590*$G$2</f>
        <v>146372.15</v>
      </c>
      <c r="H590" s="338">
        <f t="shared" ref="H590:H595" si="40">+$D590*$H$2</f>
        <v>154874.88999999998</v>
      </c>
    </row>
    <row r="591" spans="1:8" x14ac:dyDescent="0.25">
      <c r="A591" s="3">
        <v>20102</v>
      </c>
      <c r="B591" s="3" t="s">
        <v>589</v>
      </c>
      <c r="C591" s="30">
        <v>4.71</v>
      </c>
      <c r="D591" s="44">
        <v>4.13</v>
      </c>
      <c r="E591" s="29">
        <f t="shared" si="37"/>
        <v>182119.96860000002</v>
      </c>
      <c r="F591" s="323">
        <f t="shared" si="38"/>
        <v>175161.56</v>
      </c>
      <c r="G591" s="338">
        <f t="shared" si="39"/>
        <v>194378.44999999998</v>
      </c>
      <c r="H591" s="338">
        <f t="shared" si="40"/>
        <v>205669.87</v>
      </c>
    </row>
    <row r="592" spans="1:8" x14ac:dyDescent="0.25">
      <c r="A592" s="3">
        <v>20103</v>
      </c>
      <c r="B592" s="3" t="s">
        <v>590</v>
      </c>
      <c r="C592" s="30">
        <v>7.07</v>
      </c>
      <c r="D592" s="44">
        <v>6.2</v>
      </c>
      <c r="E592" s="29">
        <f t="shared" si="37"/>
        <v>273373.28620000003</v>
      </c>
      <c r="F592" s="323">
        <f t="shared" si="38"/>
        <v>262954.40000000002</v>
      </c>
      <c r="G592" s="338">
        <f t="shared" si="39"/>
        <v>291803</v>
      </c>
      <c r="H592" s="338">
        <f t="shared" si="40"/>
        <v>308753.8</v>
      </c>
    </row>
    <row r="593" spans="1:8" x14ac:dyDescent="0.25">
      <c r="A593" s="3">
        <v>20104</v>
      </c>
      <c r="B593" s="3" t="s">
        <v>591</v>
      </c>
      <c r="C593" s="30">
        <v>9.9</v>
      </c>
      <c r="D593" s="44">
        <v>8.68</v>
      </c>
      <c r="E593" s="29">
        <f t="shared" si="37"/>
        <v>382799.93400000007</v>
      </c>
      <c r="F593" s="323">
        <f t="shared" si="38"/>
        <v>368136.16</v>
      </c>
      <c r="G593" s="338">
        <f t="shared" si="39"/>
        <v>408524.2</v>
      </c>
      <c r="H593" s="338">
        <f t="shared" si="40"/>
        <v>432255.32</v>
      </c>
    </row>
    <row r="594" spans="1:8" x14ac:dyDescent="0.25">
      <c r="A594" s="3">
        <v>20105</v>
      </c>
      <c r="B594" s="3" t="s">
        <v>592</v>
      </c>
      <c r="C594" s="30">
        <v>2.99</v>
      </c>
      <c r="D594" s="44">
        <v>2.62</v>
      </c>
      <c r="E594" s="29">
        <f t="shared" si="37"/>
        <v>115613.31340000001</v>
      </c>
      <c r="F594" s="323">
        <f t="shared" si="38"/>
        <v>111119.44</v>
      </c>
      <c r="G594" s="338">
        <f t="shared" si="39"/>
        <v>123310.3</v>
      </c>
      <c r="H594" s="338">
        <f t="shared" si="40"/>
        <v>130473.38</v>
      </c>
    </row>
    <row r="595" spans="1:8" ht="14.4" thickBot="1" x14ac:dyDescent="0.3">
      <c r="A595" s="8">
        <v>20106</v>
      </c>
      <c r="B595" s="8" t="s">
        <v>593</v>
      </c>
      <c r="C595" s="33">
        <v>7.27</v>
      </c>
      <c r="D595" s="45">
        <v>6.38</v>
      </c>
      <c r="E595" s="47">
        <f t="shared" si="37"/>
        <v>281106.61820000003</v>
      </c>
      <c r="F595" s="324">
        <f t="shared" si="38"/>
        <v>270588.56</v>
      </c>
      <c r="G595" s="341">
        <f t="shared" si="39"/>
        <v>300274.7</v>
      </c>
      <c r="H595" s="341">
        <f t="shared" si="40"/>
        <v>317717.62</v>
      </c>
    </row>
    <row r="596" spans="1:8" ht="16.2" customHeight="1" thickBot="1" x14ac:dyDescent="0.3">
      <c r="A596" s="17" t="s">
        <v>610</v>
      </c>
      <c r="B596" s="24"/>
      <c r="C596" s="354" t="s">
        <v>3476</v>
      </c>
      <c r="D596" s="354" t="s">
        <v>3476</v>
      </c>
      <c r="E596" s="354" t="s">
        <v>3476</v>
      </c>
      <c r="F596" s="354" t="s">
        <v>3476</v>
      </c>
      <c r="G596" s="355" t="s">
        <v>3476</v>
      </c>
      <c r="H596" s="356" t="s">
        <v>3476</v>
      </c>
    </row>
    <row r="597" spans="1:8" x14ac:dyDescent="0.25">
      <c r="A597" s="4">
        <v>20110</v>
      </c>
      <c r="B597" s="4" t="s">
        <v>588</v>
      </c>
      <c r="C597" s="28">
        <v>4.58</v>
      </c>
      <c r="D597" s="46">
        <v>4.0199999999999996</v>
      </c>
      <c r="E597" s="48">
        <f t="shared" ref="E597:E601" si="41">+$C597*$E$2</f>
        <v>177093.3028</v>
      </c>
      <c r="F597" s="323">
        <f>+$D597*$F$2</f>
        <v>170496.24</v>
      </c>
      <c r="G597" s="338">
        <f>+$D597*$G$2</f>
        <v>189201.3</v>
      </c>
      <c r="H597" s="338">
        <f>+$D597*$H$2</f>
        <v>200191.97999999998</v>
      </c>
    </row>
    <row r="598" spans="1:8" x14ac:dyDescent="0.25">
      <c r="A598" s="3">
        <v>20111</v>
      </c>
      <c r="B598" s="3" t="s">
        <v>589</v>
      </c>
      <c r="C598" s="30">
        <v>5.92</v>
      </c>
      <c r="D598" s="30">
        <v>5.19</v>
      </c>
      <c r="E598" s="29">
        <f t="shared" si="41"/>
        <v>228906.62720000002</v>
      </c>
      <c r="F598" s="323">
        <f>+$D598*$F$2</f>
        <v>220118.28000000003</v>
      </c>
      <c r="G598" s="338">
        <f>+$D598*$G$2</f>
        <v>244267.35</v>
      </c>
      <c r="H598" s="338">
        <f>+$D598*$H$2</f>
        <v>258456.81000000003</v>
      </c>
    </row>
    <row r="599" spans="1:8" x14ac:dyDescent="0.25">
      <c r="A599" s="3">
        <v>20112</v>
      </c>
      <c r="B599" s="3" t="s">
        <v>590</v>
      </c>
      <c r="C599" s="30">
        <v>7.74</v>
      </c>
      <c r="D599" s="30">
        <v>6.79</v>
      </c>
      <c r="E599" s="29">
        <f t="shared" si="41"/>
        <v>299279.94840000005</v>
      </c>
      <c r="F599" s="323">
        <f>+$D599*$F$2</f>
        <v>287977.48</v>
      </c>
      <c r="G599" s="338">
        <f>+$D599*$G$2</f>
        <v>319571.34999999998</v>
      </c>
      <c r="H599" s="338">
        <f>+$D599*$H$2</f>
        <v>338135.21</v>
      </c>
    </row>
    <row r="600" spans="1:8" x14ac:dyDescent="0.25">
      <c r="A600" s="3">
        <v>20113</v>
      </c>
      <c r="B600" s="3" t="s">
        <v>594</v>
      </c>
      <c r="C600" s="30">
        <v>14.88</v>
      </c>
      <c r="D600" s="30">
        <v>13.05</v>
      </c>
      <c r="E600" s="29">
        <f t="shared" si="41"/>
        <v>575359.90080000006</v>
      </c>
      <c r="F600" s="323">
        <f>+$D600*$F$2</f>
        <v>553476.6</v>
      </c>
      <c r="G600" s="338">
        <f>+$D600*$G$2</f>
        <v>614198.25</v>
      </c>
      <c r="H600" s="338">
        <f>+$D600*$H$2</f>
        <v>649876.95000000007</v>
      </c>
    </row>
    <row r="601" spans="1:8" ht="14.4" thickBot="1" x14ac:dyDescent="0.3">
      <c r="A601" s="8">
        <v>20114</v>
      </c>
      <c r="B601" s="8" t="s">
        <v>593</v>
      </c>
      <c r="C601" s="33">
        <v>9.85</v>
      </c>
      <c r="D601" s="33">
        <v>8.64</v>
      </c>
      <c r="E601" s="47">
        <f t="shared" si="41"/>
        <v>380866.60100000002</v>
      </c>
      <c r="F601" s="324">
        <f>+$D601*$F$2</f>
        <v>366439.68000000005</v>
      </c>
      <c r="G601" s="341">
        <f>+$D601*$G$2</f>
        <v>406641.60000000003</v>
      </c>
      <c r="H601" s="341">
        <f>+$D601*$H$2</f>
        <v>430263.36000000004</v>
      </c>
    </row>
    <row r="602" spans="1:8" ht="15.6" customHeight="1" thickBot="1" x14ac:dyDescent="0.3">
      <c r="A602" s="20" t="s">
        <v>618</v>
      </c>
      <c r="B602" s="23"/>
      <c r="C602" s="354" t="s">
        <v>3476</v>
      </c>
      <c r="D602" s="354" t="s">
        <v>3476</v>
      </c>
      <c r="E602" s="354" t="s">
        <v>3476</v>
      </c>
      <c r="F602" s="354" t="s">
        <v>3476</v>
      </c>
      <c r="G602" s="355" t="s">
        <v>3476</v>
      </c>
      <c r="H602" s="356" t="s">
        <v>3476</v>
      </c>
    </row>
    <row r="603" spans="1:8" ht="15.6" customHeight="1" thickBot="1" x14ac:dyDescent="0.3">
      <c r="A603" s="20" t="s">
        <v>615</v>
      </c>
      <c r="B603" s="23"/>
      <c r="C603" s="354" t="s">
        <v>3476</v>
      </c>
      <c r="D603" s="354" t="s">
        <v>3476</v>
      </c>
      <c r="E603" s="354" t="s">
        <v>3476</v>
      </c>
      <c r="F603" s="354" t="s">
        <v>3476</v>
      </c>
      <c r="G603" s="355" t="s">
        <v>3476</v>
      </c>
      <c r="H603" s="356" t="s">
        <v>3476</v>
      </c>
    </row>
    <row r="604" spans="1:8" ht="15.6" customHeight="1" thickBot="1" x14ac:dyDescent="0.3">
      <c r="A604" s="20" t="s">
        <v>616</v>
      </c>
      <c r="B604" s="23"/>
      <c r="C604" s="354" t="s">
        <v>3476</v>
      </c>
      <c r="D604" s="354" t="s">
        <v>3476</v>
      </c>
      <c r="E604" s="354" t="s">
        <v>3476</v>
      </c>
      <c r="F604" s="354" t="s">
        <v>3476</v>
      </c>
      <c r="G604" s="355" t="s">
        <v>3476</v>
      </c>
      <c r="H604" s="356" t="s">
        <v>3476</v>
      </c>
    </row>
    <row r="605" spans="1:8" ht="15.6" customHeight="1" thickBot="1" x14ac:dyDescent="0.3">
      <c r="A605" s="20" t="s">
        <v>617</v>
      </c>
      <c r="B605" s="23"/>
      <c r="C605" s="354"/>
      <c r="D605" s="354" t="s">
        <v>3476</v>
      </c>
      <c r="E605" s="354" t="s">
        <v>3476</v>
      </c>
      <c r="F605" s="354" t="s">
        <v>3476</v>
      </c>
      <c r="G605" s="355" t="s">
        <v>3476</v>
      </c>
      <c r="H605" s="356" t="s">
        <v>3476</v>
      </c>
    </row>
    <row r="606" spans="1:8" x14ac:dyDescent="0.25">
      <c r="A606" s="4">
        <v>20201</v>
      </c>
      <c r="B606" s="4" t="s">
        <v>588</v>
      </c>
      <c r="C606" s="28">
        <v>4.09</v>
      </c>
      <c r="D606" s="28">
        <v>3.59</v>
      </c>
      <c r="E606" s="48">
        <f t="shared" ref="E606:E629" si="42">+$C606*$E$2</f>
        <v>158146.63940000001</v>
      </c>
      <c r="F606" s="323">
        <f>+$D606*$F$2</f>
        <v>152259.07999999999</v>
      </c>
      <c r="G606" s="338">
        <f>+$D606*$G$2</f>
        <v>168963.35</v>
      </c>
      <c r="H606" s="338">
        <f>+$D606*$H$2</f>
        <v>178778.41</v>
      </c>
    </row>
    <row r="607" spans="1:8" x14ac:dyDescent="0.25">
      <c r="A607" s="3">
        <v>20202</v>
      </c>
      <c r="B607" s="3" t="s">
        <v>589</v>
      </c>
      <c r="C607" s="30">
        <v>5.43</v>
      </c>
      <c r="D607" s="30">
        <v>4.76</v>
      </c>
      <c r="E607" s="29">
        <f t="shared" si="42"/>
        <v>209959.9638</v>
      </c>
      <c r="F607" s="323">
        <f>+$D607*$F$2</f>
        <v>201881.12</v>
      </c>
      <c r="G607" s="338">
        <f>+$D607*$G$2</f>
        <v>224029.4</v>
      </c>
      <c r="H607" s="338">
        <f>+$D607*$H$2</f>
        <v>237043.24</v>
      </c>
    </row>
    <row r="608" spans="1:8" x14ac:dyDescent="0.25">
      <c r="A608" s="3">
        <v>20203</v>
      </c>
      <c r="B608" s="3" t="s">
        <v>595</v>
      </c>
      <c r="C608" s="30">
        <v>7.2</v>
      </c>
      <c r="D608" s="30">
        <v>6.32</v>
      </c>
      <c r="E608" s="29">
        <f t="shared" si="42"/>
        <v>278399.95200000005</v>
      </c>
      <c r="F608" s="323">
        <f>+$D608*$F$2</f>
        <v>268043.84000000003</v>
      </c>
      <c r="G608" s="338">
        <f>+$D608*$G$2</f>
        <v>297450.8</v>
      </c>
      <c r="H608" s="338">
        <f>+$D608*$H$2</f>
        <v>314729.68</v>
      </c>
    </row>
    <row r="609" spans="1:8" ht="14.4" thickBot="1" x14ac:dyDescent="0.3">
      <c r="A609" s="8">
        <v>20204</v>
      </c>
      <c r="B609" s="8" t="s">
        <v>596</v>
      </c>
      <c r="C609" s="33">
        <v>9.09</v>
      </c>
      <c r="D609" s="33">
        <v>7.97</v>
      </c>
      <c r="E609" s="47">
        <f t="shared" si="42"/>
        <v>351479.93940000003</v>
      </c>
      <c r="F609" s="324">
        <f>+$D609*$F$2</f>
        <v>338023.64</v>
      </c>
      <c r="G609" s="341">
        <f>+$D609*$G$2</f>
        <v>375108.05</v>
      </c>
      <c r="H609" s="341">
        <f>+$D609*$H$2</f>
        <v>396898.02999999997</v>
      </c>
    </row>
    <row r="610" spans="1:8" ht="13.2" customHeight="1" thickBot="1" x14ac:dyDescent="0.3">
      <c r="A610" s="17" t="s">
        <v>611</v>
      </c>
      <c r="B610" s="342"/>
      <c r="C610" s="354"/>
      <c r="D610" s="354" t="s">
        <v>3476</v>
      </c>
      <c r="E610" s="354" t="s">
        <v>3476</v>
      </c>
      <c r="F610" s="354" t="s">
        <v>3476</v>
      </c>
      <c r="G610" s="355" t="s">
        <v>3476</v>
      </c>
      <c r="H610" s="356" t="s">
        <v>3476</v>
      </c>
    </row>
    <row r="611" spans="1:8" x14ac:dyDescent="0.25">
      <c r="A611" s="4">
        <v>20205</v>
      </c>
      <c r="B611" s="4" t="s">
        <v>588</v>
      </c>
      <c r="C611" s="28">
        <v>6.45</v>
      </c>
      <c r="D611" s="28">
        <v>5.66</v>
      </c>
      <c r="E611" s="48">
        <f t="shared" si="42"/>
        <v>249399.95700000002</v>
      </c>
      <c r="F611" s="323">
        <f>+$D611*$F$2</f>
        <v>240051.92</v>
      </c>
      <c r="G611" s="338">
        <f>+$D611*$G$2</f>
        <v>266387.90000000002</v>
      </c>
      <c r="H611" s="338">
        <f>+$D611*$H$2</f>
        <v>281862.34000000003</v>
      </c>
    </row>
    <row r="612" spans="1:8" x14ac:dyDescent="0.25">
      <c r="A612" s="3">
        <v>20206</v>
      </c>
      <c r="B612" s="3" t="s">
        <v>589</v>
      </c>
      <c r="C612" s="30">
        <v>10.88</v>
      </c>
      <c r="D612" s="30">
        <v>9.5399999999999991</v>
      </c>
      <c r="E612" s="29">
        <f t="shared" si="42"/>
        <v>420693.26080000005</v>
      </c>
      <c r="F612" s="323">
        <f>+$D612*$F$2</f>
        <v>404610.48</v>
      </c>
      <c r="G612" s="338">
        <f>+$D612*$G$2</f>
        <v>449000.1</v>
      </c>
      <c r="H612" s="338">
        <f>+$D612*$H$2</f>
        <v>475082.45999999996</v>
      </c>
    </row>
    <row r="613" spans="1:8" x14ac:dyDescent="0.25">
      <c r="A613" s="3">
        <v>20207</v>
      </c>
      <c r="B613" s="3" t="s">
        <v>595</v>
      </c>
      <c r="C613" s="30">
        <v>14.39</v>
      </c>
      <c r="D613" s="30">
        <v>12.62</v>
      </c>
      <c r="E613" s="29">
        <f t="shared" si="42"/>
        <v>556413.2374000001</v>
      </c>
      <c r="F613" s="323">
        <f>+$D613*$F$2</f>
        <v>535239.43999999994</v>
      </c>
      <c r="G613" s="338">
        <f>+$D613*$G$2</f>
        <v>593960.29999999993</v>
      </c>
      <c r="H613" s="338">
        <f>+$D613*$H$2</f>
        <v>628463.38</v>
      </c>
    </row>
    <row r="614" spans="1:8" x14ac:dyDescent="0.25">
      <c r="A614" s="3">
        <v>20208</v>
      </c>
      <c r="B614" s="3" t="s">
        <v>596</v>
      </c>
      <c r="C614" s="30">
        <v>18.170000000000002</v>
      </c>
      <c r="D614" s="30">
        <v>15.94</v>
      </c>
      <c r="E614" s="29">
        <f t="shared" si="42"/>
        <v>702573.21220000018</v>
      </c>
      <c r="F614" s="323">
        <f>+$D614*$F$2</f>
        <v>676047.28</v>
      </c>
      <c r="G614" s="338">
        <f>+$D614*$G$2</f>
        <v>750216.1</v>
      </c>
      <c r="H614" s="338">
        <f>+$D614*$H$2</f>
        <v>793796.05999999994</v>
      </c>
    </row>
    <row r="615" spans="1:8" ht="14.4" thickBot="1" x14ac:dyDescent="0.3">
      <c r="A615" s="8">
        <v>20209</v>
      </c>
      <c r="B615" s="8" t="s">
        <v>597</v>
      </c>
      <c r="C615" s="33">
        <v>5.12</v>
      </c>
      <c r="D615" s="33">
        <v>4.49</v>
      </c>
      <c r="E615" s="47">
        <f t="shared" si="42"/>
        <v>197973.29920000001</v>
      </c>
      <c r="F615" s="324">
        <f>+$D615*$F$2</f>
        <v>190429.88</v>
      </c>
      <c r="G615" s="341">
        <f>+$D615*$G$2</f>
        <v>211321.85</v>
      </c>
      <c r="H615" s="341">
        <f>+$D615*$H$2</f>
        <v>223597.51</v>
      </c>
    </row>
    <row r="616" spans="1:8" ht="13.2" customHeight="1" thickBot="1" x14ac:dyDescent="0.3">
      <c r="A616" s="17" t="s">
        <v>612</v>
      </c>
      <c r="B616" s="23"/>
      <c r="C616" s="354" t="s">
        <v>3476</v>
      </c>
      <c r="D616" s="354" t="s">
        <v>3476</v>
      </c>
      <c r="E616" s="354" t="s">
        <v>3476</v>
      </c>
      <c r="F616" s="354" t="s">
        <v>3476</v>
      </c>
      <c r="G616" s="355" t="s">
        <v>3476</v>
      </c>
      <c r="H616" s="356" t="s">
        <v>3476</v>
      </c>
    </row>
    <row r="617" spans="1:8" x14ac:dyDescent="0.25">
      <c r="A617" s="4">
        <v>20301</v>
      </c>
      <c r="B617" s="4" t="s">
        <v>598</v>
      </c>
      <c r="C617" s="28">
        <v>0.96</v>
      </c>
      <c r="D617" s="28">
        <v>0.84</v>
      </c>
      <c r="E617" s="48">
        <f t="shared" si="42"/>
        <v>37119.993600000002</v>
      </c>
      <c r="F617" s="323">
        <f t="shared" ref="F617:F623" si="43">+$D617*$F$2</f>
        <v>35626.080000000002</v>
      </c>
      <c r="G617" s="338">
        <f t="shared" ref="G617:G623" si="44">+$D617*$G$2</f>
        <v>39534.6</v>
      </c>
      <c r="H617" s="338">
        <f t="shared" ref="H617:H623" si="45">+$D617*$H$2</f>
        <v>41831.159999999996</v>
      </c>
    </row>
    <row r="618" spans="1:8" x14ac:dyDescent="0.25">
      <c r="A618" s="3">
        <v>20302</v>
      </c>
      <c r="B618" s="3" t="s">
        <v>599</v>
      </c>
      <c r="C618" s="30">
        <v>0.96</v>
      </c>
      <c r="D618" s="30">
        <v>0.84</v>
      </c>
      <c r="E618" s="29">
        <f t="shared" si="42"/>
        <v>37119.993600000002</v>
      </c>
      <c r="F618" s="323">
        <f t="shared" si="43"/>
        <v>35626.080000000002</v>
      </c>
      <c r="G618" s="338">
        <f t="shared" si="44"/>
        <v>39534.6</v>
      </c>
      <c r="H618" s="338">
        <f t="shared" si="45"/>
        <v>41831.159999999996</v>
      </c>
    </row>
    <row r="619" spans="1:8" x14ac:dyDescent="0.25">
      <c r="A619" s="3">
        <v>20303</v>
      </c>
      <c r="B619" s="3" t="s">
        <v>600</v>
      </c>
      <c r="C619" s="30">
        <v>1.1499999999999999</v>
      </c>
      <c r="D619" s="30">
        <v>1.01</v>
      </c>
      <c r="E619" s="29">
        <f t="shared" si="42"/>
        <v>44466.659</v>
      </c>
      <c r="F619" s="323">
        <f t="shared" si="43"/>
        <v>42836.12</v>
      </c>
      <c r="G619" s="338">
        <f t="shared" si="44"/>
        <v>47535.65</v>
      </c>
      <c r="H619" s="338">
        <f t="shared" si="45"/>
        <v>50296.99</v>
      </c>
    </row>
    <row r="620" spans="1:8" x14ac:dyDescent="0.25">
      <c r="A620" s="3">
        <v>20304</v>
      </c>
      <c r="B620" s="3" t="s">
        <v>601</v>
      </c>
      <c r="C620" s="30">
        <v>1.54</v>
      </c>
      <c r="D620" s="30">
        <v>1.35</v>
      </c>
      <c r="E620" s="29">
        <f t="shared" si="42"/>
        <v>59546.656400000007</v>
      </c>
      <c r="F620" s="323">
        <f t="shared" si="43"/>
        <v>57256.200000000004</v>
      </c>
      <c r="G620" s="338">
        <f t="shared" si="44"/>
        <v>63537.750000000007</v>
      </c>
      <c r="H620" s="338">
        <f t="shared" si="45"/>
        <v>67228.650000000009</v>
      </c>
    </row>
    <row r="621" spans="1:8" x14ac:dyDescent="0.25">
      <c r="A621" s="3">
        <v>20305</v>
      </c>
      <c r="B621" s="3" t="s">
        <v>602</v>
      </c>
      <c r="C621" s="30">
        <v>2.1</v>
      </c>
      <c r="D621" s="30">
        <v>1.84</v>
      </c>
      <c r="E621" s="29">
        <f t="shared" si="42"/>
        <v>81199.986000000004</v>
      </c>
      <c r="F621" s="323">
        <f t="shared" si="43"/>
        <v>78038.080000000002</v>
      </c>
      <c r="G621" s="338">
        <f t="shared" si="44"/>
        <v>86599.6</v>
      </c>
      <c r="H621" s="338">
        <f t="shared" si="45"/>
        <v>91630.16</v>
      </c>
    </row>
    <row r="622" spans="1:8" x14ac:dyDescent="0.25">
      <c r="A622" s="3">
        <v>20306</v>
      </c>
      <c r="B622" s="3" t="s">
        <v>603</v>
      </c>
      <c r="C622" s="30">
        <v>2.31</v>
      </c>
      <c r="D622" s="30">
        <v>2.0299999999999998</v>
      </c>
      <c r="E622" s="29">
        <f t="shared" si="42"/>
        <v>89319.984600000011</v>
      </c>
      <c r="F622" s="323">
        <f t="shared" si="43"/>
        <v>86096.359999999986</v>
      </c>
      <c r="G622" s="338">
        <f t="shared" si="44"/>
        <v>95541.95</v>
      </c>
      <c r="H622" s="338">
        <f t="shared" si="45"/>
        <v>101091.96999999999</v>
      </c>
    </row>
    <row r="623" spans="1:8" ht="14.4" thickBot="1" x14ac:dyDescent="0.3">
      <c r="A623" s="8">
        <v>20307</v>
      </c>
      <c r="B623" s="8" t="s">
        <v>604</v>
      </c>
      <c r="C623" s="33">
        <v>7.2</v>
      </c>
      <c r="D623" s="33">
        <v>6.32</v>
      </c>
      <c r="E623" s="47">
        <f t="shared" si="42"/>
        <v>278399.95200000005</v>
      </c>
      <c r="F623" s="324">
        <f t="shared" si="43"/>
        <v>268043.84000000003</v>
      </c>
      <c r="G623" s="341">
        <f t="shared" si="44"/>
        <v>297450.8</v>
      </c>
      <c r="H623" s="341">
        <f t="shared" si="45"/>
        <v>314729.68</v>
      </c>
    </row>
    <row r="624" spans="1:8" ht="13.2" customHeight="1" thickBot="1" x14ac:dyDescent="0.3">
      <c r="A624" s="17" t="s">
        <v>619</v>
      </c>
      <c r="B624" s="345"/>
      <c r="C624" s="354" t="s">
        <v>3476</v>
      </c>
      <c r="D624" s="354" t="s">
        <v>3476</v>
      </c>
      <c r="E624" s="354" t="s">
        <v>3476</v>
      </c>
      <c r="F624" s="354" t="s">
        <v>3476</v>
      </c>
      <c r="G624" s="355" t="s">
        <v>3476</v>
      </c>
      <c r="H624" s="356" t="s">
        <v>3476</v>
      </c>
    </row>
    <row r="625" spans="1:8" x14ac:dyDescent="0.25">
      <c r="A625" s="3">
        <v>20401</v>
      </c>
      <c r="B625" s="4" t="s">
        <v>605</v>
      </c>
      <c r="C625" s="28">
        <v>14.09</v>
      </c>
      <c r="D625" s="28">
        <v>12.36</v>
      </c>
      <c r="E625" s="48">
        <f t="shared" si="42"/>
        <v>544813.23940000008</v>
      </c>
      <c r="F625" s="323">
        <f>+$D625*$F$2</f>
        <v>524212.31999999995</v>
      </c>
      <c r="G625" s="338">
        <f>+$D625*$G$2</f>
        <v>581723.4</v>
      </c>
      <c r="H625" s="338">
        <f>+$D625*$H$2</f>
        <v>615515.64</v>
      </c>
    </row>
    <row r="626" spans="1:8" x14ac:dyDescent="0.25">
      <c r="A626" s="3">
        <v>20402</v>
      </c>
      <c r="B626" s="3" t="s">
        <v>606</v>
      </c>
      <c r="C626" s="30">
        <v>21.5</v>
      </c>
      <c r="D626" s="30">
        <v>18.86</v>
      </c>
      <c r="E626" s="29">
        <f t="shared" si="42"/>
        <v>831333.19000000006</v>
      </c>
      <c r="F626" s="323">
        <f>+$D626*$F$2</f>
        <v>799890.32</v>
      </c>
      <c r="G626" s="338">
        <f>+$D626*$G$2</f>
        <v>887645.9</v>
      </c>
      <c r="H626" s="338">
        <f>+$D626*$H$2</f>
        <v>939209.14</v>
      </c>
    </row>
    <row r="627" spans="1:8" x14ac:dyDescent="0.25">
      <c r="A627" s="3">
        <v>20403</v>
      </c>
      <c r="B627" s="3" t="s">
        <v>607</v>
      </c>
      <c r="C627" s="30">
        <v>9.58</v>
      </c>
      <c r="D627" s="30">
        <v>8.4</v>
      </c>
      <c r="E627" s="29">
        <f t="shared" si="42"/>
        <v>370426.60280000005</v>
      </c>
      <c r="F627" s="323">
        <f>+$D627*$F$2</f>
        <v>356260.8</v>
      </c>
      <c r="G627" s="338">
        <f>+$D627*$G$2</f>
        <v>395346</v>
      </c>
      <c r="H627" s="338">
        <f>+$D627*$H$2</f>
        <v>418311.60000000003</v>
      </c>
    </row>
    <row r="628" spans="1:8" x14ac:dyDescent="0.25">
      <c r="A628" s="3">
        <v>20404</v>
      </c>
      <c r="B628" s="3" t="s">
        <v>608</v>
      </c>
      <c r="C628" s="30">
        <v>4.79</v>
      </c>
      <c r="D628" s="30">
        <v>4.2</v>
      </c>
      <c r="E628" s="29">
        <f t="shared" si="42"/>
        <v>185213.30140000003</v>
      </c>
      <c r="F628" s="323">
        <f>+$D628*$F$2</f>
        <v>178130.4</v>
      </c>
      <c r="G628" s="338">
        <f>+$D628*$G$2</f>
        <v>197673</v>
      </c>
      <c r="H628" s="338">
        <f>+$D628*$H$2</f>
        <v>209155.80000000002</v>
      </c>
    </row>
    <row r="629" spans="1:8" ht="14.4" thickBot="1" x14ac:dyDescent="0.3">
      <c r="A629" s="8">
        <v>20405</v>
      </c>
      <c r="B629" s="8" t="s">
        <v>609</v>
      </c>
      <c r="C629" s="33">
        <v>5.54</v>
      </c>
      <c r="D629" s="33">
        <v>4.8600000000000003</v>
      </c>
      <c r="E629" s="47">
        <f t="shared" si="42"/>
        <v>214213.29640000002</v>
      </c>
      <c r="F629" s="324">
        <f>+$D629*$F$2</f>
        <v>206122.32</v>
      </c>
      <c r="G629" s="341">
        <f>+$D629*$G$2</f>
        <v>228735.90000000002</v>
      </c>
      <c r="H629" s="341">
        <f>+$D629*$H$2</f>
        <v>242023.14</v>
      </c>
    </row>
    <row r="630" spans="1:8" ht="14.4" thickBot="1" x14ac:dyDescent="0.3">
      <c r="A630" s="17" t="s">
        <v>759</v>
      </c>
      <c r="B630" s="23"/>
      <c r="C630" s="354"/>
      <c r="D630" s="354" t="s">
        <v>3476</v>
      </c>
      <c r="E630" s="354" t="s">
        <v>3476</v>
      </c>
      <c r="F630" s="354" t="s">
        <v>3476</v>
      </c>
      <c r="G630" s="355" t="s">
        <v>3476</v>
      </c>
      <c r="H630" s="356" t="s">
        <v>3476</v>
      </c>
    </row>
    <row r="631" spans="1:8" ht="13.2" customHeight="1" thickBot="1" x14ac:dyDescent="0.3">
      <c r="A631" s="22" t="s">
        <v>760</v>
      </c>
      <c r="B631" s="50"/>
      <c r="C631" s="354" t="s">
        <v>3476</v>
      </c>
      <c r="D631" s="354" t="s">
        <v>3476</v>
      </c>
      <c r="E631" s="354" t="s">
        <v>3476</v>
      </c>
      <c r="F631" s="354" t="s">
        <v>3476</v>
      </c>
      <c r="G631" s="355" t="s">
        <v>3476</v>
      </c>
      <c r="H631" s="356" t="s">
        <v>3476</v>
      </c>
    </row>
    <row r="632" spans="1:8" x14ac:dyDescent="0.25">
      <c r="A632" s="4">
        <v>21101</v>
      </c>
      <c r="B632" s="4" t="s">
        <v>622</v>
      </c>
      <c r="C632" s="28">
        <v>1.69</v>
      </c>
      <c r="D632" s="28">
        <v>1.48</v>
      </c>
      <c r="E632" s="48">
        <f t="shared" ref="E632:E691" si="46">+$C632*$E$2</f>
        <v>65346.655400000003</v>
      </c>
      <c r="F632" s="323">
        <f t="shared" ref="F632:F644" si="47">+$D632*$F$2</f>
        <v>62769.760000000002</v>
      </c>
      <c r="G632" s="338">
        <f t="shared" ref="G632:G644" si="48">+$D632*$G$2</f>
        <v>69656.2</v>
      </c>
      <c r="H632" s="338">
        <f t="shared" ref="H632:H644" si="49">+$D632*$H$2</f>
        <v>73702.52</v>
      </c>
    </row>
    <row r="633" spans="1:8" x14ac:dyDescent="0.25">
      <c r="A633" s="3">
        <v>21102</v>
      </c>
      <c r="B633" s="3" t="s">
        <v>623</v>
      </c>
      <c r="C633" s="30">
        <v>2.19</v>
      </c>
      <c r="D633" s="30">
        <v>1.92</v>
      </c>
      <c r="E633" s="29">
        <f t="shared" si="46"/>
        <v>84679.985400000005</v>
      </c>
      <c r="F633" s="323">
        <f t="shared" si="47"/>
        <v>81431.039999999994</v>
      </c>
      <c r="G633" s="338">
        <f t="shared" si="48"/>
        <v>90364.800000000003</v>
      </c>
      <c r="H633" s="338">
        <f t="shared" si="49"/>
        <v>95614.080000000002</v>
      </c>
    </row>
    <row r="634" spans="1:8" x14ac:dyDescent="0.25">
      <c r="A634" s="3">
        <v>21103</v>
      </c>
      <c r="B634" s="3" t="s">
        <v>624</v>
      </c>
      <c r="C634" s="30">
        <v>2.1800000000000002</v>
      </c>
      <c r="D634" s="30">
        <v>1.91</v>
      </c>
      <c r="E634" s="29">
        <f t="shared" si="46"/>
        <v>84293.318800000008</v>
      </c>
      <c r="F634" s="323">
        <f t="shared" si="47"/>
        <v>81006.92</v>
      </c>
      <c r="G634" s="338">
        <f t="shared" si="48"/>
        <v>89894.15</v>
      </c>
      <c r="H634" s="338">
        <f t="shared" si="49"/>
        <v>95116.09</v>
      </c>
    </row>
    <row r="635" spans="1:8" x14ac:dyDescent="0.25">
      <c r="A635" s="3">
        <v>21104</v>
      </c>
      <c r="B635" s="3" t="s">
        <v>625</v>
      </c>
      <c r="C635" s="30">
        <v>2.68</v>
      </c>
      <c r="D635" s="30">
        <v>2.35</v>
      </c>
      <c r="E635" s="29">
        <f t="shared" si="46"/>
        <v>103626.64880000001</v>
      </c>
      <c r="F635" s="323">
        <f t="shared" si="47"/>
        <v>99668.2</v>
      </c>
      <c r="G635" s="338">
        <f t="shared" si="48"/>
        <v>110602.75</v>
      </c>
      <c r="H635" s="338">
        <f t="shared" si="49"/>
        <v>117027.65000000001</v>
      </c>
    </row>
    <row r="636" spans="1:8" x14ac:dyDescent="0.25">
      <c r="A636" s="3">
        <v>21105</v>
      </c>
      <c r="B636" s="3" t="s">
        <v>626</v>
      </c>
      <c r="C636" s="30">
        <v>1.86</v>
      </c>
      <c r="D636" s="30">
        <v>1.63</v>
      </c>
      <c r="E636" s="29">
        <f t="shared" si="46"/>
        <v>71919.987600000008</v>
      </c>
      <c r="F636" s="323">
        <f t="shared" si="47"/>
        <v>69131.56</v>
      </c>
      <c r="G636" s="338">
        <f t="shared" si="48"/>
        <v>76715.95</v>
      </c>
      <c r="H636" s="338">
        <f t="shared" si="49"/>
        <v>81172.37</v>
      </c>
    </row>
    <row r="637" spans="1:8" x14ac:dyDescent="0.25">
      <c r="A637" s="3">
        <v>21106</v>
      </c>
      <c r="B637" s="3" t="s">
        <v>627</v>
      </c>
      <c r="C637" s="30">
        <v>0.99</v>
      </c>
      <c r="D637" s="30">
        <v>0.87</v>
      </c>
      <c r="E637" s="29">
        <f t="shared" si="46"/>
        <v>38279.993400000007</v>
      </c>
      <c r="F637" s="323">
        <f t="shared" si="47"/>
        <v>36898.44</v>
      </c>
      <c r="G637" s="338">
        <f t="shared" si="48"/>
        <v>40946.550000000003</v>
      </c>
      <c r="H637" s="338">
        <f t="shared" si="49"/>
        <v>43325.13</v>
      </c>
    </row>
    <row r="638" spans="1:8" x14ac:dyDescent="0.25">
      <c r="A638" s="3">
        <v>21107</v>
      </c>
      <c r="B638" s="3" t="s">
        <v>628</v>
      </c>
      <c r="C638" s="30">
        <v>3.15</v>
      </c>
      <c r="D638" s="30">
        <v>2.76</v>
      </c>
      <c r="E638" s="29">
        <f t="shared" si="46"/>
        <v>121799.97900000001</v>
      </c>
      <c r="F638" s="323">
        <f t="shared" si="47"/>
        <v>117057.12</v>
      </c>
      <c r="G638" s="338">
        <f t="shared" si="48"/>
        <v>129899.4</v>
      </c>
      <c r="H638" s="338">
        <f t="shared" si="49"/>
        <v>137445.24</v>
      </c>
    </row>
    <row r="639" spans="1:8" x14ac:dyDescent="0.25">
      <c r="A639" s="3">
        <v>21108</v>
      </c>
      <c r="B639" s="3" t="s">
        <v>629</v>
      </c>
      <c r="C639" s="30">
        <v>0.89</v>
      </c>
      <c r="D639" s="30">
        <v>0.78</v>
      </c>
      <c r="E639" s="29">
        <f t="shared" si="46"/>
        <v>34413.327400000002</v>
      </c>
      <c r="F639" s="323">
        <f t="shared" si="47"/>
        <v>33081.360000000001</v>
      </c>
      <c r="G639" s="338">
        <f t="shared" si="48"/>
        <v>36710.700000000004</v>
      </c>
      <c r="H639" s="338">
        <f t="shared" si="49"/>
        <v>38843.22</v>
      </c>
    </row>
    <row r="640" spans="1:8" x14ac:dyDescent="0.25">
      <c r="A640" s="3">
        <v>21109</v>
      </c>
      <c r="B640" s="3" t="s">
        <v>630</v>
      </c>
      <c r="C640" s="30">
        <v>2.5299999999999998</v>
      </c>
      <c r="D640" s="30">
        <v>2.2200000000000002</v>
      </c>
      <c r="E640" s="29">
        <f t="shared" si="46"/>
        <v>97826.649799999999</v>
      </c>
      <c r="F640" s="323">
        <f t="shared" si="47"/>
        <v>94154.640000000014</v>
      </c>
      <c r="G640" s="338">
        <f t="shared" si="48"/>
        <v>104484.3</v>
      </c>
      <c r="H640" s="338">
        <f t="shared" si="49"/>
        <v>110553.78000000001</v>
      </c>
    </row>
    <row r="641" spans="1:8" x14ac:dyDescent="0.25">
      <c r="A641" s="3">
        <v>21110</v>
      </c>
      <c r="B641" s="3" t="s">
        <v>631</v>
      </c>
      <c r="C641" s="30">
        <v>3.54</v>
      </c>
      <c r="D641" s="30">
        <v>3.1</v>
      </c>
      <c r="E641" s="29">
        <f t="shared" si="46"/>
        <v>136879.97640000001</v>
      </c>
      <c r="F641" s="323">
        <f t="shared" si="47"/>
        <v>131477.20000000001</v>
      </c>
      <c r="G641" s="338">
        <f t="shared" si="48"/>
        <v>145901.5</v>
      </c>
      <c r="H641" s="338">
        <f t="shared" si="49"/>
        <v>154376.9</v>
      </c>
    </row>
    <row r="642" spans="1:8" x14ac:dyDescent="0.25">
      <c r="A642" s="3">
        <v>21111</v>
      </c>
      <c r="B642" s="3" t="s">
        <v>632</v>
      </c>
      <c r="C642" s="30">
        <v>7.62</v>
      </c>
      <c r="D642" s="30">
        <v>6.68</v>
      </c>
      <c r="E642" s="29">
        <f t="shared" si="46"/>
        <v>294639.94920000003</v>
      </c>
      <c r="F642" s="323">
        <f t="shared" si="47"/>
        <v>283312.15999999997</v>
      </c>
      <c r="G642" s="338">
        <f t="shared" si="48"/>
        <v>314394.2</v>
      </c>
      <c r="H642" s="338">
        <f t="shared" si="49"/>
        <v>332657.32</v>
      </c>
    </row>
    <row r="643" spans="1:8" x14ac:dyDescent="0.25">
      <c r="A643" s="3">
        <v>21112</v>
      </c>
      <c r="B643" s="3" t="s">
        <v>633</v>
      </c>
      <c r="C643" s="30">
        <v>5.2</v>
      </c>
      <c r="D643" s="30">
        <v>4.5599999999999996</v>
      </c>
      <c r="E643" s="29">
        <f t="shared" si="46"/>
        <v>201066.63200000001</v>
      </c>
      <c r="F643" s="323">
        <f t="shared" si="47"/>
        <v>193398.71999999997</v>
      </c>
      <c r="G643" s="338">
        <f t="shared" si="48"/>
        <v>214616.4</v>
      </c>
      <c r="H643" s="338">
        <f t="shared" si="49"/>
        <v>227083.43999999997</v>
      </c>
    </row>
    <row r="644" spans="1:8" ht="14.4" thickBot="1" x14ac:dyDescent="0.3">
      <c r="A644" s="8">
        <v>21113</v>
      </c>
      <c r="B644" s="8" t="s">
        <v>634</v>
      </c>
      <c r="C644" s="33">
        <v>8.66</v>
      </c>
      <c r="D644" s="33">
        <v>7.6</v>
      </c>
      <c r="E644" s="47">
        <f t="shared" si="46"/>
        <v>334853.27560000005</v>
      </c>
      <c r="F644" s="324">
        <f t="shared" si="47"/>
        <v>322331.2</v>
      </c>
      <c r="G644" s="341">
        <f t="shared" si="48"/>
        <v>357694</v>
      </c>
      <c r="H644" s="341">
        <f t="shared" si="49"/>
        <v>378472.39999999997</v>
      </c>
    </row>
    <row r="645" spans="1:8" ht="13.2" customHeight="1" thickBot="1" x14ac:dyDescent="0.3">
      <c r="A645" s="17" t="s">
        <v>761</v>
      </c>
      <c r="B645" s="24"/>
      <c r="C645" s="354" t="s">
        <v>3476</v>
      </c>
      <c r="D645" s="354" t="s">
        <v>3476</v>
      </c>
      <c r="E645" s="354" t="s">
        <v>3476</v>
      </c>
      <c r="F645" s="354" t="s">
        <v>3476</v>
      </c>
      <c r="G645" s="355" t="s">
        <v>3476</v>
      </c>
      <c r="H645" s="356" t="s">
        <v>3476</v>
      </c>
    </row>
    <row r="646" spans="1:8" x14ac:dyDescent="0.25">
      <c r="A646" s="4">
        <v>21120</v>
      </c>
      <c r="B646" s="4" t="s">
        <v>635</v>
      </c>
      <c r="C646" s="28">
        <v>2.19</v>
      </c>
      <c r="D646" s="28">
        <v>1.92</v>
      </c>
      <c r="E646" s="48">
        <f t="shared" si="46"/>
        <v>84679.985400000005</v>
      </c>
      <c r="F646" s="323">
        <f t="shared" ref="F646:F662" si="50">+$D646*$F$2</f>
        <v>81431.039999999994</v>
      </c>
      <c r="G646" s="338">
        <f t="shared" ref="G646:G662" si="51">+$D646*$G$2</f>
        <v>90364.800000000003</v>
      </c>
      <c r="H646" s="338">
        <f t="shared" ref="H646:H662" si="52">+$D646*$H$2</f>
        <v>95614.080000000002</v>
      </c>
    </row>
    <row r="647" spans="1:8" x14ac:dyDescent="0.25">
      <c r="A647" s="3">
        <v>21121</v>
      </c>
      <c r="B647" s="3" t="s">
        <v>636</v>
      </c>
      <c r="C647" s="30">
        <v>2.19</v>
      </c>
      <c r="D647" s="30">
        <v>1.92</v>
      </c>
      <c r="E647" s="29">
        <f t="shared" si="46"/>
        <v>84679.985400000005</v>
      </c>
      <c r="F647" s="323">
        <f t="shared" si="50"/>
        <v>81431.039999999994</v>
      </c>
      <c r="G647" s="338">
        <f t="shared" si="51"/>
        <v>90364.800000000003</v>
      </c>
      <c r="H647" s="338">
        <f t="shared" si="52"/>
        <v>95614.080000000002</v>
      </c>
    </row>
    <row r="648" spans="1:8" x14ac:dyDescent="0.25">
      <c r="A648" s="3">
        <v>21122</v>
      </c>
      <c r="B648" s="3" t="s">
        <v>637</v>
      </c>
      <c r="C648" s="30">
        <v>2.4700000000000002</v>
      </c>
      <c r="D648" s="30">
        <v>2.17</v>
      </c>
      <c r="E648" s="29">
        <f t="shared" si="46"/>
        <v>95506.650200000018</v>
      </c>
      <c r="F648" s="323">
        <f t="shared" si="50"/>
        <v>92034.04</v>
      </c>
      <c r="G648" s="338">
        <f t="shared" si="51"/>
        <v>102131.05</v>
      </c>
      <c r="H648" s="338">
        <f t="shared" si="52"/>
        <v>108063.83</v>
      </c>
    </row>
    <row r="649" spans="1:8" x14ac:dyDescent="0.25">
      <c r="A649" s="3">
        <v>21123</v>
      </c>
      <c r="B649" s="3" t="s">
        <v>638</v>
      </c>
      <c r="C649" s="30">
        <v>3.45</v>
      </c>
      <c r="D649" s="30">
        <v>3.03</v>
      </c>
      <c r="E649" s="29">
        <f t="shared" si="46"/>
        <v>133399.97700000001</v>
      </c>
      <c r="F649" s="323">
        <f t="shared" si="50"/>
        <v>128508.35999999999</v>
      </c>
      <c r="G649" s="338">
        <f t="shared" si="51"/>
        <v>142606.94999999998</v>
      </c>
      <c r="H649" s="338">
        <f t="shared" si="52"/>
        <v>150890.97</v>
      </c>
    </row>
    <row r="650" spans="1:8" x14ac:dyDescent="0.25">
      <c r="A650" s="3">
        <v>21124</v>
      </c>
      <c r="B650" s="3" t="s">
        <v>639</v>
      </c>
      <c r="C650" s="30">
        <v>2.83</v>
      </c>
      <c r="D650" s="30">
        <v>2.48</v>
      </c>
      <c r="E650" s="29">
        <f t="shared" si="46"/>
        <v>109426.64780000001</v>
      </c>
      <c r="F650" s="323">
        <f t="shared" si="50"/>
        <v>105181.75999999999</v>
      </c>
      <c r="G650" s="338">
        <f t="shared" si="51"/>
        <v>116721.2</v>
      </c>
      <c r="H650" s="338">
        <f t="shared" si="52"/>
        <v>123501.52</v>
      </c>
    </row>
    <row r="651" spans="1:8" x14ac:dyDescent="0.25">
      <c r="A651" s="3">
        <v>21125</v>
      </c>
      <c r="B651" s="3" t="s">
        <v>640</v>
      </c>
      <c r="C651" s="30">
        <v>3.15</v>
      </c>
      <c r="D651" s="30">
        <v>2.76</v>
      </c>
      <c r="E651" s="29">
        <f t="shared" si="46"/>
        <v>121799.97900000001</v>
      </c>
      <c r="F651" s="323">
        <f t="shared" si="50"/>
        <v>117057.12</v>
      </c>
      <c r="G651" s="338">
        <f t="shared" si="51"/>
        <v>129899.4</v>
      </c>
      <c r="H651" s="338">
        <f t="shared" si="52"/>
        <v>137445.24</v>
      </c>
    </row>
    <row r="652" spans="1:8" x14ac:dyDescent="0.25">
      <c r="A652" s="3">
        <v>21126</v>
      </c>
      <c r="B652" s="3" t="s">
        <v>641</v>
      </c>
      <c r="C652" s="30">
        <v>0.89</v>
      </c>
      <c r="D652" s="30">
        <v>0.78</v>
      </c>
      <c r="E652" s="29">
        <f t="shared" si="46"/>
        <v>34413.327400000002</v>
      </c>
      <c r="F652" s="323">
        <f t="shared" si="50"/>
        <v>33081.360000000001</v>
      </c>
      <c r="G652" s="338">
        <f t="shared" si="51"/>
        <v>36710.700000000004</v>
      </c>
      <c r="H652" s="338">
        <f t="shared" si="52"/>
        <v>38843.22</v>
      </c>
    </row>
    <row r="653" spans="1:8" x14ac:dyDescent="0.25">
      <c r="A653" s="3">
        <v>21127</v>
      </c>
      <c r="B653" s="3" t="s">
        <v>642</v>
      </c>
      <c r="C653" s="30">
        <v>9.52</v>
      </c>
      <c r="D653" s="30">
        <v>8.35</v>
      </c>
      <c r="E653" s="29">
        <f t="shared" si="46"/>
        <v>368106.60320000001</v>
      </c>
      <c r="F653" s="323">
        <f t="shared" si="50"/>
        <v>354140.2</v>
      </c>
      <c r="G653" s="338">
        <f t="shared" si="51"/>
        <v>392992.75</v>
      </c>
      <c r="H653" s="338">
        <f t="shared" si="52"/>
        <v>415821.64999999997</v>
      </c>
    </row>
    <row r="654" spans="1:8" x14ac:dyDescent="0.25">
      <c r="A654" s="3">
        <v>21128</v>
      </c>
      <c r="B654" s="3" t="s">
        <v>643</v>
      </c>
      <c r="C654" s="30">
        <v>9.2100000000000009</v>
      </c>
      <c r="D654" s="30">
        <v>8.08</v>
      </c>
      <c r="E654" s="29">
        <f t="shared" si="46"/>
        <v>356119.93860000005</v>
      </c>
      <c r="F654" s="323">
        <f t="shared" si="50"/>
        <v>342688.96</v>
      </c>
      <c r="G654" s="338">
        <f t="shared" si="51"/>
        <v>380285.2</v>
      </c>
      <c r="H654" s="338">
        <f t="shared" si="52"/>
        <v>402375.92</v>
      </c>
    </row>
    <row r="655" spans="1:8" x14ac:dyDescent="0.25">
      <c r="A655" s="3">
        <v>21129</v>
      </c>
      <c r="B655" s="3" t="s">
        <v>644</v>
      </c>
      <c r="C655" s="30">
        <v>12.02</v>
      </c>
      <c r="D655" s="30">
        <v>10.54</v>
      </c>
      <c r="E655" s="29">
        <f t="shared" si="46"/>
        <v>464773.25320000004</v>
      </c>
      <c r="F655" s="323">
        <f t="shared" si="50"/>
        <v>447022.48</v>
      </c>
      <c r="G655" s="338">
        <f t="shared" si="51"/>
        <v>496065.1</v>
      </c>
      <c r="H655" s="338">
        <f t="shared" si="52"/>
        <v>524881.46</v>
      </c>
    </row>
    <row r="656" spans="1:8" x14ac:dyDescent="0.25">
      <c r="A656" s="3">
        <v>21130</v>
      </c>
      <c r="B656" s="3" t="s">
        <v>645</v>
      </c>
      <c r="C656" s="30">
        <v>9.8000000000000007</v>
      </c>
      <c r="D656" s="30">
        <v>8.6</v>
      </c>
      <c r="E656" s="29">
        <f t="shared" si="46"/>
        <v>378933.26800000004</v>
      </c>
      <c r="F656" s="323">
        <f t="shared" si="50"/>
        <v>364743.2</v>
      </c>
      <c r="G656" s="338">
        <f t="shared" si="51"/>
        <v>404759</v>
      </c>
      <c r="H656" s="338">
        <f t="shared" si="52"/>
        <v>428271.39999999997</v>
      </c>
    </row>
    <row r="657" spans="1:8" x14ac:dyDescent="0.25">
      <c r="A657" s="3">
        <v>21131</v>
      </c>
      <c r="B657" s="3" t="s">
        <v>646</v>
      </c>
      <c r="C657" s="30">
        <v>8.17</v>
      </c>
      <c r="D657" s="30">
        <v>7.17</v>
      </c>
      <c r="E657" s="29">
        <f t="shared" si="46"/>
        <v>315906.61220000003</v>
      </c>
      <c r="F657" s="323">
        <f t="shared" si="50"/>
        <v>304094.03999999998</v>
      </c>
      <c r="G657" s="338">
        <f t="shared" si="51"/>
        <v>337456.05</v>
      </c>
      <c r="H657" s="338">
        <f t="shared" si="52"/>
        <v>357058.83</v>
      </c>
    </row>
    <row r="658" spans="1:8" x14ac:dyDescent="0.25">
      <c r="A658" s="3">
        <v>21132</v>
      </c>
      <c r="B658" s="3" t="s">
        <v>647</v>
      </c>
      <c r="C658" s="30">
        <v>7.07</v>
      </c>
      <c r="D658" s="30">
        <v>6.2</v>
      </c>
      <c r="E658" s="29">
        <f t="shared" si="46"/>
        <v>273373.28620000003</v>
      </c>
      <c r="F658" s="323">
        <f t="shared" si="50"/>
        <v>262954.40000000002</v>
      </c>
      <c r="G658" s="338">
        <f t="shared" si="51"/>
        <v>291803</v>
      </c>
      <c r="H658" s="338">
        <f t="shared" si="52"/>
        <v>308753.8</v>
      </c>
    </row>
    <row r="659" spans="1:8" x14ac:dyDescent="0.25">
      <c r="A659" s="3">
        <v>21133</v>
      </c>
      <c r="B659" s="3" t="s">
        <v>648</v>
      </c>
      <c r="C659" s="30">
        <v>7.07</v>
      </c>
      <c r="D659" s="30">
        <v>6.2</v>
      </c>
      <c r="E659" s="29">
        <f t="shared" si="46"/>
        <v>273373.28620000003</v>
      </c>
      <c r="F659" s="323">
        <f t="shared" si="50"/>
        <v>262954.40000000002</v>
      </c>
      <c r="G659" s="338">
        <f t="shared" si="51"/>
        <v>291803</v>
      </c>
      <c r="H659" s="338">
        <f t="shared" si="52"/>
        <v>308753.8</v>
      </c>
    </row>
    <row r="660" spans="1:8" x14ac:dyDescent="0.25">
      <c r="A660" s="3">
        <v>21134</v>
      </c>
      <c r="B660" s="3" t="s">
        <v>649</v>
      </c>
      <c r="C660" s="30">
        <v>6.28</v>
      </c>
      <c r="D660" s="30">
        <v>5.51</v>
      </c>
      <c r="E660" s="29">
        <f t="shared" si="46"/>
        <v>242826.62480000002</v>
      </c>
      <c r="F660" s="323">
        <f t="shared" si="50"/>
        <v>233690.12</v>
      </c>
      <c r="G660" s="338">
        <f t="shared" si="51"/>
        <v>259328.15</v>
      </c>
      <c r="H660" s="338">
        <f t="shared" si="52"/>
        <v>274392.49</v>
      </c>
    </row>
    <row r="661" spans="1:8" x14ac:dyDescent="0.25">
      <c r="A661" s="3">
        <v>21135</v>
      </c>
      <c r="B661" s="3" t="s">
        <v>650</v>
      </c>
      <c r="C661" s="30">
        <v>2.99</v>
      </c>
      <c r="D661" s="30">
        <v>2.62</v>
      </c>
      <c r="E661" s="29">
        <f t="shared" si="46"/>
        <v>115613.31340000001</v>
      </c>
      <c r="F661" s="323">
        <f t="shared" si="50"/>
        <v>111119.44</v>
      </c>
      <c r="G661" s="338">
        <f t="shared" si="51"/>
        <v>123310.3</v>
      </c>
      <c r="H661" s="338">
        <f t="shared" si="52"/>
        <v>130473.38</v>
      </c>
    </row>
    <row r="662" spans="1:8" ht="14.4" thickBot="1" x14ac:dyDescent="0.3">
      <c r="A662" s="8">
        <v>21136</v>
      </c>
      <c r="B662" s="8" t="s">
        <v>651</v>
      </c>
      <c r="C662" s="33">
        <v>2.5299999999999998</v>
      </c>
      <c r="D662" s="33">
        <v>2.2200000000000002</v>
      </c>
      <c r="E662" s="47">
        <f t="shared" si="46"/>
        <v>97826.649799999999</v>
      </c>
      <c r="F662" s="324">
        <f t="shared" si="50"/>
        <v>94154.640000000014</v>
      </c>
      <c r="G662" s="341">
        <f t="shared" si="51"/>
        <v>104484.3</v>
      </c>
      <c r="H662" s="341">
        <f t="shared" si="52"/>
        <v>110553.78000000001</v>
      </c>
    </row>
    <row r="663" spans="1:8" ht="13.2" customHeight="1" thickBot="1" x14ac:dyDescent="0.3">
      <c r="A663" s="17" t="s">
        <v>762</v>
      </c>
      <c r="B663" s="23"/>
      <c r="C663" s="354" t="s">
        <v>3476</v>
      </c>
      <c r="D663" s="354" t="s">
        <v>3476</v>
      </c>
      <c r="E663" s="354" t="s">
        <v>3476</v>
      </c>
      <c r="F663" s="354" t="s">
        <v>3476</v>
      </c>
      <c r="G663" s="355" t="s">
        <v>3476</v>
      </c>
      <c r="H663" s="356" t="s">
        <v>3476</v>
      </c>
    </row>
    <row r="664" spans="1:8" x14ac:dyDescent="0.25">
      <c r="A664" s="4">
        <v>21140</v>
      </c>
      <c r="B664" s="4" t="s">
        <v>652</v>
      </c>
      <c r="C664" s="28">
        <v>2.77</v>
      </c>
      <c r="D664" s="28">
        <v>2.4300000000000002</v>
      </c>
      <c r="E664" s="48">
        <f t="shared" si="46"/>
        <v>107106.64820000001</v>
      </c>
      <c r="F664" s="323">
        <f t="shared" ref="F664:F671" si="53">+$D664*$F$2</f>
        <v>103061.16</v>
      </c>
      <c r="G664" s="338">
        <f t="shared" ref="G664:G671" si="54">+$D664*$G$2</f>
        <v>114367.95000000001</v>
      </c>
      <c r="H664" s="338">
        <f t="shared" ref="H664:H671" si="55">+$D664*$H$2</f>
        <v>121011.57</v>
      </c>
    </row>
    <row r="665" spans="1:8" x14ac:dyDescent="0.25">
      <c r="A665" s="3">
        <v>21141</v>
      </c>
      <c r="B665" s="3" t="s">
        <v>653</v>
      </c>
      <c r="C665" s="30">
        <v>2.71</v>
      </c>
      <c r="D665" s="30">
        <v>2.38</v>
      </c>
      <c r="E665" s="29">
        <f t="shared" si="46"/>
        <v>104786.64860000001</v>
      </c>
      <c r="F665" s="323">
        <f t="shared" si="53"/>
        <v>100940.56</v>
      </c>
      <c r="G665" s="338">
        <f t="shared" si="54"/>
        <v>112014.7</v>
      </c>
      <c r="H665" s="338">
        <f t="shared" si="55"/>
        <v>118521.62</v>
      </c>
    </row>
    <row r="666" spans="1:8" x14ac:dyDescent="0.25">
      <c r="A666" s="3">
        <v>21142</v>
      </c>
      <c r="B666" s="3" t="s">
        <v>654</v>
      </c>
      <c r="C666" s="30">
        <v>3.38</v>
      </c>
      <c r="D666" s="30">
        <v>2.96</v>
      </c>
      <c r="E666" s="29">
        <f t="shared" si="46"/>
        <v>130693.31080000001</v>
      </c>
      <c r="F666" s="323">
        <f t="shared" si="53"/>
        <v>125539.52</v>
      </c>
      <c r="G666" s="338">
        <f t="shared" si="54"/>
        <v>139312.4</v>
      </c>
      <c r="H666" s="338">
        <f t="shared" si="55"/>
        <v>147405.04</v>
      </c>
    </row>
    <row r="667" spans="1:8" x14ac:dyDescent="0.25">
      <c r="A667" s="3">
        <v>21143</v>
      </c>
      <c r="B667" s="3" t="s">
        <v>655</v>
      </c>
      <c r="C667" s="30">
        <v>2.63</v>
      </c>
      <c r="D667" s="30">
        <v>2.31</v>
      </c>
      <c r="E667" s="29">
        <f t="shared" si="46"/>
        <v>101693.31580000001</v>
      </c>
      <c r="F667" s="323">
        <f t="shared" si="53"/>
        <v>97971.72</v>
      </c>
      <c r="G667" s="338">
        <f t="shared" si="54"/>
        <v>108720.15000000001</v>
      </c>
      <c r="H667" s="338">
        <f t="shared" si="55"/>
        <v>115035.69</v>
      </c>
    </row>
    <row r="668" spans="1:8" x14ac:dyDescent="0.25">
      <c r="A668" s="3">
        <v>21144</v>
      </c>
      <c r="B668" s="3" t="s">
        <v>656</v>
      </c>
      <c r="C668" s="30">
        <v>4.5599999999999996</v>
      </c>
      <c r="D668" s="30">
        <v>4</v>
      </c>
      <c r="E668" s="29">
        <f t="shared" si="46"/>
        <v>176319.96960000001</v>
      </c>
      <c r="F668" s="323">
        <f t="shared" si="53"/>
        <v>169648</v>
      </c>
      <c r="G668" s="338">
        <f t="shared" si="54"/>
        <v>188260</v>
      </c>
      <c r="H668" s="338">
        <f t="shared" si="55"/>
        <v>199196</v>
      </c>
    </row>
    <row r="669" spans="1:8" x14ac:dyDescent="0.25">
      <c r="A669" s="3">
        <v>21145</v>
      </c>
      <c r="B669" s="3" t="s">
        <v>657</v>
      </c>
      <c r="C669" s="30">
        <v>1.24</v>
      </c>
      <c r="D669" s="30">
        <v>1.0900000000000001</v>
      </c>
      <c r="E669" s="29">
        <f t="shared" si="46"/>
        <v>47946.658400000008</v>
      </c>
      <c r="F669" s="323">
        <f t="shared" si="53"/>
        <v>46229.08</v>
      </c>
      <c r="G669" s="338">
        <f t="shared" si="54"/>
        <v>51300.850000000006</v>
      </c>
      <c r="H669" s="338">
        <f t="shared" si="55"/>
        <v>54280.91</v>
      </c>
    </row>
    <row r="670" spans="1:8" x14ac:dyDescent="0.25">
      <c r="A670" s="3">
        <v>21146</v>
      </c>
      <c r="B670" s="3" t="s">
        <v>658</v>
      </c>
      <c r="C670" s="30">
        <v>5.0199999999999996</v>
      </c>
      <c r="D670" s="30">
        <v>4.4000000000000004</v>
      </c>
      <c r="E670" s="29">
        <f t="shared" si="46"/>
        <v>194106.63320000001</v>
      </c>
      <c r="F670" s="323">
        <f t="shared" si="53"/>
        <v>186612.80000000002</v>
      </c>
      <c r="G670" s="338">
        <f t="shared" si="54"/>
        <v>207086.00000000003</v>
      </c>
      <c r="H670" s="338">
        <f t="shared" si="55"/>
        <v>219115.6</v>
      </c>
    </row>
    <row r="671" spans="1:8" ht="14.4" thickBot="1" x14ac:dyDescent="0.3">
      <c r="A671" s="8">
        <v>21147</v>
      </c>
      <c r="B671" s="8" t="s">
        <v>659</v>
      </c>
      <c r="C671" s="33">
        <v>3.54</v>
      </c>
      <c r="D671" s="33">
        <v>3.1</v>
      </c>
      <c r="E671" s="47">
        <f t="shared" si="46"/>
        <v>136879.97640000001</v>
      </c>
      <c r="F671" s="324">
        <f t="shared" si="53"/>
        <v>131477.20000000001</v>
      </c>
      <c r="G671" s="341">
        <f t="shared" si="54"/>
        <v>145901.5</v>
      </c>
      <c r="H671" s="341">
        <f t="shared" si="55"/>
        <v>154376.9</v>
      </c>
    </row>
    <row r="672" spans="1:8" ht="14.4" thickBot="1" x14ac:dyDescent="0.3">
      <c r="A672" s="17" t="s">
        <v>763</v>
      </c>
      <c r="B672" s="23"/>
      <c r="C672" s="354" t="s">
        <v>3476</v>
      </c>
      <c r="D672" s="354" t="s">
        <v>3476</v>
      </c>
      <c r="E672" s="354" t="s">
        <v>3476</v>
      </c>
      <c r="F672" s="354" t="s">
        <v>3476</v>
      </c>
      <c r="G672" s="355" t="s">
        <v>3476</v>
      </c>
      <c r="H672" s="356" t="s">
        <v>3476</v>
      </c>
    </row>
    <row r="673" spans="1:8" x14ac:dyDescent="0.25">
      <c r="A673" s="4">
        <v>21201</v>
      </c>
      <c r="B673" s="4" t="s">
        <v>660</v>
      </c>
      <c r="C673" s="28">
        <v>2.4</v>
      </c>
      <c r="D673" s="28">
        <v>2.11</v>
      </c>
      <c r="E673" s="48">
        <f t="shared" si="46"/>
        <v>92799.984000000011</v>
      </c>
      <c r="F673" s="323">
        <f t="shared" ref="F673:F684" si="56">+$D673*$F$2</f>
        <v>89489.319999999992</v>
      </c>
      <c r="G673" s="338">
        <f t="shared" ref="G673:G684" si="57">+$D673*$G$2</f>
        <v>99307.15</v>
      </c>
      <c r="H673" s="338">
        <f t="shared" ref="H673:H684" si="58">+$D673*$H$2</f>
        <v>105075.89</v>
      </c>
    </row>
    <row r="674" spans="1:8" x14ac:dyDescent="0.25">
      <c r="A674" s="3">
        <v>21202</v>
      </c>
      <c r="B674" s="3" t="s">
        <v>661</v>
      </c>
      <c r="C674" s="30">
        <v>1.6</v>
      </c>
      <c r="D674" s="30">
        <v>1.4</v>
      </c>
      <c r="E674" s="29">
        <f t="shared" si="46"/>
        <v>61866.65600000001</v>
      </c>
      <c r="F674" s="323">
        <f t="shared" si="56"/>
        <v>59376.799999999996</v>
      </c>
      <c r="G674" s="338">
        <f t="shared" si="57"/>
        <v>65891</v>
      </c>
      <c r="H674" s="338">
        <f t="shared" si="58"/>
        <v>69718.599999999991</v>
      </c>
    </row>
    <row r="675" spans="1:8" x14ac:dyDescent="0.25">
      <c r="A675" s="3">
        <v>21203</v>
      </c>
      <c r="B675" s="3" t="s">
        <v>662</v>
      </c>
      <c r="C675" s="30">
        <v>2.17</v>
      </c>
      <c r="D675" s="30">
        <v>1.9</v>
      </c>
      <c r="E675" s="29">
        <f t="shared" si="46"/>
        <v>83906.652200000011</v>
      </c>
      <c r="F675" s="323">
        <f t="shared" si="56"/>
        <v>80582.8</v>
      </c>
      <c r="G675" s="338">
        <f t="shared" si="57"/>
        <v>89423.5</v>
      </c>
      <c r="H675" s="338">
        <f t="shared" si="58"/>
        <v>94618.099999999991</v>
      </c>
    </row>
    <row r="676" spans="1:8" x14ac:dyDescent="0.25">
      <c r="A676" s="3">
        <v>21204</v>
      </c>
      <c r="B676" s="3" t="s">
        <v>663</v>
      </c>
      <c r="C676" s="30">
        <v>3.44</v>
      </c>
      <c r="D676" s="30">
        <v>3.02</v>
      </c>
      <c r="E676" s="29">
        <f t="shared" si="46"/>
        <v>133013.31040000002</v>
      </c>
      <c r="F676" s="323">
        <f t="shared" si="56"/>
        <v>128084.24</v>
      </c>
      <c r="G676" s="338">
        <f t="shared" si="57"/>
        <v>142136.29999999999</v>
      </c>
      <c r="H676" s="338">
        <f t="shared" si="58"/>
        <v>150392.98000000001</v>
      </c>
    </row>
    <row r="677" spans="1:8" x14ac:dyDescent="0.25">
      <c r="A677" s="3">
        <v>21205</v>
      </c>
      <c r="B677" s="3" t="s">
        <v>664</v>
      </c>
      <c r="C677" s="30">
        <v>2.5299999999999998</v>
      </c>
      <c r="D677" s="30">
        <v>2.2200000000000002</v>
      </c>
      <c r="E677" s="29">
        <f t="shared" si="46"/>
        <v>97826.649799999999</v>
      </c>
      <c r="F677" s="323">
        <f t="shared" si="56"/>
        <v>94154.640000000014</v>
      </c>
      <c r="G677" s="338">
        <f t="shared" si="57"/>
        <v>104484.3</v>
      </c>
      <c r="H677" s="338">
        <f t="shared" si="58"/>
        <v>110553.78000000001</v>
      </c>
    </row>
    <row r="678" spans="1:8" x14ac:dyDescent="0.25">
      <c r="A678" s="3">
        <v>21206</v>
      </c>
      <c r="B678" s="3" t="s">
        <v>665</v>
      </c>
      <c r="C678" s="30">
        <v>8.0500000000000007</v>
      </c>
      <c r="D678" s="30">
        <v>7.06</v>
      </c>
      <c r="E678" s="29">
        <f t="shared" si="46"/>
        <v>311266.61300000007</v>
      </c>
      <c r="F678" s="323">
        <f t="shared" si="56"/>
        <v>299428.71999999997</v>
      </c>
      <c r="G678" s="338">
        <f t="shared" si="57"/>
        <v>332278.89999999997</v>
      </c>
      <c r="H678" s="338">
        <f t="shared" si="58"/>
        <v>351580.94</v>
      </c>
    </row>
    <row r="679" spans="1:8" x14ac:dyDescent="0.25">
      <c r="A679" s="3">
        <v>21207</v>
      </c>
      <c r="B679" s="3" t="s">
        <v>666</v>
      </c>
      <c r="C679" s="30">
        <v>9.74</v>
      </c>
      <c r="D679" s="30">
        <v>8.5399999999999991</v>
      </c>
      <c r="E679" s="29">
        <f t="shared" si="46"/>
        <v>376613.26840000006</v>
      </c>
      <c r="F679" s="323">
        <f t="shared" si="56"/>
        <v>362198.48</v>
      </c>
      <c r="G679" s="338">
        <f t="shared" si="57"/>
        <v>401935.1</v>
      </c>
      <c r="H679" s="338">
        <f t="shared" si="58"/>
        <v>425283.45999999996</v>
      </c>
    </row>
    <row r="680" spans="1:8" x14ac:dyDescent="0.25">
      <c r="A680" s="3">
        <v>21208</v>
      </c>
      <c r="B680" s="3" t="s">
        <v>667</v>
      </c>
      <c r="C680" s="30">
        <v>8.5299999999999994</v>
      </c>
      <c r="D680" s="30">
        <v>7.48</v>
      </c>
      <c r="E680" s="29">
        <f t="shared" si="46"/>
        <v>329826.60979999998</v>
      </c>
      <c r="F680" s="323">
        <f t="shared" si="56"/>
        <v>317241.76</v>
      </c>
      <c r="G680" s="338">
        <f t="shared" si="57"/>
        <v>352046.2</v>
      </c>
      <c r="H680" s="338">
        <f t="shared" si="58"/>
        <v>372496.52</v>
      </c>
    </row>
    <row r="681" spans="1:8" x14ac:dyDescent="0.25">
      <c r="A681" s="3">
        <v>21210</v>
      </c>
      <c r="B681" s="3" t="s">
        <v>668</v>
      </c>
      <c r="C681" s="30">
        <v>7.03</v>
      </c>
      <c r="D681" s="30">
        <v>6.17</v>
      </c>
      <c r="E681" s="29">
        <f t="shared" si="46"/>
        <v>271826.61980000004</v>
      </c>
      <c r="F681" s="323">
        <f t="shared" si="56"/>
        <v>261682.04</v>
      </c>
      <c r="G681" s="338">
        <f t="shared" si="57"/>
        <v>290391.05</v>
      </c>
      <c r="H681" s="338">
        <f t="shared" si="58"/>
        <v>307259.83</v>
      </c>
    </row>
    <row r="682" spans="1:8" x14ac:dyDescent="0.25">
      <c r="A682" s="3">
        <v>21211</v>
      </c>
      <c r="B682" s="3" t="s">
        <v>669</v>
      </c>
      <c r="C682" s="30">
        <v>8.34</v>
      </c>
      <c r="D682" s="30">
        <v>7.32</v>
      </c>
      <c r="E682" s="29">
        <f t="shared" si="46"/>
        <v>322479.94440000004</v>
      </c>
      <c r="F682" s="323">
        <f t="shared" si="56"/>
        <v>310455.84000000003</v>
      </c>
      <c r="G682" s="338">
        <f t="shared" si="57"/>
        <v>344515.8</v>
      </c>
      <c r="H682" s="338">
        <f t="shared" si="58"/>
        <v>364528.68</v>
      </c>
    </row>
    <row r="683" spans="1:8" x14ac:dyDescent="0.25">
      <c r="A683" s="3">
        <v>21212</v>
      </c>
      <c r="B683" s="3" t="s">
        <v>670</v>
      </c>
      <c r="C683" s="30">
        <v>5.77</v>
      </c>
      <c r="D683" s="30">
        <v>5.0599999999999996</v>
      </c>
      <c r="E683" s="29">
        <f t="shared" si="46"/>
        <v>223106.62820000001</v>
      </c>
      <c r="F683" s="323">
        <f t="shared" si="56"/>
        <v>214604.71999999997</v>
      </c>
      <c r="G683" s="338">
        <f t="shared" si="57"/>
        <v>238148.9</v>
      </c>
      <c r="H683" s="338">
        <f t="shared" si="58"/>
        <v>251982.93999999997</v>
      </c>
    </row>
    <row r="684" spans="1:8" ht="14.4" thickBot="1" x14ac:dyDescent="0.3">
      <c r="A684" s="8">
        <v>21213</v>
      </c>
      <c r="B684" s="8" t="s">
        <v>671</v>
      </c>
      <c r="C684" s="33">
        <v>7.62</v>
      </c>
      <c r="D684" s="33">
        <v>6.68</v>
      </c>
      <c r="E684" s="47">
        <f t="shared" si="46"/>
        <v>294639.94920000003</v>
      </c>
      <c r="F684" s="324">
        <f t="shared" si="56"/>
        <v>283312.15999999997</v>
      </c>
      <c r="G684" s="338">
        <f t="shared" si="57"/>
        <v>314394.2</v>
      </c>
      <c r="H684" s="338">
        <f t="shared" si="58"/>
        <v>332657.32</v>
      </c>
    </row>
    <row r="685" spans="1:8" ht="13.2" customHeight="1" thickBot="1" x14ac:dyDescent="0.3">
      <c r="A685" s="17" t="s">
        <v>764</v>
      </c>
      <c r="B685" s="23"/>
      <c r="C685" s="354" t="s">
        <v>3476</v>
      </c>
      <c r="D685" s="354" t="s">
        <v>3476</v>
      </c>
      <c r="E685" s="354" t="s">
        <v>3476</v>
      </c>
      <c r="F685" s="354" t="s">
        <v>3476</v>
      </c>
      <c r="G685" s="355" t="s">
        <v>3476</v>
      </c>
      <c r="H685" s="356" t="s">
        <v>3476</v>
      </c>
    </row>
    <row r="686" spans="1:8" ht="13.2" customHeight="1" thickBot="1" x14ac:dyDescent="0.3">
      <c r="A686" s="22" t="s">
        <v>765</v>
      </c>
      <c r="B686" s="50"/>
      <c r="C686" s="354" t="s">
        <v>3476</v>
      </c>
      <c r="D686" s="354" t="s">
        <v>3476</v>
      </c>
      <c r="E686" s="354" t="s">
        <v>3476</v>
      </c>
      <c r="F686" s="354" t="s">
        <v>3476</v>
      </c>
      <c r="G686" s="355" t="s">
        <v>3476</v>
      </c>
      <c r="H686" s="356" t="s">
        <v>3476</v>
      </c>
    </row>
    <row r="687" spans="1:8" x14ac:dyDescent="0.25">
      <c r="A687" s="4">
        <v>21301</v>
      </c>
      <c r="B687" s="4" t="s">
        <v>672</v>
      </c>
      <c r="C687" s="28">
        <v>2.8</v>
      </c>
      <c r="D687" s="28">
        <v>2.46</v>
      </c>
      <c r="E687" s="48">
        <f t="shared" si="46"/>
        <v>108266.648</v>
      </c>
      <c r="F687" s="323">
        <f>+$D687*$F$2</f>
        <v>104333.52</v>
      </c>
      <c r="G687" s="338">
        <f>+$D687*$G$2</f>
        <v>115779.9</v>
      </c>
      <c r="H687" s="338">
        <f>+$D687*$H$2</f>
        <v>122505.54</v>
      </c>
    </row>
    <row r="688" spans="1:8" x14ac:dyDescent="0.25">
      <c r="A688" s="3">
        <v>21302</v>
      </c>
      <c r="B688" s="3" t="s">
        <v>673</v>
      </c>
      <c r="C688" s="30">
        <v>3.72</v>
      </c>
      <c r="D688" s="30">
        <v>3.26</v>
      </c>
      <c r="E688" s="29">
        <f t="shared" si="46"/>
        <v>143839.97520000002</v>
      </c>
      <c r="F688" s="323">
        <f>+$D688*$F$2</f>
        <v>138263.12</v>
      </c>
      <c r="G688" s="338">
        <f>+$D688*$G$2</f>
        <v>153431.9</v>
      </c>
      <c r="H688" s="338">
        <f>+$D688*$H$2</f>
        <v>162344.74</v>
      </c>
    </row>
    <row r="689" spans="1:8" x14ac:dyDescent="0.25">
      <c r="A689" s="3">
        <v>21303</v>
      </c>
      <c r="B689" s="3" t="s">
        <v>674</v>
      </c>
      <c r="C689" s="30">
        <v>3.86</v>
      </c>
      <c r="D689" s="30">
        <v>3.39</v>
      </c>
      <c r="E689" s="29">
        <f t="shared" si="46"/>
        <v>149253.3076</v>
      </c>
      <c r="F689" s="323">
        <f>+$D689*$F$2</f>
        <v>143776.68</v>
      </c>
      <c r="G689" s="338">
        <f>+$D689*$G$2</f>
        <v>159550.35</v>
      </c>
      <c r="H689" s="338">
        <f>+$D689*$H$2</f>
        <v>168818.61000000002</v>
      </c>
    </row>
    <row r="690" spans="1:8" x14ac:dyDescent="0.25">
      <c r="A690" s="3">
        <v>21304</v>
      </c>
      <c r="B690" s="3" t="s">
        <v>675</v>
      </c>
      <c r="C690" s="30">
        <v>6.03</v>
      </c>
      <c r="D690" s="30">
        <v>5.29</v>
      </c>
      <c r="E690" s="29">
        <f t="shared" si="46"/>
        <v>233159.95980000004</v>
      </c>
      <c r="F690" s="323">
        <f>+$D690*$F$2</f>
        <v>224359.48</v>
      </c>
      <c r="G690" s="338">
        <f>+$D690*$G$2</f>
        <v>248973.85</v>
      </c>
      <c r="H690" s="338">
        <f>+$D690*$H$2</f>
        <v>263436.71000000002</v>
      </c>
    </row>
    <row r="691" spans="1:8" ht="14.4" thickBot="1" x14ac:dyDescent="0.3">
      <c r="A691" s="8">
        <v>21306</v>
      </c>
      <c r="B691" s="8" t="s">
        <v>676</v>
      </c>
      <c r="C691" s="33">
        <v>7.03</v>
      </c>
      <c r="D691" s="33">
        <v>6.17</v>
      </c>
      <c r="E691" s="47">
        <f t="shared" si="46"/>
        <v>271826.61980000004</v>
      </c>
      <c r="F691" s="324">
        <f>+$D691*$F$2</f>
        <v>261682.04</v>
      </c>
      <c r="G691" s="338">
        <f>+$D691*$G$2</f>
        <v>290391.05</v>
      </c>
      <c r="H691" s="338">
        <f>+$D691*$H$2</f>
        <v>307259.83</v>
      </c>
    </row>
    <row r="692" spans="1:8" ht="13.2" customHeight="1" thickBot="1" x14ac:dyDescent="0.3">
      <c r="A692" s="17" t="s">
        <v>766</v>
      </c>
      <c r="B692" s="23"/>
      <c r="C692" s="354" t="s">
        <v>3476</v>
      </c>
      <c r="D692" s="354" t="s">
        <v>3476</v>
      </c>
      <c r="E692" s="354" t="s">
        <v>3476</v>
      </c>
      <c r="F692" s="354" t="s">
        <v>3476</v>
      </c>
      <c r="G692" s="355" t="s">
        <v>3476</v>
      </c>
      <c r="H692" s="356" t="s">
        <v>3476</v>
      </c>
    </row>
    <row r="693" spans="1:8" x14ac:dyDescent="0.25">
      <c r="A693" s="3">
        <v>21320</v>
      </c>
      <c r="B693" s="3" t="s">
        <v>677</v>
      </c>
      <c r="C693" s="30">
        <v>4.22</v>
      </c>
      <c r="D693" s="30">
        <v>3.7</v>
      </c>
      <c r="E693" s="29">
        <f t="shared" ref="E693:E738" si="59">+$C693*$E$2</f>
        <v>163173.3052</v>
      </c>
      <c r="F693" s="323">
        <f t="shared" ref="F693:F699" si="60">+$D693*$F$2</f>
        <v>156924.4</v>
      </c>
      <c r="G693" s="338">
        <f t="shared" ref="G693:G699" si="61">+$D693*$G$2</f>
        <v>174140.5</v>
      </c>
      <c r="H693" s="338">
        <f t="shared" ref="H693:H699" si="62">+$D693*$H$2</f>
        <v>184256.30000000002</v>
      </c>
    </row>
    <row r="694" spans="1:8" x14ac:dyDescent="0.25">
      <c r="A694" s="3">
        <v>21322</v>
      </c>
      <c r="B694" s="3" t="s">
        <v>678</v>
      </c>
      <c r="C694" s="30">
        <v>4.22</v>
      </c>
      <c r="D694" s="30">
        <v>3.7</v>
      </c>
      <c r="E694" s="29">
        <f t="shared" si="59"/>
        <v>163173.3052</v>
      </c>
      <c r="F694" s="323">
        <f t="shared" si="60"/>
        <v>156924.4</v>
      </c>
      <c r="G694" s="338">
        <f t="shared" si="61"/>
        <v>174140.5</v>
      </c>
      <c r="H694" s="338">
        <f t="shared" si="62"/>
        <v>184256.30000000002</v>
      </c>
    </row>
    <row r="695" spans="1:8" x14ac:dyDescent="0.25">
      <c r="A695" s="3">
        <v>21323</v>
      </c>
      <c r="B695" s="3" t="s">
        <v>679</v>
      </c>
      <c r="C695" s="30">
        <v>2.99</v>
      </c>
      <c r="D695" s="30">
        <v>2.62</v>
      </c>
      <c r="E695" s="29">
        <f t="shared" si="59"/>
        <v>115613.31340000001</v>
      </c>
      <c r="F695" s="323">
        <f t="shared" si="60"/>
        <v>111119.44</v>
      </c>
      <c r="G695" s="338">
        <f t="shared" si="61"/>
        <v>123310.3</v>
      </c>
      <c r="H695" s="338">
        <f t="shared" si="62"/>
        <v>130473.38</v>
      </c>
    </row>
    <row r="696" spans="1:8" x14ac:dyDescent="0.25">
      <c r="A696" s="3">
        <v>21324</v>
      </c>
      <c r="B696" s="3" t="s">
        <v>680</v>
      </c>
      <c r="C696" s="30">
        <v>5.42</v>
      </c>
      <c r="D696" s="30">
        <v>4.75</v>
      </c>
      <c r="E696" s="29">
        <f t="shared" si="59"/>
        <v>209573.29720000003</v>
      </c>
      <c r="F696" s="323">
        <f t="shared" si="60"/>
        <v>201457</v>
      </c>
      <c r="G696" s="338">
        <f t="shared" si="61"/>
        <v>223558.75</v>
      </c>
      <c r="H696" s="338">
        <f t="shared" si="62"/>
        <v>236545.25</v>
      </c>
    </row>
    <row r="697" spans="1:8" x14ac:dyDescent="0.25">
      <c r="A697" s="3">
        <v>21325</v>
      </c>
      <c r="B697" s="3" t="s">
        <v>681</v>
      </c>
      <c r="C697" s="30">
        <v>5.89</v>
      </c>
      <c r="D697" s="30">
        <v>5.17</v>
      </c>
      <c r="E697" s="29">
        <f t="shared" si="59"/>
        <v>227746.6274</v>
      </c>
      <c r="F697" s="323">
        <f t="shared" si="60"/>
        <v>219270.04</v>
      </c>
      <c r="G697" s="338">
        <f t="shared" si="61"/>
        <v>243326.05</v>
      </c>
      <c r="H697" s="338">
        <f t="shared" si="62"/>
        <v>257460.83</v>
      </c>
    </row>
    <row r="698" spans="1:8" x14ac:dyDescent="0.25">
      <c r="A698" s="3">
        <v>21326</v>
      </c>
      <c r="B698" s="3" t="s">
        <v>682</v>
      </c>
      <c r="C698" s="30">
        <v>5.2</v>
      </c>
      <c r="D698" s="30">
        <v>4.5599999999999996</v>
      </c>
      <c r="E698" s="29">
        <f t="shared" si="59"/>
        <v>201066.63200000001</v>
      </c>
      <c r="F698" s="323">
        <f t="shared" si="60"/>
        <v>193398.71999999997</v>
      </c>
      <c r="G698" s="338">
        <f t="shared" si="61"/>
        <v>214616.4</v>
      </c>
      <c r="H698" s="338">
        <f t="shared" si="62"/>
        <v>227083.43999999997</v>
      </c>
    </row>
    <row r="699" spans="1:8" ht="14.4" thickBot="1" x14ac:dyDescent="0.3">
      <c r="A699" s="8">
        <v>21327</v>
      </c>
      <c r="B699" s="8" t="s">
        <v>683</v>
      </c>
      <c r="C699" s="33">
        <v>5.2</v>
      </c>
      <c r="D699" s="33">
        <v>4.5599999999999996</v>
      </c>
      <c r="E699" s="47">
        <f t="shared" si="59"/>
        <v>201066.63200000001</v>
      </c>
      <c r="F699" s="324">
        <f t="shared" si="60"/>
        <v>193398.71999999997</v>
      </c>
      <c r="G699" s="338">
        <f t="shared" si="61"/>
        <v>214616.4</v>
      </c>
      <c r="H699" s="338">
        <f t="shared" si="62"/>
        <v>227083.43999999997</v>
      </c>
    </row>
    <row r="700" spans="1:8" ht="13.2" customHeight="1" thickBot="1" x14ac:dyDescent="0.3">
      <c r="A700" s="17" t="s">
        <v>767</v>
      </c>
      <c r="B700" s="24"/>
      <c r="C700" s="354" t="s">
        <v>3476</v>
      </c>
      <c r="D700" s="354" t="s">
        <v>3476</v>
      </c>
      <c r="E700" s="354" t="s">
        <v>3476</v>
      </c>
      <c r="F700" s="354" t="s">
        <v>3476</v>
      </c>
      <c r="G700" s="355" t="s">
        <v>3476</v>
      </c>
      <c r="H700" s="356" t="s">
        <v>3476</v>
      </c>
    </row>
    <row r="701" spans="1:8" x14ac:dyDescent="0.25">
      <c r="A701" s="3">
        <v>21330</v>
      </c>
      <c r="B701" s="3" t="s">
        <v>684</v>
      </c>
      <c r="C701" s="30">
        <v>3.1</v>
      </c>
      <c r="D701" s="30">
        <v>2.72</v>
      </c>
      <c r="E701" s="29">
        <f t="shared" si="59"/>
        <v>119866.64600000001</v>
      </c>
      <c r="F701" s="323">
        <f t="shared" ref="F701:F708" si="63">+$D701*$F$2</f>
        <v>115360.64000000001</v>
      </c>
      <c r="G701" s="338">
        <f t="shared" ref="G701:G708" si="64">+$D701*$G$2</f>
        <v>128016.8</v>
      </c>
      <c r="H701" s="338">
        <f t="shared" ref="H701:H708" si="65">+$D701*$H$2</f>
        <v>135453.28</v>
      </c>
    </row>
    <row r="702" spans="1:8" x14ac:dyDescent="0.25">
      <c r="A702" s="3">
        <v>21331</v>
      </c>
      <c r="B702" s="3" t="s">
        <v>685</v>
      </c>
      <c r="C702" s="30">
        <v>10.55</v>
      </c>
      <c r="D702" s="30">
        <v>9.25</v>
      </c>
      <c r="E702" s="29">
        <f t="shared" si="59"/>
        <v>407933.26300000004</v>
      </c>
      <c r="F702" s="323">
        <f t="shared" si="63"/>
        <v>392311</v>
      </c>
      <c r="G702" s="338">
        <f t="shared" si="64"/>
        <v>435351.25</v>
      </c>
      <c r="H702" s="338">
        <f t="shared" si="65"/>
        <v>460640.75</v>
      </c>
    </row>
    <row r="703" spans="1:8" x14ac:dyDescent="0.25">
      <c r="A703" s="3">
        <v>21332</v>
      </c>
      <c r="B703" s="3" t="s">
        <v>686</v>
      </c>
      <c r="C703" s="30">
        <v>6.56</v>
      </c>
      <c r="D703" s="30">
        <v>5.75</v>
      </c>
      <c r="E703" s="29">
        <f t="shared" si="59"/>
        <v>253653.28960000002</v>
      </c>
      <c r="F703" s="323">
        <f t="shared" si="63"/>
        <v>243869</v>
      </c>
      <c r="G703" s="338">
        <f t="shared" si="64"/>
        <v>270623.75</v>
      </c>
      <c r="H703" s="338">
        <f t="shared" si="65"/>
        <v>286344.25</v>
      </c>
    </row>
    <row r="704" spans="1:8" x14ac:dyDescent="0.25">
      <c r="A704" s="3">
        <v>21333</v>
      </c>
      <c r="B704" s="3" t="s">
        <v>687</v>
      </c>
      <c r="C704" s="30">
        <v>5.09</v>
      </c>
      <c r="D704" s="30">
        <v>4.46</v>
      </c>
      <c r="E704" s="29">
        <f t="shared" si="59"/>
        <v>196813.29940000002</v>
      </c>
      <c r="F704" s="323">
        <f t="shared" si="63"/>
        <v>189157.52</v>
      </c>
      <c r="G704" s="338">
        <f t="shared" si="64"/>
        <v>209909.9</v>
      </c>
      <c r="H704" s="338">
        <f t="shared" si="65"/>
        <v>222103.54</v>
      </c>
    </row>
    <row r="705" spans="1:8" x14ac:dyDescent="0.25">
      <c r="A705" s="3">
        <v>21334</v>
      </c>
      <c r="B705" s="3" t="s">
        <v>688</v>
      </c>
      <c r="C705" s="30">
        <v>6.25</v>
      </c>
      <c r="D705" s="30">
        <v>5.48</v>
      </c>
      <c r="E705" s="29">
        <f t="shared" si="59"/>
        <v>241666.62500000003</v>
      </c>
      <c r="F705" s="323">
        <f t="shared" si="63"/>
        <v>232417.76</v>
      </c>
      <c r="G705" s="338">
        <f t="shared" si="64"/>
        <v>257916.2</v>
      </c>
      <c r="H705" s="338">
        <f t="shared" si="65"/>
        <v>272898.52</v>
      </c>
    </row>
    <row r="706" spans="1:8" x14ac:dyDescent="0.25">
      <c r="A706" s="3">
        <v>21335</v>
      </c>
      <c r="B706" s="3" t="s">
        <v>689</v>
      </c>
      <c r="C706" s="30">
        <v>5.61</v>
      </c>
      <c r="D706" s="30">
        <v>4.92</v>
      </c>
      <c r="E706" s="29">
        <f t="shared" si="59"/>
        <v>216919.96260000003</v>
      </c>
      <c r="F706" s="323">
        <f t="shared" si="63"/>
        <v>208667.04</v>
      </c>
      <c r="G706" s="338">
        <f t="shared" si="64"/>
        <v>231559.8</v>
      </c>
      <c r="H706" s="338">
        <f t="shared" si="65"/>
        <v>245011.08</v>
      </c>
    </row>
    <row r="707" spans="1:8" x14ac:dyDescent="0.25">
      <c r="A707" s="3">
        <v>21337</v>
      </c>
      <c r="B707" s="3" t="s">
        <v>690</v>
      </c>
      <c r="C707" s="30">
        <v>6.32</v>
      </c>
      <c r="D707" s="30">
        <v>5.54</v>
      </c>
      <c r="E707" s="29">
        <f t="shared" si="59"/>
        <v>244373.29120000004</v>
      </c>
      <c r="F707" s="323">
        <f t="shared" si="63"/>
        <v>234962.48</v>
      </c>
      <c r="G707" s="338">
        <f t="shared" si="64"/>
        <v>260740.1</v>
      </c>
      <c r="H707" s="338">
        <f t="shared" si="65"/>
        <v>275886.46000000002</v>
      </c>
    </row>
    <row r="708" spans="1:8" ht="14.4" thickBot="1" x14ac:dyDescent="0.3">
      <c r="A708" s="8">
        <v>21338</v>
      </c>
      <c r="B708" s="8" t="s">
        <v>691</v>
      </c>
      <c r="C708" s="33">
        <v>6.32</v>
      </c>
      <c r="D708" s="33">
        <v>5.54</v>
      </c>
      <c r="E708" s="47">
        <f t="shared" si="59"/>
        <v>244373.29120000004</v>
      </c>
      <c r="F708" s="324">
        <f t="shared" si="63"/>
        <v>234962.48</v>
      </c>
      <c r="G708" s="338">
        <f t="shared" si="64"/>
        <v>260740.1</v>
      </c>
      <c r="H708" s="338">
        <f t="shared" si="65"/>
        <v>275886.46000000002</v>
      </c>
    </row>
    <row r="709" spans="1:8" ht="13.2" customHeight="1" thickBot="1" x14ac:dyDescent="0.3">
      <c r="A709" s="17" t="s">
        <v>768</v>
      </c>
      <c r="B709" s="24"/>
      <c r="C709" s="354" t="s">
        <v>3476</v>
      </c>
      <c r="D709" s="354" t="s">
        <v>3476</v>
      </c>
      <c r="E709" s="354" t="s">
        <v>3476</v>
      </c>
      <c r="F709" s="354" t="s">
        <v>3476</v>
      </c>
      <c r="G709" s="355" t="s">
        <v>3476</v>
      </c>
      <c r="H709" s="356" t="s">
        <v>3476</v>
      </c>
    </row>
    <row r="710" spans="1:8" ht="13.2" customHeight="1" thickBot="1" x14ac:dyDescent="0.3">
      <c r="A710" s="17" t="s">
        <v>769</v>
      </c>
      <c r="B710" s="24"/>
      <c r="C710" s="354" t="s">
        <v>3476</v>
      </c>
      <c r="D710" s="354" t="s">
        <v>3476</v>
      </c>
      <c r="E710" s="354" t="s">
        <v>3476</v>
      </c>
      <c r="F710" s="354" t="s">
        <v>3476</v>
      </c>
      <c r="G710" s="355" t="s">
        <v>3476</v>
      </c>
      <c r="H710" s="356" t="s">
        <v>3476</v>
      </c>
    </row>
    <row r="711" spans="1:8" x14ac:dyDescent="0.25">
      <c r="A711" s="4">
        <v>21400</v>
      </c>
      <c r="B711" s="4" t="s">
        <v>692</v>
      </c>
      <c r="C711" s="28">
        <v>4.22</v>
      </c>
      <c r="D711" s="28">
        <v>3.7</v>
      </c>
      <c r="E711" s="48">
        <f t="shared" si="59"/>
        <v>163173.3052</v>
      </c>
      <c r="F711" s="323">
        <f>+$D711*$F$2</f>
        <v>156924.4</v>
      </c>
      <c r="G711" s="338">
        <f>+$D711*$G$2</f>
        <v>174140.5</v>
      </c>
      <c r="H711" s="338">
        <f>+$D711*$H$2</f>
        <v>184256.30000000002</v>
      </c>
    </row>
    <row r="712" spans="1:8" x14ac:dyDescent="0.25">
      <c r="A712" s="3">
        <v>21401</v>
      </c>
      <c r="B712" s="3" t="s">
        <v>693</v>
      </c>
      <c r="C712" s="30">
        <v>4.22</v>
      </c>
      <c r="D712" s="30">
        <v>3.7</v>
      </c>
      <c r="E712" s="29">
        <f t="shared" si="59"/>
        <v>163173.3052</v>
      </c>
      <c r="F712" s="323">
        <f>+$D712*$F$2</f>
        <v>156924.4</v>
      </c>
      <c r="G712" s="338">
        <f>+$D712*$G$2</f>
        <v>174140.5</v>
      </c>
      <c r="H712" s="338">
        <f>+$D712*$H$2</f>
        <v>184256.30000000002</v>
      </c>
    </row>
    <row r="713" spans="1:8" x14ac:dyDescent="0.25">
      <c r="A713" s="3">
        <v>21403</v>
      </c>
      <c r="B713" s="3" t="s">
        <v>694</v>
      </c>
      <c r="C713" s="30">
        <v>4.22</v>
      </c>
      <c r="D713" s="30">
        <v>3.7</v>
      </c>
      <c r="E713" s="29">
        <f t="shared" si="59"/>
        <v>163173.3052</v>
      </c>
      <c r="F713" s="323">
        <f>+$D713*$F$2</f>
        <v>156924.4</v>
      </c>
      <c r="G713" s="338">
        <f>+$D713*$G$2</f>
        <v>174140.5</v>
      </c>
      <c r="H713" s="338">
        <f>+$D713*$H$2</f>
        <v>184256.30000000002</v>
      </c>
    </row>
    <row r="714" spans="1:8" ht="14.4" thickBot="1" x14ac:dyDescent="0.3">
      <c r="A714" s="8">
        <v>21404</v>
      </c>
      <c r="B714" s="8" t="s">
        <v>695</v>
      </c>
      <c r="C714" s="33">
        <v>4.22</v>
      </c>
      <c r="D714" s="33">
        <v>3.7</v>
      </c>
      <c r="E714" s="47">
        <f t="shared" si="59"/>
        <v>163173.3052</v>
      </c>
      <c r="F714" s="324">
        <f>+$D714*$F$2</f>
        <v>156924.4</v>
      </c>
      <c r="G714" s="338">
        <f>+$D714*$G$2</f>
        <v>174140.5</v>
      </c>
      <c r="H714" s="338">
        <f>+$D714*$H$2</f>
        <v>184256.30000000002</v>
      </c>
    </row>
    <row r="715" spans="1:8" ht="13.2" customHeight="1" thickBot="1" x14ac:dyDescent="0.3">
      <c r="A715" s="17" t="s">
        <v>770</v>
      </c>
      <c r="B715" s="24"/>
      <c r="C715" s="354" t="s">
        <v>3476</v>
      </c>
      <c r="D715" s="354" t="s">
        <v>3476</v>
      </c>
      <c r="E715" s="354" t="s">
        <v>3476</v>
      </c>
      <c r="F715" s="354" t="s">
        <v>3476</v>
      </c>
      <c r="G715" s="355" t="s">
        <v>3476</v>
      </c>
      <c r="H715" s="356" t="s">
        <v>3476</v>
      </c>
    </row>
    <row r="716" spans="1:8" ht="14.4" thickBot="1" x14ac:dyDescent="0.3">
      <c r="A716" s="8">
        <v>21410</v>
      </c>
      <c r="B716" s="8" t="s">
        <v>696</v>
      </c>
      <c r="C716" s="33">
        <v>4.79</v>
      </c>
      <c r="D716" s="33">
        <v>4.2</v>
      </c>
      <c r="E716" s="47">
        <f t="shared" si="59"/>
        <v>185213.30140000003</v>
      </c>
      <c r="F716" s="324">
        <f>+$D716*$F$2</f>
        <v>178130.4</v>
      </c>
      <c r="G716" s="338">
        <f>+$D716*$G$2</f>
        <v>197673</v>
      </c>
      <c r="H716" s="338">
        <f>+$D716*$H$2</f>
        <v>209155.80000000002</v>
      </c>
    </row>
    <row r="717" spans="1:8" ht="13.2" customHeight="1" thickBot="1" x14ac:dyDescent="0.3">
      <c r="A717" s="17" t="s">
        <v>773</v>
      </c>
      <c r="B717" s="24"/>
      <c r="C717" s="354" t="s">
        <v>3476</v>
      </c>
      <c r="D717" s="354" t="s">
        <v>3476</v>
      </c>
      <c r="E717" s="354" t="s">
        <v>3476</v>
      </c>
      <c r="F717" s="354" t="s">
        <v>3476</v>
      </c>
      <c r="G717" s="355" t="s">
        <v>3476</v>
      </c>
      <c r="H717" s="356" t="s">
        <v>3476</v>
      </c>
    </row>
    <row r="718" spans="1:8" x14ac:dyDescent="0.25">
      <c r="A718" s="4">
        <v>21420</v>
      </c>
      <c r="B718" s="4" t="s">
        <v>697</v>
      </c>
      <c r="C718" s="28">
        <v>5.24</v>
      </c>
      <c r="D718" s="28">
        <v>4.5999999999999996</v>
      </c>
      <c r="E718" s="48">
        <f t="shared" si="59"/>
        <v>202613.29840000003</v>
      </c>
      <c r="F718" s="323">
        <f>+$D718*$F$2</f>
        <v>195095.19999999998</v>
      </c>
      <c r="G718" s="338">
        <f>+$D718*$G$2</f>
        <v>216498.99999999997</v>
      </c>
      <c r="H718" s="338">
        <f>+$D718*$H$2</f>
        <v>229075.4</v>
      </c>
    </row>
    <row r="719" spans="1:8" x14ac:dyDescent="0.25">
      <c r="A719" s="3">
        <v>21421</v>
      </c>
      <c r="B719" s="3" t="s">
        <v>698</v>
      </c>
      <c r="C719" s="30">
        <v>16.48</v>
      </c>
      <c r="D719" s="30">
        <v>14.45</v>
      </c>
      <c r="E719" s="29">
        <f t="shared" si="59"/>
        <v>637226.55680000002</v>
      </c>
      <c r="F719" s="323">
        <f>+$D719*$F$2</f>
        <v>612853.4</v>
      </c>
      <c r="G719" s="338">
        <f>+$D719*$G$2</f>
        <v>680089.25</v>
      </c>
      <c r="H719" s="338">
        <f>+$D719*$H$2</f>
        <v>719595.54999999993</v>
      </c>
    </row>
    <row r="720" spans="1:8" ht="14.4" thickBot="1" x14ac:dyDescent="0.3">
      <c r="A720" s="8">
        <v>21422</v>
      </c>
      <c r="B720" s="8" t="s">
        <v>699</v>
      </c>
      <c r="C720" s="33">
        <v>32.97</v>
      </c>
      <c r="D720" s="33">
        <v>28.92</v>
      </c>
      <c r="E720" s="47">
        <f t="shared" si="59"/>
        <v>1274839.7802000002</v>
      </c>
      <c r="F720" s="324">
        <f>+$D720*$F$2</f>
        <v>1226555.04</v>
      </c>
      <c r="G720" s="338">
        <f>+$D720*$G$2</f>
        <v>1361119.8</v>
      </c>
      <c r="H720" s="338">
        <f>+$D720*$H$2</f>
        <v>1440187.08</v>
      </c>
    </row>
    <row r="721" spans="1:8" ht="13.2" customHeight="1" thickBot="1" x14ac:dyDescent="0.3">
      <c r="A721" s="17" t="s">
        <v>774</v>
      </c>
      <c r="B721" s="24"/>
      <c r="C721" s="354" t="s">
        <v>3476</v>
      </c>
      <c r="D721" s="354" t="s">
        <v>3476</v>
      </c>
      <c r="E721" s="354" t="s">
        <v>3476</v>
      </c>
      <c r="F721" s="354" t="s">
        <v>3476</v>
      </c>
      <c r="G721" s="355" t="s">
        <v>3476</v>
      </c>
      <c r="H721" s="356" t="s">
        <v>3476</v>
      </c>
    </row>
    <row r="722" spans="1:8" x14ac:dyDescent="0.25">
      <c r="A722" s="3">
        <v>21430</v>
      </c>
      <c r="B722" s="3" t="s">
        <v>700</v>
      </c>
      <c r="C722" s="30">
        <v>8.82</v>
      </c>
      <c r="D722" s="30">
        <v>7.74</v>
      </c>
      <c r="E722" s="29">
        <f t="shared" si="59"/>
        <v>341039.94120000006</v>
      </c>
      <c r="F722" s="323">
        <f t="shared" ref="F722:F732" si="66">+$D722*$F$2</f>
        <v>328268.88</v>
      </c>
      <c r="G722" s="338">
        <f t="shared" ref="G722:G732" si="67">+$D722*$G$2</f>
        <v>364283.10000000003</v>
      </c>
      <c r="H722" s="338">
        <f t="shared" ref="H722:H732" si="68">+$D722*$H$2</f>
        <v>385444.26</v>
      </c>
    </row>
    <row r="723" spans="1:8" x14ac:dyDescent="0.25">
      <c r="A723" s="3">
        <v>21431</v>
      </c>
      <c r="B723" s="3" t="s">
        <v>701</v>
      </c>
      <c r="C723" s="30">
        <v>5.8</v>
      </c>
      <c r="D723" s="30">
        <v>5.09</v>
      </c>
      <c r="E723" s="29">
        <f t="shared" si="59"/>
        <v>224266.62800000003</v>
      </c>
      <c r="F723" s="323">
        <f t="shared" si="66"/>
        <v>215877.08</v>
      </c>
      <c r="G723" s="338">
        <f t="shared" si="67"/>
        <v>239560.85</v>
      </c>
      <c r="H723" s="338">
        <f t="shared" si="68"/>
        <v>253476.91</v>
      </c>
    </row>
    <row r="724" spans="1:8" x14ac:dyDescent="0.25">
      <c r="A724" s="3">
        <v>21432</v>
      </c>
      <c r="B724" s="3" t="s">
        <v>702</v>
      </c>
      <c r="C724" s="30">
        <v>5.82</v>
      </c>
      <c r="D724" s="30">
        <v>5.0999999999999996</v>
      </c>
      <c r="E724" s="29">
        <f t="shared" si="59"/>
        <v>225039.96120000002</v>
      </c>
      <c r="F724" s="323">
        <f t="shared" si="66"/>
        <v>216301.19999999998</v>
      </c>
      <c r="G724" s="338">
        <f t="shared" si="67"/>
        <v>240031.49999999997</v>
      </c>
      <c r="H724" s="338">
        <f t="shared" si="68"/>
        <v>253974.9</v>
      </c>
    </row>
    <row r="725" spans="1:8" x14ac:dyDescent="0.25">
      <c r="A725" s="3">
        <v>21433</v>
      </c>
      <c r="B725" s="3" t="s">
        <v>703</v>
      </c>
      <c r="C725" s="30">
        <v>6.25</v>
      </c>
      <c r="D725" s="30">
        <v>5.48</v>
      </c>
      <c r="E725" s="29">
        <f t="shared" si="59"/>
        <v>241666.62500000003</v>
      </c>
      <c r="F725" s="323">
        <f t="shared" si="66"/>
        <v>232417.76</v>
      </c>
      <c r="G725" s="338">
        <f t="shared" si="67"/>
        <v>257916.2</v>
      </c>
      <c r="H725" s="338">
        <f t="shared" si="68"/>
        <v>272898.52</v>
      </c>
    </row>
    <row r="726" spans="1:8" x14ac:dyDescent="0.25">
      <c r="A726" s="3">
        <v>21434</v>
      </c>
      <c r="B726" s="3" t="s">
        <v>704</v>
      </c>
      <c r="C726" s="30">
        <v>12.86</v>
      </c>
      <c r="D726" s="30">
        <v>11.28</v>
      </c>
      <c r="E726" s="29">
        <f t="shared" si="59"/>
        <v>497253.2476</v>
      </c>
      <c r="F726" s="323">
        <f t="shared" si="66"/>
        <v>478407.36</v>
      </c>
      <c r="G726" s="338">
        <f t="shared" si="67"/>
        <v>530893.19999999995</v>
      </c>
      <c r="H726" s="338">
        <f t="shared" si="68"/>
        <v>561732.72</v>
      </c>
    </row>
    <row r="727" spans="1:8" x14ac:dyDescent="0.25">
      <c r="A727" s="3">
        <v>21435</v>
      </c>
      <c r="B727" s="3" t="s">
        <v>705</v>
      </c>
      <c r="C727" s="30">
        <v>21.97</v>
      </c>
      <c r="D727" s="30">
        <v>19.27</v>
      </c>
      <c r="E727" s="29">
        <f t="shared" si="59"/>
        <v>849506.52020000003</v>
      </c>
      <c r="F727" s="323">
        <f t="shared" si="66"/>
        <v>817279.24</v>
      </c>
      <c r="G727" s="338">
        <f t="shared" si="67"/>
        <v>906942.54999999993</v>
      </c>
      <c r="H727" s="338">
        <f t="shared" si="68"/>
        <v>959626.73</v>
      </c>
    </row>
    <row r="728" spans="1:8" x14ac:dyDescent="0.25">
      <c r="A728" s="3">
        <v>21436</v>
      </c>
      <c r="B728" s="3" t="s">
        <v>706</v>
      </c>
      <c r="C728" s="30">
        <v>13.52</v>
      </c>
      <c r="D728" s="30">
        <v>11.86</v>
      </c>
      <c r="E728" s="29">
        <f t="shared" si="59"/>
        <v>522773.24320000003</v>
      </c>
      <c r="F728" s="323">
        <f t="shared" si="66"/>
        <v>503006.31999999995</v>
      </c>
      <c r="G728" s="338">
        <f t="shared" si="67"/>
        <v>558190.9</v>
      </c>
      <c r="H728" s="338">
        <f t="shared" si="68"/>
        <v>590616.14</v>
      </c>
    </row>
    <row r="729" spans="1:8" x14ac:dyDescent="0.25">
      <c r="A729" s="3">
        <v>21437</v>
      </c>
      <c r="B729" s="3" t="s">
        <v>707</v>
      </c>
      <c r="C729" s="30">
        <v>11.27</v>
      </c>
      <c r="D729" s="30">
        <v>9.8800000000000008</v>
      </c>
      <c r="E729" s="29">
        <f t="shared" si="59"/>
        <v>435773.25820000004</v>
      </c>
      <c r="F729" s="323">
        <f t="shared" si="66"/>
        <v>419030.56000000006</v>
      </c>
      <c r="G729" s="338">
        <f t="shared" si="67"/>
        <v>465002.2</v>
      </c>
      <c r="H729" s="338">
        <f t="shared" si="68"/>
        <v>492014.12000000005</v>
      </c>
    </row>
    <row r="730" spans="1:8" x14ac:dyDescent="0.25">
      <c r="A730" s="3">
        <v>21438</v>
      </c>
      <c r="B730" s="3" t="s">
        <v>708</v>
      </c>
      <c r="C730" s="30">
        <v>21.61</v>
      </c>
      <c r="D730" s="30">
        <v>18.95</v>
      </c>
      <c r="E730" s="29">
        <f t="shared" si="59"/>
        <v>835586.52260000003</v>
      </c>
      <c r="F730" s="323">
        <f t="shared" si="66"/>
        <v>803707.4</v>
      </c>
      <c r="G730" s="338">
        <f t="shared" si="67"/>
        <v>891881.75</v>
      </c>
      <c r="H730" s="338">
        <f t="shared" si="68"/>
        <v>943691.04999999993</v>
      </c>
    </row>
    <row r="731" spans="1:8" x14ac:dyDescent="0.25">
      <c r="A731" s="3">
        <v>21439</v>
      </c>
      <c r="B731" s="3" t="s">
        <v>709</v>
      </c>
      <c r="C731" s="30">
        <v>15.48</v>
      </c>
      <c r="D731" s="30">
        <v>13.58</v>
      </c>
      <c r="E731" s="29">
        <f t="shared" si="59"/>
        <v>598559.8968000001</v>
      </c>
      <c r="F731" s="323">
        <f t="shared" si="66"/>
        <v>575954.96</v>
      </c>
      <c r="G731" s="338">
        <f t="shared" si="67"/>
        <v>639142.69999999995</v>
      </c>
      <c r="H731" s="338">
        <f t="shared" si="68"/>
        <v>676270.42</v>
      </c>
    </row>
    <row r="732" spans="1:8" ht="14.4" thickBot="1" x14ac:dyDescent="0.3">
      <c r="A732" s="8">
        <v>21440</v>
      </c>
      <c r="B732" s="8" t="s">
        <v>710</v>
      </c>
      <c r="C732" s="33">
        <v>6.9</v>
      </c>
      <c r="D732" s="33">
        <v>6.05</v>
      </c>
      <c r="E732" s="47">
        <f t="shared" si="59"/>
        <v>266799.95400000003</v>
      </c>
      <c r="F732" s="324">
        <f t="shared" si="66"/>
        <v>256592.6</v>
      </c>
      <c r="G732" s="338">
        <f t="shared" si="67"/>
        <v>284743.25</v>
      </c>
      <c r="H732" s="338">
        <f t="shared" si="68"/>
        <v>301283.95</v>
      </c>
    </row>
    <row r="733" spans="1:8" ht="13.2" customHeight="1" thickBot="1" x14ac:dyDescent="0.3">
      <c r="A733" s="51" t="s">
        <v>776</v>
      </c>
      <c r="B733" s="52"/>
      <c r="C733" s="354" t="s">
        <v>3476</v>
      </c>
      <c r="D733" s="354" t="s">
        <v>3476</v>
      </c>
      <c r="E733" s="354" t="s">
        <v>3476</v>
      </c>
      <c r="F733" s="354" t="s">
        <v>3476</v>
      </c>
      <c r="G733" s="355" t="s">
        <v>3476</v>
      </c>
      <c r="H733" s="356" t="s">
        <v>3476</v>
      </c>
    </row>
    <row r="734" spans="1:8" x14ac:dyDescent="0.25">
      <c r="A734" s="4">
        <v>21441</v>
      </c>
      <c r="B734" s="4" t="s">
        <v>711</v>
      </c>
      <c r="C734" s="28">
        <v>15.48</v>
      </c>
      <c r="D734" s="28">
        <v>13.58</v>
      </c>
      <c r="E734" s="48">
        <f t="shared" si="59"/>
        <v>598559.8968000001</v>
      </c>
      <c r="F734" s="323">
        <f>+$D734*$F$2</f>
        <v>575954.96</v>
      </c>
      <c r="G734" s="338">
        <f>+$D734*$G$2</f>
        <v>639142.69999999995</v>
      </c>
      <c r="H734" s="338">
        <f>+$D734*$H$2</f>
        <v>676270.42</v>
      </c>
    </row>
    <row r="735" spans="1:8" x14ac:dyDescent="0.25">
      <c r="A735" s="3">
        <v>21442</v>
      </c>
      <c r="B735" s="3" t="s">
        <v>712</v>
      </c>
      <c r="C735" s="30">
        <v>5.61</v>
      </c>
      <c r="D735" s="30">
        <v>4.92</v>
      </c>
      <c r="E735" s="29">
        <f t="shared" si="59"/>
        <v>216919.96260000003</v>
      </c>
      <c r="F735" s="323">
        <f>+$D735*$F$2</f>
        <v>208667.04</v>
      </c>
      <c r="G735" s="338">
        <f>+$D735*$G$2</f>
        <v>231559.8</v>
      </c>
      <c r="H735" s="338">
        <f>+$D735*$H$2</f>
        <v>245011.08</v>
      </c>
    </row>
    <row r="736" spans="1:8" x14ac:dyDescent="0.25">
      <c r="A736" s="3">
        <v>21443</v>
      </c>
      <c r="B736" s="3" t="s">
        <v>711</v>
      </c>
      <c r="C736" s="30">
        <v>15.48</v>
      </c>
      <c r="D736" s="30">
        <v>13.58</v>
      </c>
      <c r="E736" s="29">
        <f t="shared" si="59"/>
        <v>598559.8968000001</v>
      </c>
      <c r="F736" s="323">
        <f>+$D736*$F$2</f>
        <v>575954.96</v>
      </c>
      <c r="G736" s="338">
        <f>+$D736*$G$2</f>
        <v>639142.69999999995</v>
      </c>
      <c r="H736" s="338">
        <f>+$D736*$H$2</f>
        <v>676270.42</v>
      </c>
    </row>
    <row r="737" spans="1:8" x14ac:dyDescent="0.25">
      <c r="A737" s="3">
        <v>21444</v>
      </c>
      <c r="B737" s="3" t="s">
        <v>712</v>
      </c>
      <c r="C737" s="30">
        <v>5.61</v>
      </c>
      <c r="D737" s="30">
        <v>4.92</v>
      </c>
      <c r="E737" s="29">
        <f t="shared" si="59"/>
        <v>216919.96260000003</v>
      </c>
      <c r="F737" s="323">
        <f>+$D737*$F$2</f>
        <v>208667.04</v>
      </c>
      <c r="G737" s="338">
        <f>+$D737*$G$2</f>
        <v>231559.8</v>
      </c>
      <c r="H737" s="338">
        <f>+$D737*$H$2</f>
        <v>245011.08</v>
      </c>
    </row>
    <row r="738" spans="1:8" ht="14.4" thickBot="1" x14ac:dyDescent="0.3">
      <c r="A738" s="8">
        <v>21445</v>
      </c>
      <c r="B738" s="8" t="s">
        <v>713</v>
      </c>
      <c r="C738" s="33">
        <v>19.72</v>
      </c>
      <c r="D738" s="33">
        <v>17.3</v>
      </c>
      <c r="E738" s="47">
        <f t="shared" si="59"/>
        <v>762506.53520000004</v>
      </c>
      <c r="F738" s="324">
        <f>+$D738*$F$2</f>
        <v>733727.6</v>
      </c>
      <c r="G738" s="338">
        <f>+$D738*$G$2</f>
        <v>814224.5</v>
      </c>
      <c r="H738" s="338">
        <f>+$D738*$H$2</f>
        <v>861522.70000000007</v>
      </c>
    </row>
    <row r="739" spans="1:8" ht="13.2" customHeight="1" thickBot="1" x14ac:dyDescent="0.3">
      <c r="A739" s="17" t="s">
        <v>775</v>
      </c>
      <c r="B739" s="18"/>
      <c r="C739" s="354" t="s">
        <v>3476</v>
      </c>
      <c r="D739" s="354" t="s">
        <v>3476</v>
      </c>
      <c r="E739" s="354" t="s">
        <v>3476</v>
      </c>
      <c r="F739" s="354" t="s">
        <v>3476</v>
      </c>
      <c r="G739" s="355" t="s">
        <v>3476</v>
      </c>
      <c r="H739" s="356" t="s">
        <v>3476</v>
      </c>
    </row>
    <row r="740" spans="1:8" x14ac:dyDescent="0.25">
      <c r="A740" s="4">
        <v>21450</v>
      </c>
      <c r="B740" s="4" t="s">
        <v>714</v>
      </c>
      <c r="C740" s="28">
        <v>2.99</v>
      </c>
      <c r="D740" s="28">
        <v>2.62</v>
      </c>
      <c r="E740" s="48">
        <f t="shared" ref="E740:E790" si="69">+$C740*$E$2</f>
        <v>115613.31340000001</v>
      </c>
      <c r="F740" s="323">
        <f>+$D740*$F$2</f>
        <v>111119.44</v>
      </c>
      <c r="G740" s="338">
        <f>+$D740*$G$2</f>
        <v>123310.3</v>
      </c>
      <c r="H740" s="338">
        <f>+$D740*$H$2</f>
        <v>130473.38</v>
      </c>
    </row>
    <row r="741" spans="1:8" x14ac:dyDescent="0.25">
      <c r="A741" s="3">
        <v>21451</v>
      </c>
      <c r="B741" s="3" t="s">
        <v>715</v>
      </c>
      <c r="C741" s="30">
        <v>3.95</v>
      </c>
      <c r="D741" s="30">
        <v>3.46</v>
      </c>
      <c r="E741" s="29">
        <f t="shared" si="69"/>
        <v>152733.30700000003</v>
      </c>
      <c r="F741" s="323">
        <f>+$D741*$F$2</f>
        <v>146745.51999999999</v>
      </c>
      <c r="G741" s="338">
        <f>+$D741*$G$2</f>
        <v>162844.9</v>
      </c>
      <c r="H741" s="338">
        <f>+$D741*$H$2</f>
        <v>172304.54</v>
      </c>
    </row>
    <row r="742" spans="1:8" x14ac:dyDescent="0.25">
      <c r="A742" s="3">
        <v>21452</v>
      </c>
      <c r="B742" s="3" t="s">
        <v>716</v>
      </c>
      <c r="C742" s="30">
        <v>2.99</v>
      </c>
      <c r="D742" s="30">
        <v>2.62</v>
      </c>
      <c r="E742" s="29">
        <f t="shared" si="69"/>
        <v>115613.31340000001</v>
      </c>
      <c r="F742" s="323">
        <f>+$D742*$F$2</f>
        <v>111119.44</v>
      </c>
      <c r="G742" s="338">
        <f>+$D742*$G$2</f>
        <v>123310.3</v>
      </c>
      <c r="H742" s="338">
        <f>+$D742*$H$2</f>
        <v>130473.38</v>
      </c>
    </row>
    <row r="743" spans="1:8" x14ac:dyDescent="0.25">
      <c r="A743" s="3">
        <v>21453</v>
      </c>
      <c r="B743" s="3" t="s">
        <v>717</v>
      </c>
      <c r="C743" s="30">
        <v>3.55</v>
      </c>
      <c r="D743" s="30">
        <v>3.11</v>
      </c>
      <c r="E743" s="29">
        <f t="shared" si="69"/>
        <v>137266.64300000001</v>
      </c>
      <c r="F743" s="323">
        <f>+$D743*$F$2</f>
        <v>131901.32</v>
      </c>
      <c r="G743" s="338">
        <f>+$D743*$G$2</f>
        <v>146372.15</v>
      </c>
      <c r="H743" s="338">
        <f>+$D743*$H$2</f>
        <v>154874.88999999998</v>
      </c>
    </row>
    <row r="744" spans="1:8" ht="14.4" thickBot="1" x14ac:dyDescent="0.3">
      <c r="A744" s="8">
        <v>21454</v>
      </c>
      <c r="B744" s="8" t="s">
        <v>718</v>
      </c>
      <c r="C744" s="33">
        <v>3.72</v>
      </c>
      <c r="D744" s="33">
        <v>3.26</v>
      </c>
      <c r="E744" s="47">
        <f t="shared" si="69"/>
        <v>143839.97520000002</v>
      </c>
      <c r="F744" s="324">
        <f>+$D744*$F$2</f>
        <v>138263.12</v>
      </c>
      <c r="G744" s="338">
        <f>+$D744*$G$2</f>
        <v>153431.9</v>
      </c>
      <c r="H744" s="338">
        <f>+$D744*$H$2</f>
        <v>162344.74</v>
      </c>
    </row>
    <row r="745" spans="1:8" ht="13.2" customHeight="1" thickBot="1" x14ac:dyDescent="0.3">
      <c r="A745" s="17" t="s">
        <v>779</v>
      </c>
      <c r="B745" s="18"/>
      <c r="C745" s="354" t="s">
        <v>3476</v>
      </c>
      <c r="D745" s="354" t="s">
        <v>3476</v>
      </c>
      <c r="E745" s="354" t="s">
        <v>3476</v>
      </c>
      <c r="F745" s="354" t="s">
        <v>3476</v>
      </c>
      <c r="G745" s="355" t="s">
        <v>3476</v>
      </c>
      <c r="H745" s="356" t="s">
        <v>3476</v>
      </c>
    </row>
    <row r="746" spans="1:8" x14ac:dyDescent="0.25">
      <c r="A746" s="4">
        <v>21501</v>
      </c>
      <c r="B746" s="4" t="s">
        <v>719</v>
      </c>
      <c r="C746" s="28">
        <v>20.28</v>
      </c>
      <c r="D746" s="28">
        <v>17.79</v>
      </c>
      <c r="E746" s="48">
        <f t="shared" si="69"/>
        <v>784159.8648000001</v>
      </c>
      <c r="F746" s="323">
        <f t="shared" ref="F746:F763" si="70">+$D746*$F$2</f>
        <v>754509.48</v>
      </c>
      <c r="G746" s="338">
        <f t="shared" ref="G746:G763" si="71">+$D746*$G$2</f>
        <v>837286.35</v>
      </c>
      <c r="H746" s="338">
        <f t="shared" ref="H746:H763" si="72">+$D746*$H$2</f>
        <v>885924.21</v>
      </c>
    </row>
    <row r="747" spans="1:8" x14ac:dyDescent="0.25">
      <c r="A747" s="3">
        <v>21502</v>
      </c>
      <c r="B747" s="3" t="s">
        <v>720</v>
      </c>
      <c r="C747" s="30">
        <v>16.48</v>
      </c>
      <c r="D747" s="30">
        <v>14.45</v>
      </c>
      <c r="E747" s="29">
        <f t="shared" si="69"/>
        <v>637226.55680000002</v>
      </c>
      <c r="F747" s="323">
        <f t="shared" si="70"/>
        <v>612853.4</v>
      </c>
      <c r="G747" s="338">
        <f t="shared" si="71"/>
        <v>680089.25</v>
      </c>
      <c r="H747" s="338">
        <f t="shared" si="72"/>
        <v>719595.54999999993</v>
      </c>
    </row>
    <row r="748" spans="1:8" x14ac:dyDescent="0.25">
      <c r="A748" s="3">
        <v>21503</v>
      </c>
      <c r="B748" s="3" t="s">
        <v>721</v>
      </c>
      <c r="C748" s="30">
        <v>8.4499999999999993</v>
      </c>
      <c r="D748" s="30">
        <v>7.41</v>
      </c>
      <c r="E748" s="29">
        <f t="shared" si="69"/>
        <v>326733.277</v>
      </c>
      <c r="F748" s="323">
        <f t="shared" si="70"/>
        <v>314272.92</v>
      </c>
      <c r="G748" s="338">
        <f t="shared" si="71"/>
        <v>348751.65</v>
      </c>
      <c r="H748" s="338">
        <f t="shared" si="72"/>
        <v>369010.59</v>
      </c>
    </row>
    <row r="749" spans="1:8" x14ac:dyDescent="0.25">
      <c r="A749" s="3">
        <v>21504</v>
      </c>
      <c r="B749" s="3" t="s">
        <v>722</v>
      </c>
      <c r="C749" s="30">
        <v>10.14</v>
      </c>
      <c r="D749" s="30">
        <v>8.89</v>
      </c>
      <c r="E749" s="29">
        <f t="shared" si="69"/>
        <v>392079.93240000005</v>
      </c>
      <c r="F749" s="323">
        <f t="shared" si="70"/>
        <v>377042.68000000005</v>
      </c>
      <c r="G749" s="338">
        <f t="shared" si="71"/>
        <v>418407.85000000003</v>
      </c>
      <c r="H749" s="338">
        <f t="shared" si="72"/>
        <v>442713.11000000004</v>
      </c>
    </row>
    <row r="750" spans="1:8" x14ac:dyDescent="0.25">
      <c r="A750" s="3">
        <v>21505</v>
      </c>
      <c r="B750" s="3" t="s">
        <v>723</v>
      </c>
      <c r="C750" s="30">
        <v>15.01</v>
      </c>
      <c r="D750" s="30">
        <v>13.17</v>
      </c>
      <c r="E750" s="29">
        <f t="shared" si="69"/>
        <v>580386.56660000002</v>
      </c>
      <c r="F750" s="323">
        <f t="shared" si="70"/>
        <v>558566.04</v>
      </c>
      <c r="G750" s="338">
        <f t="shared" si="71"/>
        <v>619846.05000000005</v>
      </c>
      <c r="H750" s="338">
        <f t="shared" si="72"/>
        <v>655852.82999999996</v>
      </c>
    </row>
    <row r="751" spans="1:8" x14ac:dyDescent="0.25">
      <c r="A751" s="3">
        <v>21507</v>
      </c>
      <c r="B751" s="3" t="s">
        <v>724</v>
      </c>
      <c r="C751" s="30">
        <v>16.52</v>
      </c>
      <c r="D751" s="30">
        <v>14.49</v>
      </c>
      <c r="E751" s="29">
        <f t="shared" si="69"/>
        <v>638773.22320000001</v>
      </c>
      <c r="F751" s="323">
        <f t="shared" si="70"/>
        <v>614549.88</v>
      </c>
      <c r="G751" s="338">
        <f t="shared" si="71"/>
        <v>681971.85</v>
      </c>
      <c r="H751" s="338">
        <f t="shared" si="72"/>
        <v>721587.51</v>
      </c>
    </row>
    <row r="752" spans="1:8" x14ac:dyDescent="0.25">
      <c r="A752" s="3">
        <v>21508</v>
      </c>
      <c r="B752" s="3" t="s">
        <v>725</v>
      </c>
      <c r="C752" s="30">
        <v>14.2</v>
      </c>
      <c r="D752" s="30">
        <v>12.45</v>
      </c>
      <c r="E752" s="29">
        <f t="shared" si="69"/>
        <v>549066.57200000004</v>
      </c>
      <c r="F752" s="323">
        <f t="shared" si="70"/>
        <v>528029.4</v>
      </c>
      <c r="G752" s="338">
        <f t="shared" si="71"/>
        <v>585959.25</v>
      </c>
      <c r="H752" s="338">
        <f t="shared" si="72"/>
        <v>619997.54999999993</v>
      </c>
    </row>
    <row r="753" spans="1:8" x14ac:dyDescent="0.25">
      <c r="A753" s="3">
        <v>21509</v>
      </c>
      <c r="B753" s="3" t="s">
        <v>726</v>
      </c>
      <c r="C753" s="30">
        <v>14.2</v>
      </c>
      <c r="D753" s="30">
        <v>12.45</v>
      </c>
      <c r="E753" s="29">
        <f t="shared" si="69"/>
        <v>549066.57200000004</v>
      </c>
      <c r="F753" s="323">
        <f t="shared" si="70"/>
        <v>528029.4</v>
      </c>
      <c r="G753" s="338">
        <f t="shared" si="71"/>
        <v>585959.25</v>
      </c>
      <c r="H753" s="338">
        <f t="shared" si="72"/>
        <v>619997.54999999993</v>
      </c>
    </row>
    <row r="754" spans="1:8" x14ac:dyDescent="0.25">
      <c r="A754" s="3">
        <v>21510</v>
      </c>
      <c r="B754" s="3" t="s">
        <v>727</v>
      </c>
      <c r="C754" s="30">
        <v>10.14</v>
      </c>
      <c r="D754" s="30">
        <v>8.89</v>
      </c>
      <c r="E754" s="29">
        <f t="shared" si="69"/>
        <v>392079.93240000005</v>
      </c>
      <c r="F754" s="323">
        <f t="shared" si="70"/>
        <v>377042.68000000005</v>
      </c>
      <c r="G754" s="338">
        <f t="shared" si="71"/>
        <v>418407.85000000003</v>
      </c>
      <c r="H754" s="338">
        <f t="shared" si="72"/>
        <v>442713.11000000004</v>
      </c>
    </row>
    <row r="755" spans="1:8" x14ac:dyDescent="0.25">
      <c r="A755" s="3">
        <v>21511</v>
      </c>
      <c r="B755" s="3" t="s">
        <v>728</v>
      </c>
      <c r="C755" s="30">
        <v>5.08</v>
      </c>
      <c r="D755" s="30">
        <v>4.46</v>
      </c>
      <c r="E755" s="29">
        <f t="shared" si="69"/>
        <v>196426.63280000002</v>
      </c>
      <c r="F755" s="323">
        <f t="shared" si="70"/>
        <v>189157.52</v>
      </c>
      <c r="G755" s="338">
        <f t="shared" si="71"/>
        <v>209909.9</v>
      </c>
      <c r="H755" s="338">
        <f t="shared" si="72"/>
        <v>222103.54</v>
      </c>
    </row>
    <row r="756" spans="1:8" x14ac:dyDescent="0.25">
      <c r="A756" s="3">
        <v>21512</v>
      </c>
      <c r="B756" s="3" t="s">
        <v>729</v>
      </c>
      <c r="C756" s="30">
        <v>17.38</v>
      </c>
      <c r="D756" s="30">
        <v>15.24</v>
      </c>
      <c r="E756" s="29">
        <f t="shared" si="69"/>
        <v>672026.55079999997</v>
      </c>
      <c r="F756" s="323">
        <f t="shared" si="70"/>
        <v>646358.88</v>
      </c>
      <c r="G756" s="338">
        <f t="shared" si="71"/>
        <v>717270.6</v>
      </c>
      <c r="H756" s="338">
        <f t="shared" si="72"/>
        <v>758936.76</v>
      </c>
    </row>
    <row r="757" spans="1:8" x14ac:dyDescent="0.25">
      <c r="A757" s="3">
        <v>21513</v>
      </c>
      <c r="B757" s="3" t="s">
        <v>730</v>
      </c>
      <c r="C757" s="30">
        <v>18.46</v>
      </c>
      <c r="D757" s="30">
        <v>16.190000000000001</v>
      </c>
      <c r="E757" s="29">
        <f t="shared" si="69"/>
        <v>713786.54360000009</v>
      </c>
      <c r="F757" s="323">
        <f t="shared" si="70"/>
        <v>686650.28</v>
      </c>
      <c r="G757" s="338">
        <f t="shared" si="71"/>
        <v>761982.35000000009</v>
      </c>
      <c r="H757" s="338">
        <f t="shared" si="72"/>
        <v>806245.81</v>
      </c>
    </row>
    <row r="758" spans="1:8" x14ac:dyDescent="0.25">
      <c r="A758" s="3">
        <v>21514</v>
      </c>
      <c r="B758" s="3" t="s">
        <v>731</v>
      </c>
      <c r="C758" s="30">
        <v>16.48</v>
      </c>
      <c r="D758" s="30">
        <v>14.45</v>
      </c>
      <c r="E758" s="29">
        <f t="shared" si="69"/>
        <v>637226.55680000002</v>
      </c>
      <c r="F758" s="323">
        <f t="shared" si="70"/>
        <v>612853.4</v>
      </c>
      <c r="G758" s="338">
        <f t="shared" si="71"/>
        <v>680089.25</v>
      </c>
      <c r="H758" s="338">
        <f t="shared" si="72"/>
        <v>719595.54999999993</v>
      </c>
    </row>
    <row r="759" spans="1:8" x14ac:dyDescent="0.25">
      <c r="A759" s="3">
        <v>21515</v>
      </c>
      <c r="B759" s="3" t="s">
        <v>732</v>
      </c>
      <c r="C759" s="30">
        <v>4.4000000000000004</v>
      </c>
      <c r="D759" s="30">
        <v>3.86</v>
      </c>
      <c r="E759" s="29">
        <f t="shared" si="69"/>
        <v>170133.30400000003</v>
      </c>
      <c r="F759" s="323">
        <f t="shared" si="70"/>
        <v>163710.32</v>
      </c>
      <c r="G759" s="338">
        <f t="shared" si="71"/>
        <v>181670.9</v>
      </c>
      <c r="H759" s="338">
        <f t="shared" si="72"/>
        <v>192224.13999999998</v>
      </c>
    </row>
    <row r="760" spans="1:8" x14ac:dyDescent="0.25">
      <c r="A760" s="3">
        <v>21516</v>
      </c>
      <c r="B760" s="3" t="s">
        <v>733</v>
      </c>
      <c r="C760" s="30">
        <v>3.75</v>
      </c>
      <c r="D760" s="30">
        <v>3.29</v>
      </c>
      <c r="E760" s="29">
        <f t="shared" si="69"/>
        <v>144999.97500000001</v>
      </c>
      <c r="F760" s="323">
        <f t="shared" si="70"/>
        <v>139535.48000000001</v>
      </c>
      <c r="G760" s="338">
        <f t="shared" si="71"/>
        <v>154843.85</v>
      </c>
      <c r="H760" s="338">
        <f t="shared" si="72"/>
        <v>163838.71</v>
      </c>
    </row>
    <row r="761" spans="1:8" x14ac:dyDescent="0.25">
      <c r="A761" s="3">
        <v>21517</v>
      </c>
      <c r="B761" s="3" t="s">
        <v>734</v>
      </c>
      <c r="C761" s="30">
        <v>3.72</v>
      </c>
      <c r="D761" s="30">
        <v>3.26</v>
      </c>
      <c r="E761" s="29">
        <f t="shared" si="69"/>
        <v>143839.97520000002</v>
      </c>
      <c r="F761" s="323">
        <f t="shared" si="70"/>
        <v>138263.12</v>
      </c>
      <c r="G761" s="338">
        <f t="shared" si="71"/>
        <v>153431.9</v>
      </c>
      <c r="H761" s="338">
        <f t="shared" si="72"/>
        <v>162344.74</v>
      </c>
    </row>
    <row r="762" spans="1:8" x14ac:dyDescent="0.25">
      <c r="A762" s="3">
        <v>21518</v>
      </c>
      <c r="B762" s="3" t="s">
        <v>735</v>
      </c>
      <c r="C762" s="30">
        <v>10.48</v>
      </c>
      <c r="D762" s="30">
        <v>9.19</v>
      </c>
      <c r="E762" s="29">
        <f t="shared" si="69"/>
        <v>405226.59680000006</v>
      </c>
      <c r="F762" s="323">
        <f t="shared" si="70"/>
        <v>389766.27999999997</v>
      </c>
      <c r="G762" s="338">
        <f t="shared" si="71"/>
        <v>432527.35</v>
      </c>
      <c r="H762" s="338">
        <f t="shared" si="72"/>
        <v>457652.81</v>
      </c>
    </row>
    <row r="763" spans="1:8" ht="14.4" thickBot="1" x14ac:dyDescent="0.3">
      <c r="A763" s="8">
        <v>21520</v>
      </c>
      <c r="B763" s="8" t="s">
        <v>736</v>
      </c>
      <c r="C763" s="33">
        <v>14.88</v>
      </c>
      <c r="D763" s="33">
        <v>13.05</v>
      </c>
      <c r="E763" s="47">
        <f t="shared" si="69"/>
        <v>575359.90080000006</v>
      </c>
      <c r="F763" s="324">
        <f t="shared" si="70"/>
        <v>553476.6</v>
      </c>
      <c r="G763" s="338">
        <f t="shared" si="71"/>
        <v>614198.25</v>
      </c>
      <c r="H763" s="338">
        <f t="shared" si="72"/>
        <v>649876.95000000007</v>
      </c>
    </row>
    <row r="764" spans="1:8" ht="13.2" customHeight="1" thickBot="1" x14ac:dyDescent="0.3">
      <c r="A764" s="17" t="s">
        <v>778</v>
      </c>
      <c r="B764" s="18"/>
      <c r="C764" s="354" t="s">
        <v>3476</v>
      </c>
      <c r="D764" s="354" t="s">
        <v>3476</v>
      </c>
      <c r="E764" s="354" t="s">
        <v>3476</v>
      </c>
      <c r="F764" s="354" t="s">
        <v>3476</v>
      </c>
      <c r="G764" s="355" t="s">
        <v>3476</v>
      </c>
      <c r="H764" s="356" t="s">
        <v>3476</v>
      </c>
    </row>
    <row r="765" spans="1:8" ht="27.6" x14ac:dyDescent="0.25">
      <c r="A765" s="4">
        <v>21601</v>
      </c>
      <c r="B765" s="54" t="s">
        <v>772</v>
      </c>
      <c r="C765" s="28">
        <v>1.76</v>
      </c>
      <c r="D765" s="28">
        <v>1.54</v>
      </c>
      <c r="E765" s="48">
        <f t="shared" si="69"/>
        <v>68053.32160000001</v>
      </c>
      <c r="F765" s="323">
        <f>+$D765*$F$2</f>
        <v>65314.48</v>
      </c>
      <c r="G765" s="338">
        <f>+$D765*$G$2</f>
        <v>72480.100000000006</v>
      </c>
      <c r="H765" s="338">
        <f>+$D765*$H$2</f>
        <v>76690.460000000006</v>
      </c>
    </row>
    <row r="766" spans="1:8" ht="30" customHeight="1" thickBot="1" x14ac:dyDescent="0.3">
      <c r="A766" s="8">
        <v>21602</v>
      </c>
      <c r="B766" s="53" t="s">
        <v>771</v>
      </c>
      <c r="C766" s="33">
        <v>5.08</v>
      </c>
      <c r="D766" s="33">
        <v>4.46</v>
      </c>
      <c r="E766" s="47">
        <f t="shared" si="69"/>
        <v>196426.63280000002</v>
      </c>
      <c r="F766" s="324">
        <f>+$D766*$F$2</f>
        <v>189157.52</v>
      </c>
      <c r="G766" s="338">
        <f>+$D766*$G$2</f>
        <v>209909.9</v>
      </c>
      <c r="H766" s="338">
        <f>+$D766*$H$2</f>
        <v>222103.54</v>
      </c>
    </row>
    <row r="767" spans="1:8" ht="13.2" customHeight="1" thickBot="1" x14ac:dyDescent="0.3">
      <c r="A767" s="17" t="s">
        <v>777</v>
      </c>
      <c r="B767" s="18"/>
      <c r="C767" s="354" t="s">
        <v>3476</v>
      </c>
      <c r="D767" s="354" t="s">
        <v>3476</v>
      </c>
      <c r="E767" s="354" t="s">
        <v>3476</v>
      </c>
      <c r="F767" s="354" t="s">
        <v>3476</v>
      </c>
      <c r="G767" s="355" t="s">
        <v>3476</v>
      </c>
      <c r="H767" s="356" t="s">
        <v>3476</v>
      </c>
    </row>
    <row r="768" spans="1:8" x14ac:dyDescent="0.25">
      <c r="A768" s="4">
        <v>21701</v>
      </c>
      <c r="B768" s="4" t="s">
        <v>637</v>
      </c>
      <c r="C768" s="28">
        <v>16.739999999999998</v>
      </c>
      <c r="D768" s="28">
        <v>14.68</v>
      </c>
      <c r="E768" s="48">
        <f t="shared" si="69"/>
        <v>647279.88840000005</v>
      </c>
      <c r="F768" s="323">
        <f t="shared" ref="F768:F790" si="73">+$D768*$F$2</f>
        <v>622608.16</v>
      </c>
      <c r="G768" s="338">
        <f t="shared" ref="G768:G790" si="74">+$D768*$G$2</f>
        <v>690914.2</v>
      </c>
      <c r="H768" s="338">
        <f t="shared" ref="H768:H790" si="75">+$D768*$H$2</f>
        <v>731049.32</v>
      </c>
    </row>
    <row r="769" spans="1:8" x14ac:dyDescent="0.25">
      <c r="A769" s="3">
        <v>21702</v>
      </c>
      <c r="B769" s="3" t="s">
        <v>737</v>
      </c>
      <c r="C769" s="30">
        <v>18.37</v>
      </c>
      <c r="D769" s="30">
        <v>16.11</v>
      </c>
      <c r="E769" s="29">
        <f t="shared" si="69"/>
        <v>710306.54420000012</v>
      </c>
      <c r="F769" s="323">
        <f t="shared" si="73"/>
        <v>683257.32</v>
      </c>
      <c r="G769" s="338">
        <f t="shared" si="74"/>
        <v>758217.15</v>
      </c>
      <c r="H769" s="338">
        <f t="shared" si="75"/>
        <v>802261.89</v>
      </c>
    </row>
    <row r="770" spans="1:8" x14ac:dyDescent="0.25">
      <c r="A770" s="3">
        <v>21703</v>
      </c>
      <c r="B770" s="3" t="s">
        <v>738</v>
      </c>
      <c r="C770" s="30">
        <v>21.03</v>
      </c>
      <c r="D770" s="30">
        <v>18.45</v>
      </c>
      <c r="E770" s="29">
        <f t="shared" si="69"/>
        <v>813159.85980000009</v>
      </c>
      <c r="F770" s="323">
        <f t="shared" si="73"/>
        <v>782501.4</v>
      </c>
      <c r="G770" s="338">
        <f t="shared" si="74"/>
        <v>868349.25</v>
      </c>
      <c r="H770" s="338">
        <f t="shared" si="75"/>
        <v>918791.54999999993</v>
      </c>
    </row>
    <row r="771" spans="1:8" x14ac:dyDescent="0.25">
      <c r="A771" s="3">
        <v>21704</v>
      </c>
      <c r="B771" s="3" t="s">
        <v>739</v>
      </c>
      <c r="C771" s="30">
        <v>21.03</v>
      </c>
      <c r="D771" s="30">
        <v>18.45</v>
      </c>
      <c r="E771" s="29">
        <f t="shared" si="69"/>
        <v>813159.85980000009</v>
      </c>
      <c r="F771" s="323">
        <f t="shared" si="73"/>
        <v>782501.4</v>
      </c>
      <c r="G771" s="338">
        <f t="shared" si="74"/>
        <v>868349.25</v>
      </c>
      <c r="H771" s="338">
        <f t="shared" si="75"/>
        <v>918791.54999999993</v>
      </c>
    </row>
    <row r="772" spans="1:8" x14ac:dyDescent="0.25">
      <c r="A772" s="3">
        <v>21705</v>
      </c>
      <c r="B772" s="3" t="s">
        <v>740</v>
      </c>
      <c r="C772" s="30">
        <v>18.37</v>
      </c>
      <c r="D772" s="30">
        <v>16.11</v>
      </c>
      <c r="E772" s="29">
        <f t="shared" si="69"/>
        <v>710306.54420000012</v>
      </c>
      <c r="F772" s="323">
        <f t="shared" si="73"/>
        <v>683257.32</v>
      </c>
      <c r="G772" s="338">
        <f t="shared" si="74"/>
        <v>758217.15</v>
      </c>
      <c r="H772" s="338">
        <f t="shared" si="75"/>
        <v>802261.89</v>
      </c>
    </row>
    <row r="773" spans="1:8" x14ac:dyDescent="0.25">
      <c r="A773" s="3">
        <v>21706</v>
      </c>
      <c r="B773" s="3" t="s">
        <v>741</v>
      </c>
      <c r="C773" s="30">
        <v>18.37</v>
      </c>
      <c r="D773" s="30">
        <v>16.11</v>
      </c>
      <c r="E773" s="29">
        <f t="shared" si="69"/>
        <v>710306.54420000012</v>
      </c>
      <c r="F773" s="323">
        <f t="shared" si="73"/>
        <v>683257.32</v>
      </c>
      <c r="G773" s="338">
        <f t="shared" si="74"/>
        <v>758217.15</v>
      </c>
      <c r="H773" s="338">
        <f t="shared" si="75"/>
        <v>802261.89</v>
      </c>
    </row>
    <row r="774" spans="1:8" x14ac:dyDescent="0.25">
      <c r="A774" s="3">
        <v>21707</v>
      </c>
      <c r="B774" s="3" t="s">
        <v>742</v>
      </c>
      <c r="C774" s="30">
        <v>14.28</v>
      </c>
      <c r="D774" s="30">
        <v>12.52</v>
      </c>
      <c r="E774" s="29">
        <f t="shared" si="69"/>
        <v>552159.90480000002</v>
      </c>
      <c r="F774" s="323">
        <f t="shared" si="73"/>
        <v>530998.24</v>
      </c>
      <c r="G774" s="338">
        <f t="shared" si="74"/>
        <v>589253.79999999993</v>
      </c>
      <c r="H774" s="338">
        <f t="shared" si="75"/>
        <v>623483.48</v>
      </c>
    </row>
    <row r="775" spans="1:8" x14ac:dyDescent="0.25">
      <c r="A775" s="3">
        <v>21708</v>
      </c>
      <c r="B775" s="3" t="s">
        <v>743</v>
      </c>
      <c r="C775" s="30">
        <v>15.58</v>
      </c>
      <c r="D775" s="30">
        <v>13.67</v>
      </c>
      <c r="E775" s="29">
        <f t="shared" si="69"/>
        <v>602426.56280000007</v>
      </c>
      <c r="F775" s="323">
        <f t="shared" si="73"/>
        <v>579772.04</v>
      </c>
      <c r="G775" s="338">
        <f t="shared" si="74"/>
        <v>643378.55000000005</v>
      </c>
      <c r="H775" s="338">
        <f t="shared" si="75"/>
        <v>680752.33</v>
      </c>
    </row>
    <row r="776" spans="1:8" x14ac:dyDescent="0.25">
      <c r="A776" s="3">
        <v>21709</v>
      </c>
      <c r="B776" s="3" t="s">
        <v>744</v>
      </c>
      <c r="C776" s="30">
        <v>3.73</v>
      </c>
      <c r="D776" s="30">
        <v>3.27</v>
      </c>
      <c r="E776" s="29">
        <f t="shared" si="69"/>
        <v>144226.64180000001</v>
      </c>
      <c r="F776" s="323">
        <f t="shared" si="73"/>
        <v>138687.24</v>
      </c>
      <c r="G776" s="338">
        <f t="shared" si="74"/>
        <v>153902.54999999999</v>
      </c>
      <c r="H776" s="338">
        <f t="shared" si="75"/>
        <v>162842.73000000001</v>
      </c>
    </row>
    <row r="777" spans="1:8" x14ac:dyDescent="0.25">
      <c r="A777" s="3">
        <v>21710</v>
      </c>
      <c r="B777" s="3" t="s">
        <v>745</v>
      </c>
      <c r="C777" s="30">
        <v>15.58</v>
      </c>
      <c r="D777" s="30">
        <v>13.67</v>
      </c>
      <c r="E777" s="29">
        <f t="shared" si="69"/>
        <v>602426.56280000007</v>
      </c>
      <c r="F777" s="323">
        <f t="shared" si="73"/>
        <v>579772.04</v>
      </c>
      <c r="G777" s="338">
        <f t="shared" si="74"/>
        <v>643378.55000000005</v>
      </c>
      <c r="H777" s="338">
        <f t="shared" si="75"/>
        <v>680752.33</v>
      </c>
    </row>
    <row r="778" spans="1:8" x14ac:dyDescent="0.25">
      <c r="A778" s="3">
        <v>21711</v>
      </c>
      <c r="B778" s="3" t="s">
        <v>746</v>
      </c>
      <c r="C778" s="30">
        <v>18.37</v>
      </c>
      <c r="D778" s="30">
        <v>16.11</v>
      </c>
      <c r="E778" s="29">
        <f t="shared" si="69"/>
        <v>710306.54420000012</v>
      </c>
      <c r="F778" s="323">
        <f t="shared" si="73"/>
        <v>683257.32</v>
      </c>
      <c r="G778" s="338">
        <f t="shared" si="74"/>
        <v>758217.15</v>
      </c>
      <c r="H778" s="338">
        <f t="shared" si="75"/>
        <v>802261.89</v>
      </c>
    </row>
    <row r="779" spans="1:8" x14ac:dyDescent="0.25">
      <c r="A779" s="3">
        <v>21712</v>
      </c>
      <c r="B779" s="3" t="s">
        <v>747</v>
      </c>
      <c r="C779" s="30">
        <v>17.420000000000002</v>
      </c>
      <c r="D779" s="30">
        <v>15.28</v>
      </c>
      <c r="E779" s="29">
        <f t="shared" si="69"/>
        <v>673573.21720000007</v>
      </c>
      <c r="F779" s="323">
        <f t="shared" si="73"/>
        <v>648055.36</v>
      </c>
      <c r="G779" s="338">
        <f t="shared" si="74"/>
        <v>719153.2</v>
      </c>
      <c r="H779" s="338">
        <f t="shared" si="75"/>
        <v>760928.72</v>
      </c>
    </row>
    <row r="780" spans="1:8" x14ac:dyDescent="0.25">
      <c r="A780" s="3">
        <v>21713</v>
      </c>
      <c r="B780" s="3" t="s">
        <v>748</v>
      </c>
      <c r="C780" s="30">
        <v>19.73</v>
      </c>
      <c r="D780" s="30">
        <v>17.309999999999999</v>
      </c>
      <c r="E780" s="29">
        <f t="shared" si="69"/>
        <v>762893.20180000004</v>
      </c>
      <c r="F780" s="323">
        <f t="shared" si="73"/>
        <v>734151.72</v>
      </c>
      <c r="G780" s="338">
        <f t="shared" si="74"/>
        <v>814695.14999999991</v>
      </c>
      <c r="H780" s="338">
        <f t="shared" si="75"/>
        <v>862020.69</v>
      </c>
    </row>
    <row r="781" spans="1:8" x14ac:dyDescent="0.25">
      <c r="A781" s="3">
        <v>21714</v>
      </c>
      <c r="B781" s="3" t="s">
        <v>749</v>
      </c>
      <c r="C781" s="30">
        <v>15.58</v>
      </c>
      <c r="D781" s="30">
        <v>13.67</v>
      </c>
      <c r="E781" s="29">
        <f t="shared" si="69"/>
        <v>602426.56280000007</v>
      </c>
      <c r="F781" s="323">
        <f t="shared" si="73"/>
        <v>579772.04</v>
      </c>
      <c r="G781" s="338">
        <f t="shared" si="74"/>
        <v>643378.55000000005</v>
      </c>
      <c r="H781" s="338">
        <f t="shared" si="75"/>
        <v>680752.33</v>
      </c>
    </row>
    <row r="782" spans="1:8" x14ac:dyDescent="0.25">
      <c r="A782" s="3">
        <v>21715</v>
      </c>
      <c r="B782" s="3" t="s">
        <v>750</v>
      </c>
      <c r="C782" s="30">
        <v>22.93</v>
      </c>
      <c r="D782" s="30">
        <v>20.11</v>
      </c>
      <c r="E782" s="29">
        <f t="shared" si="69"/>
        <v>886626.51380000007</v>
      </c>
      <c r="F782" s="323">
        <f t="shared" si="73"/>
        <v>852905.32</v>
      </c>
      <c r="G782" s="338">
        <f t="shared" si="74"/>
        <v>946477.15</v>
      </c>
      <c r="H782" s="338">
        <f t="shared" si="75"/>
        <v>1001457.89</v>
      </c>
    </row>
    <row r="783" spans="1:8" x14ac:dyDescent="0.25">
      <c r="A783" s="3">
        <v>21716</v>
      </c>
      <c r="B783" s="3" t="s">
        <v>751</v>
      </c>
      <c r="C783" s="30">
        <v>14.28</v>
      </c>
      <c r="D783" s="30">
        <v>12.52</v>
      </c>
      <c r="E783" s="29">
        <f t="shared" si="69"/>
        <v>552159.90480000002</v>
      </c>
      <c r="F783" s="323">
        <f t="shared" si="73"/>
        <v>530998.24</v>
      </c>
      <c r="G783" s="338">
        <f t="shared" si="74"/>
        <v>589253.79999999993</v>
      </c>
      <c r="H783" s="338">
        <f t="shared" si="75"/>
        <v>623483.48</v>
      </c>
    </row>
    <row r="784" spans="1:8" x14ac:dyDescent="0.25">
      <c r="A784" s="3">
        <v>21717</v>
      </c>
      <c r="B784" s="3" t="s">
        <v>752</v>
      </c>
      <c r="C784" s="30">
        <v>18.37</v>
      </c>
      <c r="D784" s="30">
        <v>16.11</v>
      </c>
      <c r="E784" s="29">
        <f t="shared" si="69"/>
        <v>710306.54420000012</v>
      </c>
      <c r="F784" s="323">
        <f t="shared" si="73"/>
        <v>683257.32</v>
      </c>
      <c r="G784" s="338">
        <f t="shared" si="74"/>
        <v>758217.15</v>
      </c>
      <c r="H784" s="338">
        <f t="shared" si="75"/>
        <v>802261.89</v>
      </c>
    </row>
    <row r="785" spans="1:8" x14ac:dyDescent="0.25">
      <c r="A785" s="3">
        <v>21718</v>
      </c>
      <c r="B785" s="3" t="s">
        <v>753</v>
      </c>
      <c r="C785" s="30">
        <v>18.37</v>
      </c>
      <c r="D785" s="30">
        <v>16.11</v>
      </c>
      <c r="E785" s="29">
        <f t="shared" si="69"/>
        <v>710306.54420000012</v>
      </c>
      <c r="F785" s="323">
        <f t="shared" si="73"/>
        <v>683257.32</v>
      </c>
      <c r="G785" s="338">
        <f t="shared" si="74"/>
        <v>758217.15</v>
      </c>
      <c r="H785" s="338">
        <f t="shared" si="75"/>
        <v>802261.89</v>
      </c>
    </row>
    <row r="786" spans="1:8" x14ac:dyDescent="0.25">
      <c r="A786" s="3">
        <v>21719</v>
      </c>
      <c r="B786" s="3" t="s">
        <v>754</v>
      </c>
      <c r="C786" s="30">
        <v>9.17</v>
      </c>
      <c r="D786" s="30">
        <v>8.0399999999999991</v>
      </c>
      <c r="E786" s="29">
        <f t="shared" si="69"/>
        <v>354573.27220000001</v>
      </c>
      <c r="F786" s="323">
        <f t="shared" si="73"/>
        <v>340992.48</v>
      </c>
      <c r="G786" s="338">
        <f t="shared" si="74"/>
        <v>378402.6</v>
      </c>
      <c r="H786" s="338">
        <f t="shared" si="75"/>
        <v>400383.95999999996</v>
      </c>
    </row>
    <row r="787" spans="1:8" x14ac:dyDescent="0.25">
      <c r="A787" s="3">
        <v>21720</v>
      </c>
      <c r="B787" s="3" t="s">
        <v>755</v>
      </c>
      <c r="C787" s="30">
        <v>5.51</v>
      </c>
      <c r="D787" s="30">
        <v>4.83</v>
      </c>
      <c r="E787" s="29">
        <f t="shared" si="69"/>
        <v>213053.2966</v>
      </c>
      <c r="F787" s="323">
        <f t="shared" si="73"/>
        <v>204849.96</v>
      </c>
      <c r="G787" s="338">
        <f t="shared" si="74"/>
        <v>227323.95</v>
      </c>
      <c r="H787" s="338">
        <f t="shared" si="75"/>
        <v>240529.17</v>
      </c>
    </row>
    <row r="788" spans="1:8" x14ac:dyDescent="0.25">
      <c r="A788" s="3">
        <v>21721</v>
      </c>
      <c r="B788" s="3" t="s">
        <v>756</v>
      </c>
      <c r="C788" s="30">
        <v>15.13</v>
      </c>
      <c r="D788" s="30">
        <v>13.27</v>
      </c>
      <c r="E788" s="29">
        <f t="shared" si="69"/>
        <v>585026.5658000001</v>
      </c>
      <c r="F788" s="323">
        <f t="shared" si="73"/>
        <v>562807.24</v>
      </c>
      <c r="G788" s="338">
        <f t="shared" si="74"/>
        <v>624552.54999999993</v>
      </c>
      <c r="H788" s="338">
        <f t="shared" si="75"/>
        <v>660832.73</v>
      </c>
    </row>
    <row r="789" spans="1:8" x14ac:dyDescent="0.25">
      <c r="A789" s="3">
        <v>21722</v>
      </c>
      <c r="B789" s="3" t="s">
        <v>757</v>
      </c>
      <c r="C789" s="30">
        <v>24.29</v>
      </c>
      <c r="D789" s="30">
        <v>21.3</v>
      </c>
      <c r="E789" s="29">
        <f t="shared" si="69"/>
        <v>939213.17140000011</v>
      </c>
      <c r="F789" s="323">
        <f t="shared" si="73"/>
        <v>903375.6</v>
      </c>
      <c r="G789" s="338">
        <f t="shared" si="74"/>
        <v>1002484.5</v>
      </c>
      <c r="H789" s="338">
        <f t="shared" si="75"/>
        <v>1060718.7</v>
      </c>
    </row>
    <row r="790" spans="1:8" ht="14.4" thickBot="1" x14ac:dyDescent="0.3">
      <c r="A790" s="8">
        <v>21723</v>
      </c>
      <c r="B790" s="8" t="s">
        <v>758</v>
      </c>
      <c r="C790" s="33">
        <v>18.37</v>
      </c>
      <c r="D790" s="33">
        <v>16.11</v>
      </c>
      <c r="E790" s="47">
        <f t="shared" si="69"/>
        <v>710306.54420000012</v>
      </c>
      <c r="F790" s="324">
        <f t="shared" si="73"/>
        <v>683257.32</v>
      </c>
      <c r="G790" s="338">
        <f t="shared" si="74"/>
        <v>758217.15</v>
      </c>
      <c r="H790" s="338">
        <f t="shared" si="75"/>
        <v>802261.89</v>
      </c>
    </row>
    <row r="791" spans="1:8" ht="14.4" thickBot="1" x14ac:dyDescent="0.3">
      <c r="A791" s="63" t="s">
        <v>780</v>
      </c>
      <c r="B791" s="64"/>
      <c r="C791" s="354" t="s">
        <v>3476</v>
      </c>
      <c r="D791" s="354" t="s">
        <v>3476</v>
      </c>
      <c r="E791" s="354" t="s">
        <v>3476</v>
      </c>
      <c r="F791" s="354" t="s">
        <v>3476</v>
      </c>
      <c r="G791" s="355" t="s">
        <v>3476</v>
      </c>
      <c r="H791" s="356" t="s">
        <v>3476</v>
      </c>
    </row>
    <row r="792" spans="1:8" x14ac:dyDescent="0.25">
      <c r="A792" s="4">
        <v>22101</v>
      </c>
      <c r="B792" s="11" t="s">
        <v>781</v>
      </c>
      <c r="C792" s="60">
        <v>4.5999999999999996</v>
      </c>
      <c r="D792" s="62">
        <v>4.03</v>
      </c>
      <c r="E792" s="61">
        <f t="shared" ref="E792:E844" si="76">+$C792*$E$2</f>
        <v>177866.636</v>
      </c>
      <c r="F792" s="325">
        <f t="shared" ref="F792:F801" si="77">+$D792*$F$2</f>
        <v>170920.36000000002</v>
      </c>
      <c r="G792" s="338">
        <f t="shared" ref="G792:G801" si="78">+$D792*$G$2</f>
        <v>189671.95</v>
      </c>
      <c r="H792" s="338">
        <f t="shared" ref="H792:H801" si="79">+$D792*$H$2</f>
        <v>200689.97</v>
      </c>
    </row>
    <row r="793" spans="1:8" x14ac:dyDescent="0.25">
      <c r="A793" s="3">
        <v>22102</v>
      </c>
      <c r="B793" s="2" t="s">
        <v>782</v>
      </c>
      <c r="C793" s="5">
        <v>5.96</v>
      </c>
      <c r="D793" s="59">
        <v>5.23</v>
      </c>
      <c r="E793" s="47">
        <f t="shared" si="76"/>
        <v>230453.29360000003</v>
      </c>
      <c r="F793" s="326">
        <f t="shared" si="77"/>
        <v>221814.76</v>
      </c>
      <c r="G793" s="338">
        <f t="shared" si="78"/>
        <v>246149.95</v>
      </c>
      <c r="H793" s="338">
        <f t="shared" si="79"/>
        <v>260448.77000000002</v>
      </c>
    </row>
    <row r="794" spans="1:8" x14ac:dyDescent="0.25">
      <c r="A794" s="3">
        <v>22103</v>
      </c>
      <c r="B794" s="2" t="s">
        <v>783</v>
      </c>
      <c r="C794" s="5">
        <v>15.23</v>
      </c>
      <c r="D794" s="59">
        <v>13.36</v>
      </c>
      <c r="E794" s="47">
        <f t="shared" si="76"/>
        <v>588893.23180000007</v>
      </c>
      <c r="F794" s="326">
        <f t="shared" si="77"/>
        <v>566624.31999999995</v>
      </c>
      <c r="G794" s="338">
        <f t="shared" si="78"/>
        <v>628788.4</v>
      </c>
      <c r="H794" s="338">
        <f t="shared" si="79"/>
        <v>665314.64</v>
      </c>
    </row>
    <row r="795" spans="1:8" x14ac:dyDescent="0.25">
      <c r="A795" s="3">
        <v>22104</v>
      </c>
      <c r="B795" s="2" t="s">
        <v>784</v>
      </c>
      <c r="C795" s="5">
        <v>35.630000000000003</v>
      </c>
      <c r="D795" s="59">
        <v>31.25</v>
      </c>
      <c r="E795" s="47">
        <f t="shared" si="76"/>
        <v>1377693.0958000002</v>
      </c>
      <c r="F795" s="326">
        <f t="shared" si="77"/>
        <v>1325375</v>
      </c>
      <c r="G795" s="338">
        <f t="shared" si="78"/>
        <v>1470781.25</v>
      </c>
      <c r="H795" s="338">
        <f t="shared" si="79"/>
        <v>1556218.75</v>
      </c>
    </row>
    <row r="796" spans="1:8" x14ac:dyDescent="0.25">
      <c r="A796" s="3">
        <v>22105</v>
      </c>
      <c r="B796" s="2" t="s">
        <v>785</v>
      </c>
      <c r="C796" s="5">
        <v>60.34</v>
      </c>
      <c r="D796" s="59">
        <v>52.92</v>
      </c>
      <c r="E796" s="47">
        <f t="shared" si="76"/>
        <v>2333146.2644000002</v>
      </c>
      <c r="F796" s="326">
        <f t="shared" si="77"/>
        <v>2244443.04</v>
      </c>
      <c r="G796" s="338">
        <f t="shared" si="78"/>
        <v>2490679.8000000003</v>
      </c>
      <c r="H796" s="338">
        <f t="shared" si="79"/>
        <v>2635363.08</v>
      </c>
    </row>
    <row r="797" spans="1:8" x14ac:dyDescent="0.25">
      <c r="A797" s="3">
        <v>22106</v>
      </c>
      <c r="B797" s="2" t="s">
        <v>786</v>
      </c>
      <c r="C797" s="5">
        <v>16.82</v>
      </c>
      <c r="D797" s="59">
        <v>14.75</v>
      </c>
      <c r="E797" s="47">
        <f t="shared" si="76"/>
        <v>650373.22120000003</v>
      </c>
      <c r="F797" s="326">
        <f t="shared" si="77"/>
        <v>625577</v>
      </c>
      <c r="G797" s="338">
        <f t="shared" si="78"/>
        <v>694208.75</v>
      </c>
      <c r="H797" s="338">
        <f t="shared" si="79"/>
        <v>734535.25</v>
      </c>
    </row>
    <row r="798" spans="1:8" x14ac:dyDescent="0.25">
      <c r="A798" s="3">
        <v>22107</v>
      </c>
      <c r="B798" s="2" t="s">
        <v>787</v>
      </c>
      <c r="C798" s="5">
        <v>38.549999999999997</v>
      </c>
      <c r="D798" s="59">
        <v>33.81</v>
      </c>
      <c r="E798" s="47">
        <f t="shared" si="76"/>
        <v>1490599.743</v>
      </c>
      <c r="F798" s="326">
        <f t="shared" si="77"/>
        <v>1433949.7200000002</v>
      </c>
      <c r="G798" s="338">
        <f t="shared" si="78"/>
        <v>1591267.6500000001</v>
      </c>
      <c r="H798" s="338">
        <f t="shared" si="79"/>
        <v>1683704.1900000002</v>
      </c>
    </row>
    <row r="799" spans="1:8" x14ac:dyDescent="0.25">
      <c r="A799" s="3">
        <v>22108</v>
      </c>
      <c r="B799" s="2" t="s">
        <v>788</v>
      </c>
      <c r="C799" s="5">
        <v>3.82</v>
      </c>
      <c r="D799" s="59">
        <v>3.35</v>
      </c>
      <c r="E799" s="47">
        <f t="shared" si="76"/>
        <v>147706.64120000001</v>
      </c>
      <c r="F799" s="326">
        <f t="shared" si="77"/>
        <v>142080.20000000001</v>
      </c>
      <c r="G799" s="338">
        <f t="shared" si="78"/>
        <v>157667.75</v>
      </c>
      <c r="H799" s="338">
        <f t="shared" si="79"/>
        <v>166826.65</v>
      </c>
    </row>
    <row r="800" spans="1:8" x14ac:dyDescent="0.25">
      <c r="A800" s="3">
        <v>22109</v>
      </c>
      <c r="B800" s="2" t="s">
        <v>789</v>
      </c>
      <c r="C800" s="5">
        <v>5.15</v>
      </c>
      <c r="D800" s="59">
        <v>4.5199999999999996</v>
      </c>
      <c r="E800" s="47">
        <f t="shared" si="76"/>
        <v>199133.29900000003</v>
      </c>
      <c r="F800" s="326">
        <f t="shared" si="77"/>
        <v>191702.24</v>
      </c>
      <c r="G800" s="338">
        <f t="shared" si="78"/>
        <v>212733.8</v>
      </c>
      <c r="H800" s="338">
        <f t="shared" si="79"/>
        <v>225091.47999999998</v>
      </c>
    </row>
    <row r="801" spans="1:8" ht="14.4" thickBot="1" x14ac:dyDescent="0.3">
      <c r="A801" s="8">
        <v>22110</v>
      </c>
      <c r="B801" s="9" t="s">
        <v>790</v>
      </c>
      <c r="C801" s="10">
        <v>7.48</v>
      </c>
      <c r="D801" s="65">
        <v>6.56</v>
      </c>
      <c r="E801" s="47">
        <f t="shared" si="76"/>
        <v>289226.61680000002</v>
      </c>
      <c r="F801" s="327">
        <f t="shared" si="77"/>
        <v>278222.71999999997</v>
      </c>
      <c r="G801" s="338">
        <f t="shared" si="78"/>
        <v>308746.39999999997</v>
      </c>
      <c r="H801" s="338">
        <f t="shared" si="79"/>
        <v>326681.44</v>
      </c>
    </row>
    <row r="802" spans="1:8" ht="13.8" customHeight="1" thickBot="1" x14ac:dyDescent="0.3">
      <c r="A802" s="66" t="s">
        <v>791</v>
      </c>
      <c r="B802" s="67"/>
      <c r="C802" s="354" t="s">
        <v>3476</v>
      </c>
      <c r="D802" s="354" t="s">
        <v>3476</v>
      </c>
      <c r="E802" s="354" t="s">
        <v>3476</v>
      </c>
      <c r="F802" s="354" t="s">
        <v>3476</v>
      </c>
      <c r="G802" s="355" t="s">
        <v>3476</v>
      </c>
      <c r="H802" s="356" t="s">
        <v>3476</v>
      </c>
    </row>
    <row r="803" spans="1:8" x14ac:dyDescent="0.25">
      <c r="A803" s="4">
        <v>22203</v>
      </c>
      <c r="B803" s="11" t="s">
        <v>792</v>
      </c>
      <c r="C803" s="12">
        <v>5.67</v>
      </c>
      <c r="D803" s="62">
        <v>4.97</v>
      </c>
      <c r="E803" s="61">
        <f t="shared" si="76"/>
        <v>219239.96220000001</v>
      </c>
      <c r="F803" s="325">
        <f t="shared" ref="F803:F811" si="80">+$D803*$F$2</f>
        <v>210787.63999999998</v>
      </c>
      <c r="G803" s="338">
        <f t="shared" ref="G803:G811" si="81">+$D803*$G$2</f>
        <v>233913.05</v>
      </c>
      <c r="H803" s="338">
        <f t="shared" ref="H803:H811" si="82">+$D803*$H$2</f>
        <v>247501.03</v>
      </c>
    </row>
    <row r="804" spans="1:8" x14ac:dyDescent="0.25">
      <c r="A804" s="3">
        <v>22204</v>
      </c>
      <c r="B804" s="2" t="s">
        <v>793</v>
      </c>
      <c r="C804" s="5">
        <v>5.67</v>
      </c>
      <c r="D804" s="59">
        <v>4.97</v>
      </c>
      <c r="E804" s="47">
        <f t="shared" si="76"/>
        <v>219239.96220000001</v>
      </c>
      <c r="F804" s="326">
        <f t="shared" si="80"/>
        <v>210787.63999999998</v>
      </c>
      <c r="G804" s="338">
        <f t="shared" si="81"/>
        <v>233913.05</v>
      </c>
      <c r="H804" s="338">
        <f t="shared" si="82"/>
        <v>247501.03</v>
      </c>
    </row>
    <row r="805" spans="1:8" x14ac:dyDescent="0.25">
      <c r="A805" s="3">
        <v>22205</v>
      </c>
      <c r="B805" s="2" t="s">
        <v>794</v>
      </c>
      <c r="C805" s="5">
        <v>10.39</v>
      </c>
      <c r="D805" s="59">
        <v>9.11</v>
      </c>
      <c r="E805" s="47">
        <f t="shared" si="76"/>
        <v>401746.59740000009</v>
      </c>
      <c r="F805" s="326">
        <f t="shared" si="80"/>
        <v>386373.31999999995</v>
      </c>
      <c r="G805" s="338">
        <f t="shared" si="81"/>
        <v>428762.14999999997</v>
      </c>
      <c r="H805" s="338">
        <f t="shared" si="82"/>
        <v>453668.88999999996</v>
      </c>
    </row>
    <row r="806" spans="1:8" x14ac:dyDescent="0.25">
      <c r="A806" s="3">
        <v>22206</v>
      </c>
      <c r="B806" s="2" t="s">
        <v>795</v>
      </c>
      <c r="C806" s="5">
        <v>9.65</v>
      </c>
      <c r="D806" s="59">
        <v>8.4600000000000009</v>
      </c>
      <c r="E806" s="47">
        <f t="shared" si="76"/>
        <v>373133.26900000003</v>
      </c>
      <c r="F806" s="326">
        <f t="shared" si="80"/>
        <v>358805.52</v>
      </c>
      <c r="G806" s="338">
        <f t="shared" si="81"/>
        <v>398169.9</v>
      </c>
      <c r="H806" s="338">
        <f t="shared" si="82"/>
        <v>421299.54000000004</v>
      </c>
    </row>
    <row r="807" spans="1:8" x14ac:dyDescent="0.25">
      <c r="A807" s="3">
        <v>22207</v>
      </c>
      <c r="B807" s="2" t="s">
        <v>796</v>
      </c>
      <c r="C807" s="6">
        <v>6.9</v>
      </c>
      <c r="D807" s="59">
        <v>6.05</v>
      </c>
      <c r="E807" s="47">
        <f t="shared" si="76"/>
        <v>266799.95400000003</v>
      </c>
      <c r="F807" s="326">
        <f t="shared" si="80"/>
        <v>256592.6</v>
      </c>
      <c r="G807" s="338">
        <f t="shared" si="81"/>
        <v>284743.25</v>
      </c>
      <c r="H807" s="338">
        <f t="shared" si="82"/>
        <v>301283.95</v>
      </c>
    </row>
    <row r="808" spans="1:8" x14ac:dyDescent="0.25">
      <c r="A808" s="3">
        <v>22209</v>
      </c>
      <c r="B808" s="2" t="s">
        <v>797</v>
      </c>
      <c r="C808" s="5">
        <v>11.59</v>
      </c>
      <c r="D808" s="59">
        <v>10.17</v>
      </c>
      <c r="E808" s="47">
        <f t="shared" si="76"/>
        <v>448146.58940000006</v>
      </c>
      <c r="F808" s="326">
        <f t="shared" si="80"/>
        <v>431330.04</v>
      </c>
      <c r="G808" s="338">
        <f t="shared" si="81"/>
        <v>478651.05</v>
      </c>
      <c r="H808" s="338">
        <f t="shared" si="82"/>
        <v>506455.83</v>
      </c>
    </row>
    <row r="809" spans="1:8" x14ac:dyDescent="0.25">
      <c r="A809" s="3">
        <v>22210</v>
      </c>
      <c r="B809" s="2" t="s">
        <v>798</v>
      </c>
      <c r="C809" s="6">
        <v>8.9</v>
      </c>
      <c r="D809" s="59">
        <v>7.81</v>
      </c>
      <c r="E809" s="47">
        <f t="shared" si="76"/>
        <v>344133.27400000003</v>
      </c>
      <c r="F809" s="326">
        <f t="shared" si="80"/>
        <v>331237.71999999997</v>
      </c>
      <c r="G809" s="338">
        <f t="shared" si="81"/>
        <v>367577.64999999997</v>
      </c>
      <c r="H809" s="338">
        <f t="shared" si="82"/>
        <v>388930.19</v>
      </c>
    </row>
    <row r="810" spans="1:8" x14ac:dyDescent="0.25">
      <c r="A810" s="3">
        <v>22211</v>
      </c>
      <c r="B810" s="2" t="s">
        <v>799</v>
      </c>
      <c r="C810" s="5">
        <v>1.62</v>
      </c>
      <c r="D810" s="59">
        <v>1.42</v>
      </c>
      <c r="E810" s="47">
        <f t="shared" si="76"/>
        <v>62639.989200000011</v>
      </c>
      <c r="F810" s="326">
        <f t="shared" si="80"/>
        <v>60225.039999999994</v>
      </c>
      <c r="G810" s="338">
        <f t="shared" si="81"/>
        <v>66832.3</v>
      </c>
      <c r="H810" s="338">
        <f t="shared" si="82"/>
        <v>70714.58</v>
      </c>
    </row>
    <row r="811" spans="1:8" ht="14.4" thickBot="1" x14ac:dyDescent="0.3">
      <c r="A811" s="8">
        <v>22212</v>
      </c>
      <c r="B811" s="9" t="s">
        <v>800</v>
      </c>
      <c r="C811" s="10">
        <v>3.97</v>
      </c>
      <c r="D811" s="65">
        <v>3.48</v>
      </c>
      <c r="E811" s="47">
        <f t="shared" si="76"/>
        <v>153506.64020000002</v>
      </c>
      <c r="F811" s="327">
        <f t="shared" si="80"/>
        <v>147593.76</v>
      </c>
      <c r="G811" s="338">
        <f t="shared" si="81"/>
        <v>163786.20000000001</v>
      </c>
      <c r="H811" s="338">
        <f t="shared" si="82"/>
        <v>173300.52</v>
      </c>
    </row>
    <row r="812" spans="1:8" ht="13.8" customHeight="1" thickBot="1" x14ac:dyDescent="0.3">
      <c r="A812" s="68" t="s">
        <v>801</v>
      </c>
      <c r="B812" s="69"/>
      <c r="C812" s="354" t="s">
        <v>3476</v>
      </c>
      <c r="D812" s="354" t="s">
        <v>3476</v>
      </c>
      <c r="E812" s="354" t="s">
        <v>3476</v>
      </c>
      <c r="F812" s="354" t="s">
        <v>3476</v>
      </c>
      <c r="G812" s="355" t="s">
        <v>3476</v>
      </c>
      <c r="H812" s="356" t="s">
        <v>3476</v>
      </c>
    </row>
    <row r="813" spans="1:8" x14ac:dyDescent="0.25">
      <c r="A813" s="3">
        <v>22301</v>
      </c>
      <c r="B813" s="2" t="s">
        <v>802</v>
      </c>
      <c r="C813" s="5">
        <v>8.2899999999999991</v>
      </c>
      <c r="D813" s="59">
        <v>7.27</v>
      </c>
      <c r="E813" s="47">
        <f t="shared" si="76"/>
        <v>320546.61139999999</v>
      </c>
      <c r="F813" s="326">
        <f t="shared" ref="F813:F823" si="83">+$D813*$F$2</f>
        <v>308335.24</v>
      </c>
      <c r="G813" s="338">
        <f t="shared" ref="G813:G823" si="84">+$D813*$G$2</f>
        <v>342162.55</v>
      </c>
      <c r="H813" s="338">
        <f t="shared" ref="H813:H823" si="85">+$D813*$H$2</f>
        <v>362038.73</v>
      </c>
    </row>
    <row r="814" spans="1:8" x14ac:dyDescent="0.25">
      <c r="A814" s="3">
        <v>22302</v>
      </c>
      <c r="B814" s="2" t="s">
        <v>803</v>
      </c>
      <c r="C814" s="5">
        <v>13.48</v>
      </c>
      <c r="D814" s="59">
        <v>11.82</v>
      </c>
      <c r="E814" s="47">
        <f t="shared" si="76"/>
        <v>521226.57680000004</v>
      </c>
      <c r="F814" s="326">
        <f t="shared" si="83"/>
        <v>501309.84</v>
      </c>
      <c r="G814" s="338">
        <f t="shared" si="84"/>
        <v>556308.30000000005</v>
      </c>
      <c r="H814" s="338">
        <f t="shared" si="85"/>
        <v>588624.18000000005</v>
      </c>
    </row>
    <row r="815" spans="1:8" x14ac:dyDescent="0.25">
      <c r="A815" s="3">
        <v>22303</v>
      </c>
      <c r="B815" s="2" t="s">
        <v>804</v>
      </c>
      <c r="C815" s="5">
        <v>22.49</v>
      </c>
      <c r="D815" s="59">
        <v>19.73</v>
      </c>
      <c r="E815" s="47">
        <f t="shared" si="76"/>
        <v>869613.18339999998</v>
      </c>
      <c r="F815" s="326">
        <f t="shared" si="83"/>
        <v>836788.76</v>
      </c>
      <c r="G815" s="338">
        <f t="shared" si="84"/>
        <v>928592.45000000007</v>
      </c>
      <c r="H815" s="338">
        <f t="shared" si="85"/>
        <v>982534.27</v>
      </c>
    </row>
    <row r="816" spans="1:8" x14ac:dyDescent="0.25">
      <c r="A816" s="3">
        <v>22304</v>
      </c>
      <c r="B816" s="2" t="s">
        <v>805</v>
      </c>
      <c r="C816" s="5">
        <v>22.49</v>
      </c>
      <c r="D816" s="59">
        <v>19.73</v>
      </c>
      <c r="E816" s="47">
        <f t="shared" si="76"/>
        <v>869613.18339999998</v>
      </c>
      <c r="F816" s="326">
        <f t="shared" si="83"/>
        <v>836788.76</v>
      </c>
      <c r="G816" s="338">
        <f t="shared" si="84"/>
        <v>928592.45000000007</v>
      </c>
      <c r="H816" s="338">
        <f t="shared" si="85"/>
        <v>982534.27</v>
      </c>
    </row>
    <row r="817" spans="1:8" x14ac:dyDescent="0.25">
      <c r="A817" s="3">
        <v>22305</v>
      </c>
      <c r="B817" s="2" t="s">
        <v>806</v>
      </c>
      <c r="C817" s="5">
        <v>7.42</v>
      </c>
      <c r="D817" s="59">
        <v>6.51</v>
      </c>
      <c r="E817" s="47">
        <f t="shared" si="76"/>
        <v>286906.61720000004</v>
      </c>
      <c r="F817" s="326">
        <f t="shared" si="83"/>
        <v>276102.12</v>
      </c>
      <c r="G817" s="338">
        <f t="shared" si="84"/>
        <v>306393.14999999997</v>
      </c>
      <c r="H817" s="338">
        <f t="shared" si="85"/>
        <v>324191.49</v>
      </c>
    </row>
    <row r="818" spans="1:8" x14ac:dyDescent="0.25">
      <c r="A818" s="3">
        <v>22306</v>
      </c>
      <c r="B818" s="2" t="s">
        <v>807</v>
      </c>
      <c r="C818" s="5">
        <v>14.58</v>
      </c>
      <c r="D818" s="59">
        <v>12.79</v>
      </c>
      <c r="E818" s="47">
        <f t="shared" si="76"/>
        <v>563759.90280000004</v>
      </c>
      <c r="F818" s="326">
        <f t="shared" si="83"/>
        <v>542449.48</v>
      </c>
      <c r="G818" s="338">
        <f t="shared" si="84"/>
        <v>601961.35</v>
      </c>
      <c r="H818" s="338">
        <f t="shared" si="85"/>
        <v>636929.21</v>
      </c>
    </row>
    <row r="819" spans="1:8" x14ac:dyDescent="0.25">
      <c r="A819" s="3">
        <v>22307</v>
      </c>
      <c r="B819" s="2" t="s">
        <v>808</v>
      </c>
      <c r="C819" s="5">
        <v>11.01</v>
      </c>
      <c r="D819" s="59">
        <v>9.66</v>
      </c>
      <c r="E819" s="47">
        <f t="shared" si="76"/>
        <v>425719.92660000001</v>
      </c>
      <c r="F819" s="326">
        <f t="shared" si="83"/>
        <v>409699.92</v>
      </c>
      <c r="G819" s="338">
        <f t="shared" si="84"/>
        <v>454647.9</v>
      </c>
      <c r="H819" s="338">
        <f t="shared" si="85"/>
        <v>481058.34</v>
      </c>
    </row>
    <row r="820" spans="1:8" x14ac:dyDescent="0.25">
      <c r="A820" s="3">
        <v>22308</v>
      </c>
      <c r="B820" s="2" t="s">
        <v>809</v>
      </c>
      <c r="C820" s="5">
        <v>19.57</v>
      </c>
      <c r="D820" s="59">
        <v>17.16</v>
      </c>
      <c r="E820" s="47">
        <f t="shared" si="76"/>
        <v>756706.53620000009</v>
      </c>
      <c r="F820" s="326">
        <f t="shared" si="83"/>
        <v>727789.92</v>
      </c>
      <c r="G820" s="338">
        <f t="shared" si="84"/>
        <v>807635.4</v>
      </c>
      <c r="H820" s="338">
        <f t="shared" si="85"/>
        <v>854550.84</v>
      </c>
    </row>
    <row r="821" spans="1:8" x14ac:dyDescent="0.25">
      <c r="A821" s="3">
        <v>22309</v>
      </c>
      <c r="B821" s="2" t="s">
        <v>810</v>
      </c>
      <c r="C821" s="5">
        <v>7.88</v>
      </c>
      <c r="D821" s="59">
        <v>6.91</v>
      </c>
      <c r="E821" s="47">
        <f t="shared" si="76"/>
        <v>304693.28080000001</v>
      </c>
      <c r="F821" s="326">
        <f t="shared" si="83"/>
        <v>293066.92</v>
      </c>
      <c r="G821" s="338">
        <f t="shared" si="84"/>
        <v>325219.15000000002</v>
      </c>
      <c r="H821" s="338">
        <f t="shared" si="85"/>
        <v>344111.09</v>
      </c>
    </row>
    <row r="822" spans="1:8" x14ac:dyDescent="0.25">
      <c r="A822" s="3">
        <v>22310</v>
      </c>
      <c r="B822" s="2" t="s">
        <v>811</v>
      </c>
      <c r="C822" s="5">
        <v>22.49</v>
      </c>
      <c r="D822" s="59">
        <v>19.73</v>
      </c>
      <c r="E822" s="47">
        <f t="shared" si="76"/>
        <v>869613.18339999998</v>
      </c>
      <c r="F822" s="326">
        <f t="shared" si="83"/>
        <v>836788.76</v>
      </c>
      <c r="G822" s="338">
        <f t="shared" si="84"/>
        <v>928592.45000000007</v>
      </c>
      <c r="H822" s="338">
        <f t="shared" si="85"/>
        <v>982534.27</v>
      </c>
    </row>
    <row r="823" spans="1:8" ht="14.4" thickBot="1" x14ac:dyDescent="0.3">
      <c r="A823" s="8">
        <v>22311</v>
      </c>
      <c r="B823" s="9" t="s">
        <v>812</v>
      </c>
      <c r="C823" s="10">
        <v>14.18</v>
      </c>
      <c r="D823" s="65">
        <v>12.44</v>
      </c>
      <c r="E823" s="47">
        <f t="shared" si="76"/>
        <v>548293.23880000005</v>
      </c>
      <c r="F823" s="327">
        <f t="shared" si="83"/>
        <v>527605.28</v>
      </c>
      <c r="G823" s="338">
        <f t="shared" si="84"/>
        <v>585488.6</v>
      </c>
      <c r="H823" s="338">
        <f t="shared" si="85"/>
        <v>619499.55999999994</v>
      </c>
    </row>
    <row r="824" spans="1:8" ht="13.8" customHeight="1" thickBot="1" x14ac:dyDescent="0.3">
      <c r="A824" s="72" t="s">
        <v>813</v>
      </c>
      <c r="B824" s="73"/>
      <c r="C824" s="354" t="s">
        <v>3476</v>
      </c>
      <c r="D824" s="354" t="s">
        <v>3476</v>
      </c>
      <c r="E824" s="354" t="s">
        <v>3476</v>
      </c>
      <c r="F824" s="354" t="s">
        <v>3476</v>
      </c>
      <c r="G824" s="355" t="s">
        <v>3476</v>
      </c>
      <c r="H824" s="356" t="s">
        <v>3476</v>
      </c>
    </row>
    <row r="825" spans="1:8" x14ac:dyDescent="0.25">
      <c r="A825" s="3">
        <v>22401</v>
      </c>
      <c r="B825" s="2" t="s">
        <v>814</v>
      </c>
      <c r="C825" s="5">
        <v>8.68</v>
      </c>
      <c r="D825" s="59">
        <v>7.61</v>
      </c>
      <c r="E825" s="47">
        <f t="shared" si="76"/>
        <v>335626.60880000005</v>
      </c>
      <c r="F825" s="326">
        <f>+$D825*$F$2</f>
        <v>322755.32</v>
      </c>
      <c r="G825" s="338">
        <f>+$D825*$G$2</f>
        <v>358164.65</v>
      </c>
      <c r="H825" s="338">
        <f>+$D825*$H$2</f>
        <v>378970.39</v>
      </c>
    </row>
    <row r="826" spans="1:8" x14ac:dyDescent="0.25">
      <c r="A826" s="3">
        <v>22402</v>
      </c>
      <c r="B826" s="2" t="s">
        <v>815</v>
      </c>
      <c r="C826" s="5">
        <v>9.69</v>
      </c>
      <c r="D826" s="59">
        <v>8.5</v>
      </c>
      <c r="E826" s="47">
        <f t="shared" si="76"/>
        <v>374679.93540000002</v>
      </c>
      <c r="F826" s="326">
        <f>+$D826*$F$2</f>
        <v>360502</v>
      </c>
      <c r="G826" s="338">
        <f>+$D826*$G$2</f>
        <v>400052.5</v>
      </c>
      <c r="H826" s="338">
        <f>+$D826*$H$2</f>
        <v>423291.5</v>
      </c>
    </row>
    <row r="827" spans="1:8" x14ac:dyDescent="0.25">
      <c r="A827" s="3">
        <v>22403</v>
      </c>
      <c r="B827" s="2" t="s">
        <v>816</v>
      </c>
      <c r="C827" s="6">
        <v>12.2</v>
      </c>
      <c r="D827" s="59">
        <v>10.7</v>
      </c>
      <c r="E827" s="47">
        <f t="shared" si="76"/>
        <v>471733.25200000004</v>
      </c>
      <c r="F827" s="326">
        <f>+$D827*$F$2</f>
        <v>453808.39999999997</v>
      </c>
      <c r="G827" s="338">
        <f>+$D827*$G$2</f>
        <v>503595.49999999994</v>
      </c>
      <c r="H827" s="338">
        <f>+$D827*$H$2</f>
        <v>532849.29999999993</v>
      </c>
    </row>
    <row r="828" spans="1:8" x14ac:dyDescent="0.25">
      <c r="A828" s="3">
        <v>22404</v>
      </c>
      <c r="B828" s="2" t="s">
        <v>817</v>
      </c>
      <c r="C828" s="5">
        <v>9.7200000000000006</v>
      </c>
      <c r="D828" s="59">
        <v>8.5299999999999994</v>
      </c>
      <c r="E828" s="47">
        <f t="shared" si="76"/>
        <v>375839.93520000007</v>
      </c>
      <c r="F828" s="326">
        <f>+$D828*$F$2</f>
        <v>361774.36</v>
      </c>
      <c r="G828" s="338">
        <f>+$D828*$G$2</f>
        <v>401464.44999999995</v>
      </c>
      <c r="H828" s="338">
        <f>+$D828*$H$2</f>
        <v>424785.47</v>
      </c>
    </row>
    <row r="829" spans="1:8" ht="14.4" thickBot="1" x14ac:dyDescent="0.3">
      <c r="A829" s="8">
        <v>22405</v>
      </c>
      <c r="B829" s="9" t="s">
        <v>818</v>
      </c>
      <c r="C829" s="10">
        <v>7.39</v>
      </c>
      <c r="D829" s="65">
        <v>6.48</v>
      </c>
      <c r="E829" s="47">
        <f t="shared" si="76"/>
        <v>285746.61739999999</v>
      </c>
      <c r="F829" s="327">
        <f>+$D829*$F$2</f>
        <v>274829.76</v>
      </c>
      <c r="G829" s="338">
        <f>+$D829*$G$2</f>
        <v>304981.2</v>
      </c>
      <c r="H829" s="338">
        <f>+$D829*$H$2</f>
        <v>322697.52</v>
      </c>
    </row>
    <row r="830" spans="1:8" ht="13.8" customHeight="1" thickBot="1" x14ac:dyDescent="0.3">
      <c r="A830" s="63" t="s">
        <v>819</v>
      </c>
      <c r="B830" s="74"/>
      <c r="C830" s="354" t="s">
        <v>3476</v>
      </c>
      <c r="D830" s="354" t="s">
        <v>3476</v>
      </c>
      <c r="E830" s="354" t="s">
        <v>3476</v>
      </c>
      <c r="F830" s="354" t="s">
        <v>3476</v>
      </c>
      <c r="G830" s="355" t="s">
        <v>3476</v>
      </c>
      <c r="H830" s="356" t="s">
        <v>3476</v>
      </c>
    </row>
    <row r="831" spans="1:8" x14ac:dyDescent="0.25">
      <c r="A831" s="4">
        <v>22501</v>
      </c>
      <c r="B831" s="11" t="s">
        <v>820</v>
      </c>
      <c r="C831" s="12">
        <v>9.0399999999999991</v>
      </c>
      <c r="D831" s="62">
        <v>7.93</v>
      </c>
      <c r="E831" s="61">
        <f t="shared" si="76"/>
        <v>349546.60639999999</v>
      </c>
      <c r="F831" s="325">
        <f t="shared" ref="F831:F841" si="86">+$D831*$F$2</f>
        <v>336327.16</v>
      </c>
      <c r="G831" s="338">
        <f t="shared" ref="G831:G841" si="87">+$D831*$G$2</f>
        <v>373225.45</v>
      </c>
      <c r="H831" s="338">
        <f t="shared" ref="H831:H841" si="88">+$D831*$H$2</f>
        <v>394906.07</v>
      </c>
    </row>
    <row r="832" spans="1:8" x14ac:dyDescent="0.25">
      <c r="A832" s="3">
        <v>22502</v>
      </c>
      <c r="B832" s="2" t="s">
        <v>821</v>
      </c>
      <c r="C832" s="5">
        <v>10.36</v>
      </c>
      <c r="D832" s="59">
        <v>9.09</v>
      </c>
      <c r="E832" s="47">
        <f t="shared" si="76"/>
        <v>400586.59760000004</v>
      </c>
      <c r="F832" s="326">
        <f t="shared" si="86"/>
        <v>385525.08</v>
      </c>
      <c r="G832" s="338">
        <f t="shared" si="87"/>
        <v>427820.85</v>
      </c>
      <c r="H832" s="338">
        <f t="shared" si="88"/>
        <v>452672.91</v>
      </c>
    </row>
    <row r="833" spans="1:8" x14ac:dyDescent="0.25">
      <c r="A833" s="3">
        <v>22503</v>
      </c>
      <c r="B833" s="2" t="s">
        <v>822</v>
      </c>
      <c r="C833" s="5">
        <v>13.61</v>
      </c>
      <c r="D833" s="59">
        <v>11.94</v>
      </c>
      <c r="E833" s="47">
        <f t="shared" si="76"/>
        <v>526253.2426</v>
      </c>
      <c r="F833" s="326">
        <f t="shared" si="86"/>
        <v>506399.27999999997</v>
      </c>
      <c r="G833" s="338">
        <f t="shared" si="87"/>
        <v>561956.1</v>
      </c>
      <c r="H833" s="338">
        <f t="shared" si="88"/>
        <v>594600.05999999994</v>
      </c>
    </row>
    <row r="834" spans="1:8" x14ac:dyDescent="0.25">
      <c r="A834" s="3">
        <v>22504</v>
      </c>
      <c r="B834" s="2" t="s">
        <v>823</v>
      </c>
      <c r="C834" s="5">
        <v>13.61</v>
      </c>
      <c r="D834" s="59">
        <v>11.94</v>
      </c>
      <c r="E834" s="47">
        <f t="shared" si="76"/>
        <v>526253.2426</v>
      </c>
      <c r="F834" s="326">
        <f t="shared" si="86"/>
        <v>506399.27999999997</v>
      </c>
      <c r="G834" s="338">
        <f t="shared" si="87"/>
        <v>561956.1</v>
      </c>
      <c r="H834" s="338">
        <f t="shared" si="88"/>
        <v>594600.05999999994</v>
      </c>
    </row>
    <row r="835" spans="1:8" x14ac:dyDescent="0.25">
      <c r="A835" s="3">
        <v>22505</v>
      </c>
      <c r="B835" s="2" t="s">
        <v>824</v>
      </c>
      <c r="C835" s="5">
        <v>18.649999999999999</v>
      </c>
      <c r="D835" s="59">
        <v>16.36</v>
      </c>
      <c r="E835" s="47">
        <f t="shared" si="76"/>
        <v>721133.20900000003</v>
      </c>
      <c r="F835" s="326">
        <f t="shared" si="86"/>
        <v>693860.32</v>
      </c>
      <c r="G835" s="338">
        <f t="shared" si="87"/>
        <v>769983.4</v>
      </c>
      <c r="H835" s="338">
        <f t="shared" si="88"/>
        <v>814711.64</v>
      </c>
    </row>
    <row r="836" spans="1:8" x14ac:dyDescent="0.25">
      <c r="A836" s="3">
        <v>22506</v>
      </c>
      <c r="B836" s="2" t="s">
        <v>825</v>
      </c>
      <c r="C836" s="5">
        <v>26.76</v>
      </c>
      <c r="D836" s="59">
        <v>23.47</v>
      </c>
      <c r="E836" s="47">
        <f t="shared" si="76"/>
        <v>1034719.8216000001</v>
      </c>
      <c r="F836" s="326">
        <f t="shared" si="86"/>
        <v>995409.6399999999</v>
      </c>
      <c r="G836" s="338">
        <f t="shared" si="87"/>
        <v>1104615.55</v>
      </c>
      <c r="H836" s="338">
        <f t="shared" si="88"/>
        <v>1168782.53</v>
      </c>
    </row>
    <row r="837" spans="1:8" x14ac:dyDescent="0.25">
      <c r="A837" s="3">
        <v>22507</v>
      </c>
      <c r="B837" s="2" t="s">
        <v>826</v>
      </c>
      <c r="C837" s="5">
        <v>50.22</v>
      </c>
      <c r="D837" s="59">
        <v>44.05</v>
      </c>
      <c r="E837" s="47">
        <f t="shared" si="76"/>
        <v>1941839.6652000002</v>
      </c>
      <c r="F837" s="326">
        <f t="shared" si="86"/>
        <v>1868248.5999999999</v>
      </c>
      <c r="G837" s="338">
        <f t="shared" si="87"/>
        <v>2073213.2499999998</v>
      </c>
      <c r="H837" s="338">
        <f t="shared" si="88"/>
        <v>2193645.9499999997</v>
      </c>
    </row>
    <row r="838" spans="1:8" x14ac:dyDescent="0.25">
      <c r="A838" s="3">
        <v>22508</v>
      </c>
      <c r="B838" s="2" t="s">
        <v>827</v>
      </c>
      <c r="C838" s="5">
        <v>69.11</v>
      </c>
      <c r="D838" s="59">
        <v>60.62</v>
      </c>
      <c r="E838" s="47">
        <f t="shared" si="76"/>
        <v>2672252.8726000004</v>
      </c>
      <c r="F838" s="326">
        <f t="shared" si="86"/>
        <v>2571015.44</v>
      </c>
      <c r="G838" s="338">
        <f t="shared" si="87"/>
        <v>2853080.3</v>
      </c>
      <c r="H838" s="338">
        <f t="shared" si="88"/>
        <v>3018815.38</v>
      </c>
    </row>
    <row r="839" spans="1:8" x14ac:dyDescent="0.25">
      <c r="A839" s="3">
        <v>22509</v>
      </c>
      <c r="B839" s="2" t="s">
        <v>828</v>
      </c>
      <c r="C839" s="5">
        <v>11.19</v>
      </c>
      <c r="D839" s="59">
        <v>9.81</v>
      </c>
      <c r="E839" s="47">
        <f t="shared" si="76"/>
        <v>432679.92540000001</v>
      </c>
      <c r="F839" s="326">
        <f t="shared" si="86"/>
        <v>416061.72000000003</v>
      </c>
      <c r="G839" s="338">
        <f t="shared" si="87"/>
        <v>461707.65</v>
      </c>
      <c r="H839" s="338">
        <f t="shared" si="88"/>
        <v>488528.19</v>
      </c>
    </row>
    <row r="840" spans="1:8" x14ac:dyDescent="0.25">
      <c r="A840" s="3">
        <v>22510</v>
      </c>
      <c r="B840" s="2" t="s">
        <v>829</v>
      </c>
      <c r="C840" s="6">
        <v>6.6</v>
      </c>
      <c r="D840" s="59">
        <v>5.79</v>
      </c>
      <c r="E840" s="47">
        <f t="shared" si="76"/>
        <v>255199.95600000001</v>
      </c>
      <c r="F840" s="326">
        <f t="shared" si="86"/>
        <v>245565.48</v>
      </c>
      <c r="G840" s="338">
        <f t="shared" si="87"/>
        <v>272506.34999999998</v>
      </c>
      <c r="H840" s="338">
        <f t="shared" si="88"/>
        <v>288336.21000000002</v>
      </c>
    </row>
    <row r="841" spans="1:8" ht="14.4" thickBot="1" x14ac:dyDescent="0.3">
      <c r="A841" s="8">
        <v>22511</v>
      </c>
      <c r="B841" s="9" t="s">
        <v>830</v>
      </c>
      <c r="C841" s="75">
        <v>10.7</v>
      </c>
      <c r="D841" s="65">
        <v>9.3800000000000008</v>
      </c>
      <c r="E841" s="47">
        <f t="shared" si="76"/>
        <v>413733.26199999999</v>
      </c>
      <c r="F841" s="327">
        <f t="shared" si="86"/>
        <v>397824.56000000006</v>
      </c>
      <c r="G841" s="338">
        <f t="shared" si="87"/>
        <v>441469.7</v>
      </c>
      <c r="H841" s="338">
        <f t="shared" si="88"/>
        <v>467114.62000000005</v>
      </c>
    </row>
    <row r="842" spans="1:8" ht="13.8" customHeight="1" thickBot="1" x14ac:dyDescent="0.3">
      <c r="A842" s="66" t="s">
        <v>831</v>
      </c>
      <c r="B842" s="67"/>
      <c r="C842" s="354" t="s">
        <v>3476</v>
      </c>
      <c r="D842" s="354" t="s">
        <v>3476</v>
      </c>
      <c r="E842" s="354" t="s">
        <v>3476</v>
      </c>
      <c r="F842" s="354" t="s">
        <v>3476</v>
      </c>
      <c r="G842" s="355" t="s">
        <v>3476</v>
      </c>
      <c r="H842" s="356" t="s">
        <v>3476</v>
      </c>
    </row>
    <row r="843" spans="1:8" x14ac:dyDescent="0.25">
      <c r="A843" s="4">
        <v>22601</v>
      </c>
      <c r="B843" s="11" t="s">
        <v>832</v>
      </c>
      <c r="C843" s="12">
        <v>12.29</v>
      </c>
      <c r="D843" s="62">
        <v>10.78</v>
      </c>
      <c r="E843" s="61">
        <f t="shared" si="76"/>
        <v>475213.25140000001</v>
      </c>
      <c r="F843" s="325">
        <f>+$D843*$F$2</f>
        <v>457201.36</v>
      </c>
      <c r="G843" s="338">
        <f>+$D843*$G$2</f>
        <v>507360.69999999995</v>
      </c>
      <c r="H843" s="338">
        <f>+$D843*$H$2</f>
        <v>536833.22</v>
      </c>
    </row>
    <row r="844" spans="1:8" x14ac:dyDescent="0.25">
      <c r="A844" s="3">
        <v>22602</v>
      </c>
      <c r="B844" s="2" t="s">
        <v>833</v>
      </c>
      <c r="C844" s="5">
        <v>11.59</v>
      </c>
      <c r="D844" s="59">
        <v>10.17</v>
      </c>
      <c r="E844" s="47">
        <f t="shared" si="76"/>
        <v>448146.58940000006</v>
      </c>
      <c r="F844" s="326">
        <f>+$D844*$F$2</f>
        <v>431330.04</v>
      </c>
      <c r="G844" s="338">
        <f>+$D844*$G$2</f>
        <v>478651.05</v>
      </c>
      <c r="H844" s="338">
        <f>+$D844*$H$2</f>
        <v>506455.83</v>
      </c>
    </row>
    <row r="845" spans="1:8" x14ac:dyDescent="0.25">
      <c r="A845" s="3">
        <v>22603</v>
      </c>
      <c r="B845" s="2" t="s">
        <v>834</v>
      </c>
      <c r="C845" s="5">
        <v>10.17</v>
      </c>
      <c r="D845" s="59">
        <v>8.92</v>
      </c>
      <c r="E845" s="47">
        <f t="shared" ref="E845:E863" si="89">+$C845*$E$2</f>
        <v>393239.93220000004</v>
      </c>
      <c r="F845" s="326">
        <f>+$D845*$F$2</f>
        <v>378315.04</v>
      </c>
      <c r="G845" s="338">
        <f>+$D845*$G$2</f>
        <v>419819.8</v>
      </c>
      <c r="H845" s="338">
        <f>+$D845*$H$2</f>
        <v>444207.08</v>
      </c>
    </row>
    <row r="846" spans="1:8" ht="14.4" thickBot="1" x14ac:dyDescent="0.3">
      <c r="A846" s="8">
        <v>22604</v>
      </c>
      <c r="B846" s="9" t="s">
        <v>835</v>
      </c>
      <c r="C846" s="10">
        <v>19.21</v>
      </c>
      <c r="D846" s="65">
        <v>16.850000000000001</v>
      </c>
      <c r="E846" s="47">
        <f t="shared" si="89"/>
        <v>742786.53860000009</v>
      </c>
      <c r="F846" s="327">
        <f>+$D846*$F$2</f>
        <v>714642.20000000007</v>
      </c>
      <c r="G846" s="338">
        <f>+$D846*$G$2</f>
        <v>793045.25000000012</v>
      </c>
      <c r="H846" s="338">
        <f>+$D846*$H$2</f>
        <v>839113.15</v>
      </c>
    </row>
    <row r="847" spans="1:8" ht="13.8" customHeight="1" thickBot="1" x14ac:dyDescent="0.3">
      <c r="A847" s="63" t="s">
        <v>836</v>
      </c>
      <c r="B847" s="74"/>
      <c r="C847" s="354" t="s">
        <v>3476</v>
      </c>
      <c r="D847" s="354" t="s">
        <v>3476</v>
      </c>
      <c r="E847" s="354" t="s">
        <v>3476</v>
      </c>
      <c r="F847" s="354" t="s">
        <v>3476</v>
      </c>
      <c r="G847" s="355" t="s">
        <v>3476</v>
      </c>
      <c r="H847" s="356" t="s">
        <v>3476</v>
      </c>
    </row>
    <row r="848" spans="1:8" x14ac:dyDescent="0.25">
      <c r="A848" s="4">
        <v>22701</v>
      </c>
      <c r="B848" s="11" t="s">
        <v>837</v>
      </c>
      <c r="C848" s="12">
        <v>11.15</v>
      </c>
      <c r="D848" s="62">
        <v>9.7799999999999994</v>
      </c>
      <c r="E848" s="61">
        <f t="shared" si="89"/>
        <v>431133.25900000008</v>
      </c>
      <c r="F848" s="325">
        <f t="shared" ref="F848:F857" si="90">+$D848*$F$2</f>
        <v>414789.36</v>
      </c>
      <c r="G848" s="338">
        <f t="shared" ref="G848:G857" si="91">+$D848*$G$2</f>
        <v>460295.69999999995</v>
      </c>
      <c r="H848" s="338">
        <f t="shared" ref="H848:H857" si="92">+$D848*$H$2</f>
        <v>487034.22</v>
      </c>
    </row>
    <row r="849" spans="1:8" x14ac:dyDescent="0.25">
      <c r="A849" s="3">
        <v>22702</v>
      </c>
      <c r="B849" s="2" t="s">
        <v>838</v>
      </c>
      <c r="C849" s="5">
        <v>13.38</v>
      </c>
      <c r="D849" s="59">
        <v>11.74</v>
      </c>
      <c r="E849" s="47">
        <f t="shared" si="89"/>
        <v>517359.91080000007</v>
      </c>
      <c r="F849" s="326">
        <f t="shared" si="90"/>
        <v>497916.88</v>
      </c>
      <c r="G849" s="338">
        <f t="shared" si="91"/>
        <v>552543.1</v>
      </c>
      <c r="H849" s="338">
        <f t="shared" si="92"/>
        <v>584640.26</v>
      </c>
    </row>
    <row r="850" spans="1:8" x14ac:dyDescent="0.25">
      <c r="A850" s="3">
        <v>22703</v>
      </c>
      <c r="B850" s="2" t="s">
        <v>839</v>
      </c>
      <c r="C850" s="5">
        <v>7.71</v>
      </c>
      <c r="D850" s="59">
        <v>6.76</v>
      </c>
      <c r="E850" s="47">
        <f t="shared" si="89"/>
        <v>298119.9486</v>
      </c>
      <c r="F850" s="326">
        <f t="shared" si="90"/>
        <v>286705.12</v>
      </c>
      <c r="G850" s="338">
        <f t="shared" si="91"/>
        <v>318159.39999999997</v>
      </c>
      <c r="H850" s="338">
        <f t="shared" si="92"/>
        <v>336641.24</v>
      </c>
    </row>
    <row r="851" spans="1:8" x14ac:dyDescent="0.25">
      <c r="A851" s="3">
        <v>22704</v>
      </c>
      <c r="B851" s="2" t="s">
        <v>840</v>
      </c>
      <c r="C851" s="5">
        <v>8.17</v>
      </c>
      <c r="D851" s="59">
        <v>7.17</v>
      </c>
      <c r="E851" s="47">
        <f t="shared" si="89"/>
        <v>315906.61220000003</v>
      </c>
      <c r="F851" s="326">
        <f t="shared" si="90"/>
        <v>304094.03999999998</v>
      </c>
      <c r="G851" s="338">
        <f t="shared" si="91"/>
        <v>337456.05</v>
      </c>
      <c r="H851" s="338">
        <f t="shared" si="92"/>
        <v>357058.83</v>
      </c>
    </row>
    <row r="852" spans="1:8" x14ac:dyDescent="0.25">
      <c r="A852" s="3">
        <v>22705</v>
      </c>
      <c r="B852" s="2" t="s">
        <v>841</v>
      </c>
      <c r="C852" s="5">
        <v>7.02</v>
      </c>
      <c r="D852" s="59">
        <v>6.16</v>
      </c>
      <c r="E852" s="47">
        <f t="shared" si="89"/>
        <v>271439.95319999999</v>
      </c>
      <c r="F852" s="326">
        <f t="shared" si="90"/>
        <v>261257.92</v>
      </c>
      <c r="G852" s="338">
        <f t="shared" si="91"/>
        <v>289920.40000000002</v>
      </c>
      <c r="H852" s="338">
        <f t="shared" si="92"/>
        <v>306761.84000000003</v>
      </c>
    </row>
    <row r="853" spans="1:8" x14ac:dyDescent="0.25">
      <c r="A853" s="3">
        <v>22706</v>
      </c>
      <c r="B853" s="2" t="s">
        <v>842</v>
      </c>
      <c r="C853" s="5">
        <v>9.07</v>
      </c>
      <c r="D853" s="59">
        <v>7.96</v>
      </c>
      <c r="E853" s="47">
        <f t="shared" si="89"/>
        <v>350706.60620000004</v>
      </c>
      <c r="F853" s="326">
        <f t="shared" si="90"/>
        <v>337599.52</v>
      </c>
      <c r="G853" s="338">
        <f t="shared" si="91"/>
        <v>374637.4</v>
      </c>
      <c r="H853" s="338">
        <f t="shared" si="92"/>
        <v>396400.04</v>
      </c>
    </row>
    <row r="854" spans="1:8" x14ac:dyDescent="0.25">
      <c r="A854" s="3">
        <v>22707</v>
      </c>
      <c r="B854" s="2" t="s">
        <v>843</v>
      </c>
      <c r="C854" s="6">
        <v>8.5</v>
      </c>
      <c r="D854" s="59">
        <v>7.46</v>
      </c>
      <c r="E854" s="47">
        <f t="shared" si="89"/>
        <v>328666.61000000004</v>
      </c>
      <c r="F854" s="326">
        <f t="shared" si="90"/>
        <v>316393.52</v>
      </c>
      <c r="G854" s="338">
        <f t="shared" si="91"/>
        <v>351104.9</v>
      </c>
      <c r="H854" s="338">
        <f t="shared" si="92"/>
        <v>371500.54</v>
      </c>
    </row>
    <row r="855" spans="1:8" x14ac:dyDescent="0.25">
      <c r="A855" s="3">
        <v>22708</v>
      </c>
      <c r="B855" s="2" t="s">
        <v>844</v>
      </c>
      <c r="C855" s="5">
        <v>23.63</v>
      </c>
      <c r="D855" s="59">
        <v>20.73</v>
      </c>
      <c r="E855" s="47">
        <f t="shared" si="89"/>
        <v>913693.17580000008</v>
      </c>
      <c r="F855" s="326">
        <f t="shared" si="90"/>
        <v>879200.76</v>
      </c>
      <c r="G855" s="338">
        <f t="shared" si="91"/>
        <v>975657.45000000007</v>
      </c>
      <c r="H855" s="338">
        <f t="shared" si="92"/>
        <v>1032333.27</v>
      </c>
    </row>
    <row r="856" spans="1:8" x14ac:dyDescent="0.25">
      <c r="A856" s="3">
        <v>22709</v>
      </c>
      <c r="B856" s="2" t="s">
        <v>845</v>
      </c>
      <c r="C856" s="7">
        <v>9</v>
      </c>
      <c r="D856" s="59">
        <v>7.89</v>
      </c>
      <c r="E856" s="47">
        <f t="shared" si="89"/>
        <v>347999.94000000006</v>
      </c>
      <c r="F856" s="326">
        <f t="shared" si="90"/>
        <v>334630.68</v>
      </c>
      <c r="G856" s="338">
        <f t="shared" si="91"/>
        <v>371342.85</v>
      </c>
      <c r="H856" s="338">
        <f t="shared" si="92"/>
        <v>392914.11</v>
      </c>
    </row>
    <row r="857" spans="1:8" ht="14.4" thickBot="1" x14ac:dyDescent="0.3">
      <c r="A857" s="8">
        <v>22710</v>
      </c>
      <c r="B857" s="9" t="s">
        <v>846</v>
      </c>
      <c r="C857" s="10">
        <v>5.93</v>
      </c>
      <c r="D857" s="65">
        <v>5.2</v>
      </c>
      <c r="E857" s="47">
        <f t="shared" si="89"/>
        <v>229293.29380000001</v>
      </c>
      <c r="F857" s="327">
        <f t="shared" si="90"/>
        <v>220542.4</v>
      </c>
      <c r="G857" s="338">
        <f t="shared" si="91"/>
        <v>244738</v>
      </c>
      <c r="H857" s="338">
        <f t="shared" si="92"/>
        <v>258954.80000000002</v>
      </c>
    </row>
    <row r="858" spans="1:8" ht="13.8" customHeight="1" thickBot="1" x14ac:dyDescent="0.3">
      <c r="A858" s="66" t="s">
        <v>847</v>
      </c>
      <c r="B858" s="67"/>
      <c r="C858" s="354" t="s">
        <v>3476</v>
      </c>
      <c r="D858" s="354" t="s">
        <v>3476</v>
      </c>
      <c r="E858" s="354" t="s">
        <v>3476</v>
      </c>
      <c r="F858" s="354" t="s">
        <v>3476</v>
      </c>
      <c r="G858" s="355" t="s">
        <v>3476</v>
      </c>
      <c r="H858" s="356" t="s">
        <v>3476</v>
      </c>
    </row>
    <row r="859" spans="1:8" x14ac:dyDescent="0.25">
      <c r="A859" s="3">
        <v>22801</v>
      </c>
      <c r="B859" s="2" t="s">
        <v>848</v>
      </c>
      <c r="C859" s="5">
        <v>10.34</v>
      </c>
      <c r="D859" s="59">
        <v>9.07</v>
      </c>
      <c r="E859" s="47">
        <f t="shared" si="89"/>
        <v>399813.26440000004</v>
      </c>
      <c r="F859" s="326">
        <f>+$D859*$F$2</f>
        <v>384676.84</v>
      </c>
      <c r="G859" s="338">
        <f>+$D859*$G$2</f>
        <v>426879.55</v>
      </c>
      <c r="H859" s="338">
        <f>+$D859*$H$2</f>
        <v>451676.93</v>
      </c>
    </row>
    <row r="860" spans="1:8" ht="14.4" thickBot="1" x14ac:dyDescent="0.3">
      <c r="A860" s="8">
        <v>22802</v>
      </c>
      <c r="B860" s="9" t="s">
        <v>849</v>
      </c>
      <c r="C860" s="10">
        <v>12.86</v>
      </c>
      <c r="D860" s="65">
        <v>11.28</v>
      </c>
      <c r="E860" s="47">
        <f t="shared" si="89"/>
        <v>497253.2476</v>
      </c>
      <c r="F860" s="327">
        <f>+$D860*$F$2</f>
        <v>478407.36</v>
      </c>
      <c r="G860" s="338">
        <f>+$D860*$G$2</f>
        <v>530893.19999999995</v>
      </c>
      <c r="H860" s="338">
        <f>+$D860*$H$2</f>
        <v>561732.72</v>
      </c>
    </row>
    <row r="861" spans="1:8" ht="13.8" customHeight="1" thickBot="1" x14ac:dyDescent="0.3">
      <c r="A861" s="63" t="s">
        <v>850</v>
      </c>
      <c r="B861" s="74"/>
      <c r="C861" s="354" t="s">
        <v>3476</v>
      </c>
      <c r="D861" s="354" t="s">
        <v>3476</v>
      </c>
      <c r="E861" s="354" t="s">
        <v>3476</v>
      </c>
      <c r="F861" s="354" t="s">
        <v>3476</v>
      </c>
      <c r="G861" s="355" t="s">
        <v>3476</v>
      </c>
      <c r="H861" s="356" t="s">
        <v>3476</v>
      </c>
    </row>
    <row r="862" spans="1:8" x14ac:dyDescent="0.25">
      <c r="A862" s="3">
        <v>22901</v>
      </c>
      <c r="B862" s="2" t="s">
        <v>851</v>
      </c>
      <c r="C862" s="5">
        <v>10.17</v>
      </c>
      <c r="D862" s="59">
        <v>8.92</v>
      </c>
      <c r="E862" s="47">
        <f t="shared" si="89"/>
        <v>393239.93220000004</v>
      </c>
      <c r="F862" s="326">
        <f>+$D862*$F$2</f>
        <v>378315.04</v>
      </c>
      <c r="G862" s="338">
        <f>+$D862*$G$2</f>
        <v>419819.8</v>
      </c>
      <c r="H862" s="338">
        <f>+$D862*$H$2</f>
        <v>444207.08</v>
      </c>
    </row>
    <row r="863" spans="1:8" ht="14.4" thickBot="1" x14ac:dyDescent="0.3">
      <c r="A863" s="8">
        <v>22902</v>
      </c>
      <c r="B863" s="9" t="s">
        <v>852</v>
      </c>
      <c r="C863" s="10">
        <v>22.13</v>
      </c>
      <c r="D863" s="65">
        <v>19.41</v>
      </c>
      <c r="E863" s="47">
        <f t="shared" si="89"/>
        <v>855693.18580000009</v>
      </c>
      <c r="F863" s="327">
        <f>+$D863*$F$2</f>
        <v>823216.92</v>
      </c>
      <c r="G863" s="338">
        <f>+$D863*$G$2</f>
        <v>913531.65</v>
      </c>
      <c r="H863" s="338">
        <f>+$D863*$H$2</f>
        <v>966598.59</v>
      </c>
    </row>
    <row r="864" spans="1:8" ht="69" customHeight="1" thickBot="1" x14ac:dyDescent="0.3">
      <c r="A864" s="232" t="s">
        <v>3477</v>
      </c>
      <c r="B864" s="80"/>
      <c r="C864" s="354" t="s">
        <v>3476</v>
      </c>
      <c r="D864" s="354" t="s">
        <v>3476</v>
      </c>
      <c r="E864" s="354" t="s">
        <v>3476</v>
      </c>
      <c r="F864" s="354" t="s">
        <v>3476</v>
      </c>
      <c r="G864" s="355" t="s">
        <v>3476</v>
      </c>
      <c r="H864" s="356" t="s">
        <v>3476</v>
      </c>
    </row>
    <row r="865" spans="1:8" ht="14.4" customHeight="1" thickBot="1" x14ac:dyDescent="0.3">
      <c r="A865" s="78" t="s">
        <v>873</v>
      </c>
      <c r="B865" s="79"/>
      <c r="C865" s="354"/>
      <c r="D865" s="354" t="s">
        <v>3476</v>
      </c>
      <c r="E865" s="354"/>
      <c r="F865" s="354" t="s">
        <v>3476</v>
      </c>
      <c r="G865" s="355" t="s">
        <v>3476</v>
      </c>
      <c r="H865" s="356" t="s">
        <v>3476</v>
      </c>
    </row>
    <row r="866" spans="1:8" x14ac:dyDescent="0.25">
      <c r="A866" s="3">
        <v>23101</v>
      </c>
      <c r="B866" s="2" t="s">
        <v>853</v>
      </c>
      <c r="C866" s="5">
        <v>2.1800000000000002</v>
      </c>
      <c r="D866" s="59">
        <v>1.91</v>
      </c>
      <c r="E866" s="47">
        <f t="shared" ref="E866:E885" si="93">+$C866*$E$2</f>
        <v>84293.318800000008</v>
      </c>
      <c r="F866" s="327">
        <f>+$D866*$F$2</f>
        <v>81006.92</v>
      </c>
      <c r="G866" s="338">
        <f>+$D866*$G$2</f>
        <v>89894.15</v>
      </c>
      <c r="H866" s="338">
        <f>+$D866*$H$2</f>
        <v>95116.09</v>
      </c>
    </row>
    <row r="867" spans="1:8" x14ac:dyDescent="0.25">
      <c r="A867" s="3">
        <v>23102</v>
      </c>
      <c r="B867" s="2" t="s">
        <v>854</v>
      </c>
      <c r="C867" s="5">
        <v>27.21</v>
      </c>
      <c r="D867" s="59">
        <v>23.87</v>
      </c>
      <c r="E867" s="47">
        <f t="shared" si="93"/>
        <v>1052119.8186000001</v>
      </c>
      <c r="F867" s="327">
        <f>+$D867*$F$2</f>
        <v>1012374.4400000001</v>
      </c>
      <c r="G867" s="338">
        <f>+$D867*$G$2</f>
        <v>1123441.55</v>
      </c>
      <c r="H867" s="338">
        <f>+$D867*$H$2</f>
        <v>1188702.1300000001</v>
      </c>
    </row>
    <row r="868" spans="1:8" x14ac:dyDescent="0.25">
      <c r="A868" s="3">
        <v>23103</v>
      </c>
      <c r="B868" s="2" t="s">
        <v>855</v>
      </c>
      <c r="C868" s="5">
        <v>3.55</v>
      </c>
      <c r="D868" s="59">
        <v>3.11</v>
      </c>
      <c r="E868" s="47">
        <f t="shared" si="93"/>
        <v>137266.64300000001</v>
      </c>
      <c r="F868" s="327">
        <f>+$D868*$F$2</f>
        <v>131901.32</v>
      </c>
      <c r="G868" s="338">
        <f>+$D868*$G$2</f>
        <v>146372.15</v>
      </c>
      <c r="H868" s="338">
        <f>+$D868*$H$2</f>
        <v>154874.88999999998</v>
      </c>
    </row>
    <row r="869" spans="1:8" x14ac:dyDescent="0.25">
      <c r="A869" s="3">
        <v>23104</v>
      </c>
      <c r="B869" s="2" t="s">
        <v>856</v>
      </c>
      <c r="C869" s="5">
        <v>1.07</v>
      </c>
      <c r="D869" s="59">
        <v>0.94</v>
      </c>
      <c r="E869" s="47">
        <f t="shared" si="93"/>
        <v>41373.326200000003</v>
      </c>
      <c r="F869" s="327">
        <f>+$D869*$F$2</f>
        <v>39867.279999999999</v>
      </c>
      <c r="G869" s="338">
        <f>+$D869*$G$2</f>
        <v>44241.1</v>
      </c>
      <c r="H869" s="338">
        <f>+$D869*$H$2</f>
        <v>46811.06</v>
      </c>
    </row>
    <row r="870" spans="1:8" x14ac:dyDescent="0.25">
      <c r="A870" s="3">
        <v>23105</v>
      </c>
      <c r="B870" s="2" t="s">
        <v>857</v>
      </c>
      <c r="C870" s="5">
        <v>1.04</v>
      </c>
      <c r="D870" s="59">
        <v>0.91</v>
      </c>
      <c r="E870" s="47">
        <f t="shared" si="93"/>
        <v>40213.326400000005</v>
      </c>
      <c r="F870" s="327">
        <f>+$D870*$F$2</f>
        <v>38594.92</v>
      </c>
      <c r="G870" s="338">
        <f>+$D870*$G$2</f>
        <v>42829.15</v>
      </c>
      <c r="H870" s="338">
        <f>+$D870*$H$2</f>
        <v>45317.090000000004</v>
      </c>
    </row>
    <row r="871" spans="1:8" x14ac:dyDescent="0.3">
      <c r="A871" s="3">
        <v>23106</v>
      </c>
      <c r="B871" s="2" t="s">
        <v>858</v>
      </c>
      <c r="C871" s="58"/>
      <c r="D871" s="59"/>
      <c r="E871" s="47"/>
      <c r="F871" s="327"/>
      <c r="G871" s="338"/>
      <c r="H871" s="338"/>
    </row>
    <row r="872" spans="1:8" x14ac:dyDescent="0.25">
      <c r="A872" s="3">
        <v>23107</v>
      </c>
      <c r="B872" s="2" t="s">
        <v>859</v>
      </c>
      <c r="C872" s="5">
        <v>1.83</v>
      </c>
      <c r="D872" s="59">
        <v>1.61</v>
      </c>
      <c r="E872" s="47">
        <f t="shared" si="93"/>
        <v>70759.987800000003</v>
      </c>
      <c r="F872" s="327">
        <f t="shared" ref="F872:F885" si="94">+$D872*$F$2</f>
        <v>68283.320000000007</v>
      </c>
      <c r="G872" s="338">
        <f t="shared" ref="G872:G885" si="95">+$D872*$G$2</f>
        <v>75774.650000000009</v>
      </c>
      <c r="H872" s="338">
        <f t="shared" ref="H872:H885" si="96">+$D872*$H$2</f>
        <v>80176.39</v>
      </c>
    </row>
    <row r="873" spans="1:8" x14ac:dyDescent="0.25">
      <c r="A873" s="3">
        <v>23108</v>
      </c>
      <c r="B873" s="2" t="s">
        <v>860</v>
      </c>
      <c r="C873" s="5">
        <v>1.72</v>
      </c>
      <c r="D873" s="59">
        <v>1.51</v>
      </c>
      <c r="E873" s="47">
        <f t="shared" si="93"/>
        <v>66506.655200000008</v>
      </c>
      <c r="F873" s="327">
        <f t="shared" si="94"/>
        <v>64042.12</v>
      </c>
      <c r="G873" s="338">
        <f t="shared" si="95"/>
        <v>71068.149999999994</v>
      </c>
      <c r="H873" s="338">
        <f t="shared" si="96"/>
        <v>75196.490000000005</v>
      </c>
    </row>
    <row r="874" spans="1:8" ht="17.399999999999999" customHeight="1" x14ac:dyDescent="0.25">
      <c r="A874" s="3">
        <v>23109</v>
      </c>
      <c r="B874" s="2" t="s">
        <v>861</v>
      </c>
      <c r="C874" s="5">
        <v>1.76</v>
      </c>
      <c r="D874" s="59">
        <v>1.54</v>
      </c>
      <c r="E874" s="47">
        <f t="shared" si="93"/>
        <v>68053.32160000001</v>
      </c>
      <c r="F874" s="327">
        <f t="shared" si="94"/>
        <v>65314.48</v>
      </c>
      <c r="G874" s="338">
        <f t="shared" si="95"/>
        <v>72480.100000000006</v>
      </c>
      <c r="H874" s="338">
        <f t="shared" si="96"/>
        <v>76690.460000000006</v>
      </c>
    </row>
    <row r="875" spans="1:8" x14ac:dyDescent="0.25">
      <c r="A875" s="3">
        <v>23110</v>
      </c>
      <c r="B875" s="2" t="s">
        <v>862</v>
      </c>
      <c r="C875" s="5">
        <v>9.7200000000000006</v>
      </c>
      <c r="D875" s="59">
        <v>8.5299999999999994</v>
      </c>
      <c r="E875" s="47">
        <f t="shared" si="93"/>
        <v>375839.93520000007</v>
      </c>
      <c r="F875" s="327">
        <f t="shared" si="94"/>
        <v>361774.36</v>
      </c>
      <c r="G875" s="338">
        <f t="shared" si="95"/>
        <v>401464.44999999995</v>
      </c>
      <c r="H875" s="338">
        <f t="shared" si="96"/>
        <v>424785.47</v>
      </c>
    </row>
    <row r="876" spans="1:8" x14ac:dyDescent="0.25">
      <c r="A876" s="3">
        <v>23111</v>
      </c>
      <c r="B876" s="2" t="s">
        <v>863</v>
      </c>
      <c r="C876" s="5">
        <v>8.93</v>
      </c>
      <c r="D876" s="59">
        <v>7.83</v>
      </c>
      <c r="E876" s="47">
        <f t="shared" si="93"/>
        <v>345293.27380000002</v>
      </c>
      <c r="F876" s="327">
        <f t="shared" si="94"/>
        <v>332085.96000000002</v>
      </c>
      <c r="G876" s="338">
        <f t="shared" si="95"/>
        <v>368518.95</v>
      </c>
      <c r="H876" s="338">
        <f t="shared" si="96"/>
        <v>389926.17</v>
      </c>
    </row>
    <row r="877" spans="1:8" x14ac:dyDescent="0.25">
      <c r="A877" s="3">
        <v>23112</v>
      </c>
      <c r="B877" s="2" t="s">
        <v>864</v>
      </c>
      <c r="C877" s="5">
        <v>8.93</v>
      </c>
      <c r="D877" s="59">
        <v>7.83</v>
      </c>
      <c r="E877" s="47">
        <f t="shared" si="93"/>
        <v>345293.27380000002</v>
      </c>
      <c r="F877" s="327">
        <f t="shared" si="94"/>
        <v>332085.96000000002</v>
      </c>
      <c r="G877" s="338">
        <f t="shared" si="95"/>
        <v>368518.95</v>
      </c>
      <c r="H877" s="338">
        <f t="shared" si="96"/>
        <v>389926.17</v>
      </c>
    </row>
    <row r="878" spans="1:8" x14ac:dyDescent="0.25">
      <c r="A878" s="3">
        <v>23114</v>
      </c>
      <c r="B878" s="2" t="s">
        <v>865</v>
      </c>
      <c r="C878" s="5">
        <v>1.78</v>
      </c>
      <c r="D878" s="59">
        <v>1.56</v>
      </c>
      <c r="E878" s="47">
        <f t="shared" si="93"/>
        <v>68826.654800000004</v>
      </c>
      <c r="F878" s="327">
        <f t="shared" si="94"/>
        <v>66162.720000000001</v>
      </c>
      <c r="G878" s="338">
        <f t="shared" si="95"/>
        <v>73421.400000000009</v>
      </c>
      <c r="H878" s="338">
        <f t="shared" si="96"/>
        <v>77686.44</v>
      </c>
    </row>
    <row r="879" spans="1:8" x14ac:dyDescent="0.25">
      <c r="A879" s="3">
        <v>23115</v>
      </c>
      <c r="B879" s="2" t="s">
        <v>866</v>
      </c>
      <c r="C879" s="5">
        <v>2.38</v>
      </c>
      <c r="D879" s="59">
        <v>2.09</v>
      </c>
      <c r="E879" s="47">
        <f t="shared" si="93"/>
        <v>92026.650800000003</v>
      </c>
      <c r="F879" s="327">
        <f t="shared" si="94"/>
        <v>88641.079999999987</v>
      </c>
      <c r="G879" s="338">
        <f t="shared" si="95"/>
        <v>98365.849999999991</v>
      </c>
      <c r="H879" s="338">
        <f t="shared" si="96"/>
        <v>104079.90999999999</v>
      </c>
    </row>
    <row r="880" spans="1:8" x14ac:dyDescent="0.25">
      <c r="A880" s="3">
        <v>23116</v>
      </c>
      <c r="B880" s="2" t="s">
        <v>867</v>
      </c>
      <c r="C880" s="5">
        <v>1.04</v>
      </c>
      <c r="D880" s="59">
        <v>0.91</v>
      </c>
      <c r="E880" s="47">
        <f t="shared" si="93"/>
        <v>40213.326400000005</v>
      </c>
      <c r="F880" s="327">
        <f t="shared" si="94"/>
        <v>38594.92</v>
      </c>
      <c r="G880" s="338">
        <f t="shared" si="95"/>
        <v>42829.15</v>
      </c>
      <c r="H880" s="338">
        <f t="shared" si="96"/>
        <v>45317.090000000004</v>
      </c>
    </row>
    <row r="881" spans="1:8" x14ac:dyDescent="0.25">
      <c r="A881" s="3">
        <v>23117</v>
      </c>
      <c r="B881" s="2" t="s">
        <v>868</v>
      </c>
      <c r="C881" s="7">
        <v>2</v>
      </c>
      <c r="D881" s="59">
        <v>1.75</v>
      </c>
      <c r="E881" s="47">
        <f t="shared" si="93"/>
        <v>77333.320000000007</v>
      </c>
      <c r="F881" s="327">
        <f t="shared" si="94"/>
        <v>74221</v>
      </c>
      <c r="G881" s="338">
        <f t="shared" si="95"/>
        <v>82363.75</v>
      </c>
      <c r="H881" s="338">
        <f t="shared" si="96"/>
        <v>87148.25</v>
      </c>
    </row>
    <row r="882" spans="1:8" x14ac:dyDescent="0.25">
      <c r="A882" s="3">
        <v>23118</v>
      </c>
      <c r="B882" s="2" t="s">
        <v>869</v>
      </c>
      <c r="C882" s="5">
        <v>344.16</v>
      </c>
      <c r="D882" s="59">
        <v>301.86</v>
      </c>
      <c r="E882" s="47">
        <f t="shared" si="93"/>
        <v>13307517.705600003</v>
      </c>
      <c r="F882" s="327">
        <f t="shared" si="94"/>
        <v>12802486.32</v>
      </c>
      <c r="G882" s="338">
        <f t="shared" si="95"/>
        <v>14207040.9</v>
      </c>
      <c r="H882" s="338">
        <f t="shared" si="96"/>
        <v>15032326.140000001</v>
      </c>
    </row>
    <row r="883" spans="1:8" ht="27.6" x14ac:dyDescent="0.25">
      <c r="A883" s="3">
        <v>23119</v>
      </c>
      <c r="B883" s="2" t="s">
        <v>870</v>
      </c>
      <c r="C883" s="5">
        <v>286.85000000000002</v>
      </c>
      <c r="D883" s="59">
        <v>251.6</v>
      </c>
      <c r="E883" s="47">
        <f t="shared" si="93"/>
        <v>11091531.421000002</v>
      </c>
      <c r="F883" s="327">
        <f t="shared" si="94"/>
        <v>10670859.199999999</v>
      </c>
      <c r="G883" s="338">
        <f t="shared" si="95"/>
        <v>11841554</v>
      </c>
      <c r="H883" s="338">
        <f t="shared" si="96"/>
        <v>12529428.4</v>
      </c>
    </row>
    <row r="884" spans="1:8" x14ac:dyDescent="0.25">
      <c r="A884" s="3">
        <v>23120</v>
      </c>
      <c r="B884" s="2" t="s">
        <v>871</v>
      </c>
      <c r="C884" s="5">
        <v>2.1800000000000002</v>
      </c>
      <c r="D884" s="59">
        <v>1.91</v>
      </c>
      <c r="E884" s="47">
        <f t="shared" si="93"/>
        <v>84293.318800000008</v>
      </c>
      <c r="F884" s="327">
        <f t="shared" si="94"/>
        <v>81006.92</v>
      </c>
      <c r="G884" s="338">
        <f t="shared" si="95"/>
        <v>89894.15</v>
      </c>
      <c r="H884" s="338">
        <f t="shared" si="96"/>
        <v>95116.09</v>
      </c>
    </row>
    <row r="885" spans="1:8" ht="14.4" thickBot="1" x14ac:dyDescent="0.3">
      <c r="A885" s="8">
        <v>23121</v>
      </c>
      <c r="B885" s="9" t="s">
        <v>872</v>
      </c>
      <c r="C885" s="10">
        <v>1.83</v>
      </c>
      <c r="D885" s="65">
        <v>1.61</v>
      </c>
      <c r="E885" s="47">
        <f t="shared" si="93"/>
        <v>70759.987800000003</v>
      </c>
      <c r="F885" s="327">
        <f t="shared" si="94"/>
        <v>68283.320000000007</v>
      </c>
      <c r="G885" s="338">
        <f t="shared" si="95"/>
        <v>75774.650000000009</v>
      </c>
      <c r="H885" s="338">
        <f t="shared" si="96"/>
        <v>80176.39</v>
      </c>
    </row>
    <row r="886" spans="1:8" ht="69.599999999999994" thickBot="1" x14ac:dyDescent="0.3">
      <c r="A886" s="232" t="s">
        <v>3591</v>
      </c>
      <c r="B886" s="80"/>
      <c r="C886" s="354" t="s">
        <v>3476</v>
      </c>
      <c r="D886" s="354" t="s">
        <v>3476</v>
      </c>
      <c r="E886" s="354" t="s">
        <v>3476</v>
      </c>
      <c r="F886" s="354" t="s">
        <v>3476</v>
      </c>
      <c r="G886" s="355" t="s">
        <v>3476</v>
      </c>
      <c r="H886" s="356" t="s">
        <v>3476</v>
      </c>
    </row>
    <row r="887" spans="1:8" ht="14.4" thickBot="1" x14ac:dyDescent="0.3">
      <c r="A887" s="66" t="s">
        <v>874</v>
      </c>
      <c r="B887" s="67"/>
      <c r="C887" s="354" t="s">
        <v>3476</v>
      </c>
      <c r="D887" s="354" t="s">
        <v>3476</v>
      </c>
      <c r="E887" s="354" t="s">
        <v>3476</v>
      </c>
      <c r="F887" s="354" t="s">
        <v>3476</v>
      </c>
      <c r="G887" s="355" t="s">
        <v>3476</v>
      </c>
      <c r="H887" s="356" t="s">
        <v>3476</v>
      </c>
    </row>
    <row r="888" spans="1:8" x14ac:dyDescent="0.25">
      <c r="A888" s="3">
        <v>24101</v>
      </c>
      <c r="B888" s="84" t="s">
        <v>875</v>
      </c>
      <c r="C888" s="10">
        <v>1.93</v>
      </c>
      <c r="D888" s="10">
        <v>1.69</v>
      </c>
      <c r="E888" s="47">
        <f t="shared" ref="E888:E951" si="97">+$C888*$E$2</f>
        <v>74626.6538</v>
      </c>
      <c r="F888" s="327">
        <f t="shared" ref="F888:F913" si="98">+$D888*$F$2</f>
        <v>71676.28</v>
      </c>
      <c r="G888" s="338">
        <f t="shared" ref="G888:G913" si="99">+$D888*$G$2</f>
        <v>79539.849999999991</v>
      </c>
      <c r="H888" s="338">
        <f t="shared" ref="H888:H913" si="100">+$D888*$H$2</f>
        <v>84160.31</v>
      </c>
    </row>
    <row r="889" spans="1:8" x14ac:dyDescent="0.25">
      <c r="A889" s="3">
        <v>24102</v>
      </c>
      <c r="B889" s="84" t="s">
        <v>876</v>
      </c>
      <c r="C889" s="10">
        <v>3.89</v>
      </c>
      <c r="D889" s="10">
        <v>3.41</v>
      </c>
      <c r="E889" s="47">
        <f t="shared" si="97"/>
        <v>150413.30740000002</v>
      </c>
      <c r="F889" s="327">
        <f t="shared" si="98"/>
        <v>144624.92000000001</v>
      </c>
      <c r="G889" s="338">
        <f t="shared" si="99"/>
        <v>160491.65</v>
      </c>
      <c r="H889" s="338">
        <f t="shared" si="100"/>
        <v>169814.59</v>
      </c>
    </row>
    <row r="890" spans="1:8" x14ac:dyDescent="0.25">
      <c r="A890" s="3">
        <v>24103</v>
      </c>
      <c r="B890" s="84" t="s">
        <v>877</v>
      </c>
      <c r="C890" s="10">
        <v>6.51</v>
      </c>
      <c r="D890" s="10">
        <v>5.71</v>
      </c>
      <c r="E890" s="47">
        <f t="shared" si="97"/>
        <v>251719.9566</v>
      </c>
      <c r="F890" s="327">
        <f t="shared" si="98"/>
        <v>242172.52</v>
      </c>
      <c r="G890" s="338">
        <f t="shared" si="99"/>
        <v>268741.15000000002</v>
      </c>
      <c r="H890" s="338">
        <f t="shared" si="100"/>
        <v>284352.28999999998</v>
      </c>
    </row>
    <row r="891" spans="1:8" ht="27.6" x14ac:dyDescent="0.25">
      <c r="A891" s="3">
        <v>24104</v>
      </c>
      <c r="B891" s="85" t="s">
        <v>878</v>
      </c>
      <c r="C891" s="10">
        <v>6.06</v>
      </c>
      <c r="D891" s="10">
        <v>5.32</v>
      </c>
      <c r="E891" s="47">
        <f t="shared" si="97"/>
        <v>234319.9596</v>
      </c>
      <c r="F891" s="327">
        <f t="shared" si="98"/>
        <v>225631.84000000003</v>
      </c>
      <c r="G891" s="338">
        <f t="shared" si="99"/>
        <v>250385.80000000002</v>
      </c>
      <c r="H891" s="338">
        <f t="shared" si="100"/>
        <v>264930.68</v>
      </c>
    </row>
    <row r="892" spans="1:8" x14ac:dyDescent="0.25">
      <c r="A892" s="3">
        <v>24105</v>
      </c>
      <c r="B892" s="84" t="s">
        <v>879</v>
      </c>
      <c r="C892" s="10">
        <v>6.51</v>
      </c>
      <c r="D892" s="10">
        <v>5.71</v>
      </c>
      <c r="E892" s="47">
        <f t="shared" si="97"/>
        <v>251719.9566</v>
      </c>
      <c r="F892" s="327">
        <f t="shared" si="98"/>
        <v>242172.52</v>
      </c>
      <c r="G892" s="338">
        <f t="shared" si="99"/>
        <v>268741.15000000002</v>
      </c>
      <c r="H892" s="338">
        <f t="shared" si="100"/>
        <v>284352.28999999998</v>
      </c>
    </row>
    <row r="893" spans="1:8" x14ac:dyDescent="0.25">
      <c r="A893" s="3">
        <v>24106</v>
      </c>
      <c r="B893" s="84" t="s">
        <v>880</v>
      </c>
      <c r="C893" s="10">
        <v>1.41</v>
      </c>
      <c r="D893" s="10">
        <v>1.24</v>
      </c>
      <c r="E893" s="47">
        <f t="shared" si="97"/>
        <v>54519.990600000005</v>
      </c>
      <c r="F893" s="327">
        <f t="shared" si="98"/>
        <v>52590.879999999997</v>
      </c>
      <c r="G893" s="338">
        <f t="shared" si="99"/>
        <v>58360.6</v>
      </c>
      <c r="H893" s="338">
        <f t="shared" si="100"/>
        <v>61750.76</v>
      </c>
    </row>
    <row r="894" spans="1:8" x14ac:dyDescent="0.25">
      <c r="A894" s="3">
        <v>24107</v>
      </c>
      <c r="B894" s="84" t="s">
        <v>881</v>
      </c>
      <c r="C894" s="10">
        <v>7.51</v>
      </c>
      <c r="D894" s="10">
        <v>6.59</v>
      </c>
      <c r="E894" s="47">
        <f t="shared" si="97"/>
        <v>290386.61660000001</v>
      </c>
      <c r="F894" s="327">
        <f t="shared" si="98"/>
        <v>279495.08</v>
      </c>
      <c r="G894" s="338">
        <f t="shared" si="99"/>
        <v>310158.34999999998</v>
      </c>
      <c r="H894" s="338">
        <f t="shared" si="100"/>
        <v>328175.40999999997</v>
      </c>
    </row>
    <row r="895" spans="1:8" x14ac:dyDescent="0.25">
      <c r="A895" s="3">
        <v>24108</v>
      </c>
      <c r="B895" s="84" t="s">
        <v>882</v>
      </c>
      <c r="C895" s="10">
        <v>1.93</v>
      </c>
      <c r="D895" s="10">
        <v>1.69</v>
      </c>
      <c r="E895" s="47">
        <f t="shared" si="97"/>
        <v>74626.6538</v>
      </c>
      <c r="F895" s="327">
        <f t="shared" si="98"/>
        <v>71676.28</v>
      </c>
      <c r="G895" s="338">
        <f t="shared" si="99"/>
        <v>79539.849999999991</v>
      </c>
      <c r="H895" s="338">
        <f t="shared" si="100"/>
        <v>84160.31</v>
      </c>
    </row>
    <row r="896" spans="1:8" x14ac:dyDescent="0.25">
      <c r="A896" s="3">
        <v>24109</v>
      </c>
      <c r="B896" s="84" t="s">
        <v>883</v>
      </c>
      <c r="C896" s="10">
        <v>2.31</v>
      </c>
      <c r="D896" s="10">
        <v>2.0299999999999998</v>
      </c>
      <c r="E896" s="47">
        <f t="shared" si="97"/>
        <v>89319.984600000011</v>
      </c>
      <c r="F896" s="327">
        <f t="shared" si="98"/>
        <v>86096.359999999986</v>
      </c>
      <c r="G896" s="338">
        <f t="shared" si="99"/>
        <v>95541.95</v>
      </c>
      <c r="H896" s="338">
        <f t="shared" si="100"/>
        <v>101091.96999999999</v>
      </c>
    </row>
    <row r="897" spans="1:8" x14ac:dyDescent="0.25">
      <c r="A897" s="3">
        <v>24110</v>
      </c>
      <c r="B897" s="84" t="s">
        <v>884</v>
      </c>
      <c r="C897" s="10">
        <v>4.71</v>
      </c>
      <c r="D897" s="10">
        <v>4.13</v>
      </c>
      <c r="E897" s="47">
        <f t="shared" si="97"/>
        <v>182119.96860000002</v>
      </c>
      <c r="F897" s="327">
        <f t="shared" si="98"/>
        <v>175161.56</v>
      </c>
      <c r="G897" s="338">
        <f t="shared" si="99"/>
        <v>194378.44999999998</v>
      </c>
      <c r="H897" s="338">
        <f t="shared" si="100"/>
        <v>205669.87</v>
      </c>
    </row>
    <row r="898" spans="1:8" x14ac:dyDescent="0.25">
      <c r="A898" s="3">
        <v>24111</v>
      </c>
      <c r="B898" s="84" t="s">
        <v>885</v>
      </c>
      <c r="C898" s="10">
        <v>5.3</v>
      </c>
      <c r="D898" s="10">
        <v>4.6500000000000004</v>
      </c>
      <c r="E898" s="47">
        <f t="shared" si="97"/>
        <v>204933.29800000001</v>
      </c>
      <c r="F898" s="327">
        <f t="shared" si="98"/>
        <v>197215.80000000002</v>
      </c>
      <c r="G898" s="338">
        <f t="shared" si="99"/>
        <v>218852.25000000003</v>
      </c>
      <c r="H898" s="338">
        <f t="shared" si="100"/>
        <v>231565.35</v>
      </c>
    </row>
    <row r="899" spans="1:8" x14ac:dyDescent="0.25">
      <c r="A899" s="3">
        <v>24112</v>
      </c>
      <c r="B899" s="84" t="s">
        <v>886</v>
      </c>
      <c r="C899" s="10">
        <v>6.5</v>
      </c>
      <c r="D899" s="10">
        <v>5.7</v>
      </c>
      <c r="E899" s="47">
        <f t="shared" si="97"/>
        <v>251333.29000000004</v>
      </c>
      <c r="F899" s="327">
        <f t="shared" si="98"/>
        <v>241748.4</v>
      </c>
      <c r="G899" s="338">
        <f t="shared" si="99"/>
        <v>268270.5</v>
      </c>
      <c r="H899" s="338">
        <f t="shared" si="100"/>
        <v>283854.3</v>
      </c>
    </row>
    <row r="900" spans="1:8" x14ac:dyDescent="0.25">
      <c r="A900" s="3">
        <v>24113</v>
      </c>
      <c r="B900" s="84" t="s">
        <v>887</v>
      </c>
      <c r="C900" s="10">
        <v>3.82</v>
      </c>
      <c r="D900" s="10">
        <v>3.35</v>
      </c>
      <c r="E900" s="47">
        <f t="shared" si="97"/>
        <v>147706.64120000001</v>
      </c>
      <c r="F900" s="327">
        <f t="shared" si="98"/>
        <v>142080.20000000001</v>
      </c>
      <c r="G900" s="338">
        <f t="shared" si="99"/>
        <v>157667.75</v>
      </c>
      <c r="H900" s="338">
        <f t="shared" si="100"/>
        <v>166826.65</v>
      </c>
    </row>
    <row r="901" spans="1:8" x14ac:dyDescent="0.25">
      <c r="A901" s="3">
        <v>24114</v>
      </c>
      <c r="B901" s="84" t="s">
        <v>888</v>
      </c>
      <c r="C901" s="10">
        <v>0.4</v>
      </c>
      <c r="D901" s="10">
        <v>0.35</v>
      </c>
      <c r="E901" s="47">
        <f t="shared" si="97"/>
        <v>15466.664000000002</v>
      </c>
      <c r="F901" s="327">
        <f t="shared" si="98"/>
        <v>14844.199999999999</v>
      </c>
      <c r="G901" s="338">
        <f t="shared" si="99"/>
        <v>16472.75</v>
      </c>
      <c r="H901" s="338">
        <f t="shared" si="100"/>
        <v>17429.649999999998</v>
      </c>
    </row>
    <row r="902" spans="1:8" ht="27.6" x14ac:dyDescent="0.25">
      <c r="A902" s="3">
        <v>24115</v>
      </c>
      <c r="B902" s="85" t="s">
        <v>889</v>
      </c>
      <c r="C902" s="10">
        <v>5.08</v>
      </c>
      <c r="D902" s="10">
        <v>4.46</v>
      </c>
      <c r="E902" s="47">
        <f t="shared" si="97"/>
        <v>196426.63280000002</v>
      </c>
      <c r="F902" s="327">
        <f t="shared" si="98"/>
        <v>189157.52</v>
      </c>
      <c r="G902" s="338">
        <f t="shared" si="99"/>
        <v>209909.9</v>
      </c>
      <c r="H902" s="338">
        <f t="shared" si="100"/>
        <v>222103.54</v>
      </c>
    </row>
    <row r="903" spans="1:8" ht="27.6" x14ac:dyDescent="0.25">
      <c r="A903" s="3">
        <v>24116</v>
      </c>
      <c r="B903" s="85" t="s">
        <v>890</v>
      </c>
      <c r="C903" s="10">
        <v>5.08</v>
      </c>
      <c r="D903" s="10">
        <v>4.46</v>
      </c>
      <c r="E903" s="47">
        <f t="shared" si="97"/>
        <v>196426.63280000002</v>
      </c>
      <c r="F903" s="327">
        <f t="shared" si="98"/>
        <v>189157.52</v>
      </c>
      <c r="G903" s="338">
        <f t="shared" si="99"/>
        <v>209909.9</v>
      </c>
      <c r="H903" s="338">
        <f t="shared" si="100"/>
        <v>222103.54</v>
      </c>
    </row>
    <row r="904" spans="1:8" x14ac:dyDescent="0.25">
      <c r="A904" s="3">
        <v>24117</v>
      </c>
      <c r="B904" s="84" t="s">
        <v>891</v>
      </c>
      <c r="C904" s="10">
        <v>2.09</v>
      </c>
      <c r="D904" s="10">
        <v>1.83</v>
      </c>
      <c r="E904" s="47">
        <f t="shared" si="97"/>
        <v>80813.319400000008</v>
      </c>
      <c r="F904" s="327">
        <f t="shared" si="98"/>
        <v>77613.960000000006</v>
      </c>
      <c r="G904" s="338">
        <f t="shared" si="99"/>
        <v>86128.95</v>
      </c>
      <c r="H904" s="338">
        <f t="shared" si="100"/>
        <v>91132.17</v>
      </c>
    </row>
    <row r="905" spans="1:8" x14ac:dyDescent="0.25">
      <c r="A905" s="3">
        <v>24118</v>
      </c>
      <c r="B905" s="84" t="s">
        <v>892</v>
      </c>
      <c r="C905" s="10">
        <v>4.93</v>
      </c>
      <c r="D905" s="10">
        <v>4.32</v>
      </c>
      <c r="E905" s="47">
        <f t="shared" si="97"/>
        <v>190626.63380000001</v>
      </c>
      <c r="F905" s="327">
        <f t="shared" si="98"/>
        <v>183219.84000000003</v>
      </c>
      <c r="G905" s="338">
        <f t="shared" si="99"/>
        <v>203320.80000000002</v>
      </c>
      <c r="H905" s="338">
        <f t="shared" si="100"/>
        <v>215131.68000000002</v>
      </c>
    </row>
    <row r="906" spans="1:8" x14ac:dyDescent="0.25">
      <c r="A906" s="3">
        <v>24119</v>
      </c>
      <c r="B906" s="84" t="s">
        <v>893</v>
      </c>
      <c r="C906" s="10">
        <v>9.33</v>
      </c>
      <c r="D906" s="10">
        <v>8.18</v>
      </c>
      <c r="E906" s="47">
        <f t="shared" si="97"/>
        <v>360759.93780000001</v>
      </c>
      <c r="F906" s="327">
        <f t="shared" si="98"/>
        <v>346930.16</v>
      </c>
      <c r="G906" s="338">
        <f t="shared" si="99"/>
        <v>384991.7</v>
      </c>
      <c r="H906" s="338">
        <f t="shared" si="100"/>
        <v>407355.82</v>
      </c>
    </row>
    <row r="907" spans="1:8" x14ac:dyDescent="0.25">
      <c r="A907" s="3">
        <v>24120</v>
      </c>
      <c r="B907" s="84" t="s">
        <v>894</v>
      </c>
      <c r="C907" s="10">
        <v>3.07</v>
      </c>
      <c r="D907" s="10">
        <v>2.69</v>
      </c>
      <c r="E907" s="47">
        <f t="shared" si="97"/>
        <v>118706.6462</v>
      </c>
      <c r="F907" s="327">
        <f t="shared" si="98"/>
        <v>114088.28</v>
      </c>
      <c r="G907" s="338">
        <f t="shared" si="99"/>
        <v>126604.84999999999</v>
      </c>
      <c r="H907" s="338">
        <f t="shared" si="100"/>
        <v>133959.31</v>
      </c>
    </row>
    <row r="908" spans="1:8" ht="13.2" customHeight="1" x14ac:dyDescent="0.25">
      <c r="A908" s="3">
        <v>24121</v>
      </c>
      <c r="B908" s="83" t="s">
        <v>900</v>
      </c>
      <c r="C908" s="10">
        <v>15.72</v>
      </c>
      <c r="D908" s="10">
        <v>13.79</v>
      </c>
      <c r="E908" s="47">
        <f t="shared" si="97"/>
        <v>607839.89520000003</v>
      </c>
      <c r="F908" s="327">
        <f t="shared" si="98"/>
        <v>584861.48</v>
      </c>
      <c r="G908" s="338">
        <f t="shared" si="99"/>
        <v>649026.35</v>
      </c>
      <c r="H908" s="338">
        <f t="shared" si="100"/>
        <v>686728.21</v>
      </c>
    </row>
    <row r="909" spans="1:8" x14ac:dyDescent="0.25">
      <c r="A909" s="3">
        <v>24122</v>
      </c>
      <c r="B909" s="84" t="s">
        <v>895</v>
      </c>
      <c r="C909" s="10">
        <v>3.05</v>
      </c>
      <c r="D909" s="10">
        <v>2.68</v>
      </c>
      <c r="E909" s="47">
        <f t="shared" si="97"/>
        <v>117933.31300000001</v>
      </c>
      <c r="F909" s="327">
        <f t="shared" si="98"/>
        <v>113664.16</v>
      </c>
      <c r="G909" s="338">
        <f t="shared" si="99"/>
        <v>126134.20000000001</v>
      </c>
      <c r="H909" s="338">
        <f t="shared" si="100"/>
        <v>133461.32</v>
      </c>
    </row>
    <row r="910" spans="1:8" x14ac:dyDescent="0.25">
      <c r="A910" s="3">
        <v>24123</v>
      </c>
      <c r="B910" s="84" t="s">
        <v>896</v>
      </c>
      <c r="C910" s="10">
        <v>9.0399999999999991</v>
      </c>
      <c r="D910" s="10">
        <v>7.93</v>
      </c>
      <c r="E910" s="47">
        <f t="shared" si="97"/>
        <v>349546.60639999999</v>
      </c>
      <c r="F910" s="327">
        <f t="shared" si="98"/>
        <v>336327.16</v>
      </c>
      <c r="G910" s="338">
        <f t="shared" si="99"/>
        <v>373225.45</v>
      </c>
      <c r="H910" s="338">
        <f t="shared" si="100"/>
        <v>394906.07</v>
      </c>
    </row>
    <row r="911" spans="1:8" x14ac:dyDescent="0.25">
      <c r="A911" s="3">
        <v>24124</v>
      </c>
      <c r="B911" s="84" t="s">
        <v>897</v>
      </c>
      <c r="C911" s="10">
        <v>15.07</v>
      </c>
      <c r="D911" s="10">
        <v>13.22</v>
      </c>
      <c r="E911" s="47">
        <f t="shared" si="97"/>
        <v>582706.56620000012</v>
      </c>
      <c r="F911" s="327">
        <f t="shared" si="98"/>
        <v>560686.64</v>
      </c>
      <c r="G911" s="338">
        <f t="shared" si="99"/>
        <v>622199.30000000005</v>
      </c>
      <c r="H911" s="338">
        <f t="shared" si="100"/>
        <v>658342.78</v>
      </c>
    </row>
    <row r="912" spans="1:8" x14ac:dyDescent="0.25">
      <c r="A912" s="8">
        <v>24125</v>
      </c>
      <c r="B912" s="86" t="s">
        <v>898</v>
      </c>
      <c r="C912" s="10">
        <v>10.85</v>
      </c>
      <c r="D912" s="10">
        <v>9.52</v>
      </c>
      <c r="E912" s="47">
        <f t="shared" si="97"/>
        <v>419533.261</v>
      </c>
      <c r="F912" s="327">
        <f t="shared" si="98"/>
        <v>403762.24</v>
      </c>
      <c r="G912" s="338">
        <f t="shared" si="99"/>
        <v>448058.8</v>
      </c>
      <c r="H912" s="338">
        <f t="shared" si="100"/>
        <v>474086.48</v>
      </c>
    </row>
    <row r="913" spans="1:8" ht="14.4" thickBot="1" x14ac:dyDescent="0.3">
      <c r="A913" s="87">
        <v>24126</v>
      </c>
      <c r="B913" s="88" t="s">
        <v>899</v>
      </c>
      <c r="C913" s="89">
        <v>1.2</v>
      </c>
      <c r="D913" s="89">
        <v>1.05</v>
      </c>
      <c r="E913" s="47">
        <f t="shared" si="97"/>
        <v>46399.992000000006</v>
      </c>
      <c r="F913" s="327">
        <f t="shared" si="98"/>
        <v>44532.6</v>
      </c>
      <c r="G913" s="338">
        <f t="shared" si="99"/>
        <v>49418.25</v>
      </c>
      <c r="H913" s="338">
        <f t="shared" si="100"/>
        <v>52288.950000000004</v>
      </c>
    </row>
    <row r="914" spans="1:8" ht="13.2" customHeight="1" thickBot="1" x14ac:dyDescent="0.3">
      <c r="A914" s="76" t="s">
        <v>1002</v>
      </c>
      <c r="B914" s="77"/>
      <c r="C914" s="354" t="s">
        <v>3476</v>
      </c>
      <c r="D914" s="354" t="s">
        <v>3476</v>
      </c>
      <c r="E914" s="354" t="s">
        <v>3476</v>
      </c>
      <c r="F914" s="354" t="s">
        <v>3476</v>
      </c>
      <c r="G914" s="355" t="s">
        <v>3476</v>
      </c>
      <c r="H914" s="356" t="s">
        <v>3476</v>
      </c>
    </row>
    <row r="915" spans="1:8" x14ac:dyDescent="0.25">
      <c r="A915" s="3">
        <v>25100</v>
      </c>
      <c r="B915" s="2" t="s">
        <v>901</v>
      </c>
      <c r="C915" s="5">
        <v>19.34</v>
      </c>
      <c r="D915" s="89">
        <v>16.96</v>
      </c>
      <c r="E915" s="47">
        <f t="shared" si="97"/>
        <v>747813.20440000005</v>
      </c>
      <c r="F915" s="327">
        <f t="shared" ref="F915:F937" si="101">+$D915*$F$2</f>
        <v>719307.52</v>
      </c>
      <c r="G915" s="338">
        <f t="shared" ref="G915:G937" si="102">+$D915*$G$2</f>
        <v>798222.4</v>
      </c>
      <c r="H915" s="338">
        <f t="shared" ref="H915:H937" si="103">+$D915*$H$2</f>
        <v>844591.04</v>
      </c>
    </row>
    <row r="916" spans="1:8" x14ac:dyDescent="0.25">
      <c r="A916" s="3">
        <v>25101</v>
      </c>
      <c r="B916" s="2" t="s">
        <v>902</v>
      </c>
      <c r="C916" s="5">
        <v>55.85</v>
      </c>
      <c r="D916" s="89">
        <v>48.99</v>
      </c>
      <c r="E916" s="47">
        <f t="shared" si="97"/>
        <v>2159532.9610000001</v>
      </c>
      <c r="F916" s="327">
        <f t="shared" si="101"/>
        <v>2077763.8800000001</v>
      </c>
      <c r="G916" s="338">
        <f t="shared" si="102"/>
        <v>2305714.35</v>
      </c>
      <c r="H916" s="338">
        <f t="shared" si="103"/>
        <v>2439653.0100000002</v>
      </c>
    </row>
    <row r="917" spans="1:8" x14ac:dyDescent="0.25">
      <c r="A917" s="3">
        <v>25102</v>
      </c>
      <c r="B917" s="2" t="s">
        <v>903</v>
      </c>
      <c r="C917" s="5">
        <v>1.64</v>
      </c>
      <c r="D917" s="89">
        <v>1.44</v>
      </c>
      <c r="E917" s="47">
        <f t="shared" si="97"/>
        <v>63413.322400000005</v>
      </c>
      <c r="F917" s="327">
        <f t="shared" si="101"/>
        <v>61073.279999999999</v>
      </c>
      <c r="G917" s="338">
        <f t="shared" si="102"/>
        <v>67773.599999999991</v>
      </c>
      <c r="H917" s="338">
        <f t="shared" si="103"/>
        <v>71710.559999999998</v>
      </c>
    </row>
    <row r="918" spans="1:8" x14ac:dyDescent="0.25">
      <c r="A918" s="3">
        <v>25103</v>
      </c>
      <c r="B918" s="2" t="s">
        <v>904</v>
      </c>
      <c r="C918" s="5">
        <v>12.92</v>
      </c>
      <c r="D918" s="89">
        <v>11.33</v>
      </c>
      <c r="E918" s="47">
        <f t="shared" si="97"/>
        <v>499573.24720000004</v>
      </c>
      <c r="F918" s="327">
        <f t="shared" si="101"/>
        <v>480527.96</v>
      </c>
      <c r="G918" s="338">
        <f t="shared" si="102"/>
        <v>533246.44999999995</v>
      </c>
      <c r="H918" s="338">
        <f t="shared" si="103"/>
        <v>564222.67000000004</v>
      </c>
    </row>
    <row r="919" spans="1:8" x14ac:dyDescent="0.25">
      <c r="A919" s="3">
        <v>25104</v>
      </c>
      <c r="B919" s="2" t="s">
        <v>905</v>
      </c>
      <c r="C919" s="5">
        <v>9.67</v>
      </c>
      <c r="D919" s="89">
        <v>8.48</v>
      </c>
      <c r="E919" s="47">
        <f t="shared" si="97"/>
        <v>373906.60220000002</v>
      </c>
      <c r="F919" s="327">
        <f t="shared" si="101"/>
        <v>359653.76</v>
      </c>
      <c r="G919" s="338">
        <f t="shared" si="102"/>
        <v>399111.2</v>
      </c>
      <c r="H919" s="338">
        <f t="shared" si="103"/>
        <v>422295.52</v>
      </c>
    </row>
    <row r="920" spans="1:8" x14ac:dyDescent="0.25">
      <c r="A920" s="3">
        <v>25105</v>
      </c>
      <c r="B920" s="2" t="s">
        <v>906</v>
      </c>
      <c r="C920" s="6">
        <v>4.9000000000000004</v>
      </c>
      <c r="D920" s="89">
        <v>4.3</v>
      </c>
      <c r="E920" s="47">
        <f t="shared" si="97"/>
        <v>189466.63400000002</v>
      </c>
      <c r="F920" s="327">
        <f t="shared" si="101"/>
        <v>182371.6</v>
      </c>
      <c r="G920" s="338">
        <f t="shared" si="102"/>
        <v>202379.5</v>
      </c>
      <c r="H920" s="338">
        <f t="shared" si="103"/>
        <v>214135.69999999998</v>
      </c>
    </row>
    <row r="921" spans="1:8" x14ac:dyDescent="0.25">
      <c r="A921" s="3">
        <v>25106</v>
      </c>
      <c r="B921" s="2" t="s">
        <v>907</v>
      </c>
      <c r="C921" s="5">
        <v>7.37</v>
      </c>
      <c r="D921" s="89">
        <v>6.46</v>
      </c>
      <c r="E921" s="47">
        <f t="shared" si="97"/>
        <v>284973.28420000005</v>
      </c>
      <c r="F921" s="327">
        <f t="shared" si="101"/>
        <v>273981.52</v>
      </c>
      <c r="G921" s="338">
        <f t="shared" si="102"/>
        <v>304039.90000000002</v>
      </c>
      <c r="H921" s="338">
        <f t="shared" si="103"/>
        <v>321701.53999999998</v>
      </c>
    </row>
    <row r="922" spans="1:8" x14ac:dyDescent="0.25">
      <c r="A922" s="3">
        <v>25107</v>
      </c>
      <c r="B922" s="2" t="s">
        <v>908</v>
      </c>
      <c r="C922" s="5">
        <v>14.44</v>
      </c>
      <c r="D922" s="89">
        <v>12.67</v>
      </c>
      <c r="E922" s="47">
        <f t="shared" si="97"/>
        <v>558346.57040000008</v>
      </c>
      <c r="F922" s="327">
        <f t="shared" si="101"/>
        <v>537360.04</v>
      </c>
      <c r="G922" s="338">
        <f t="shared" si="102"/>
        <v>596313.55000000005</v>
      </c>
      <c r="H922" s="338">
        <f t="shared" si="103"/>
        <v>630953.32999999996</v>
      </c>
    </row>
    <row r="923" spans="1:8" x14ac:dyDescent="0.25">
      <c r="A923" s="3">
        <v>25108</v>
      </c>
      <c r="B923" s="2" t="s">
        <v>909</v>
      </c>
      <c r="C923" s="5">
        <v>15.99</v>
      </c>
      <c r="D923" s="89">
        <v>14.02</v>
      </c>
      <c r="E923" s="47">
        <f t="shared" si="97"/>
        <v>618279.89340000006</v>
      </c>
      <c r="F923" s="327">
        <f t="shared" si="101"/>
        <v>594616.24</v>
      </c>
      <c r="G923" s="338">
        <f t="shared" si="102"/>
        <v>659851.29999999993</v>
      </c>
      <c r="H923" s="338">
        <f t="shared" si="103"/>
        <v>698181.98</v>
      </c>
    </row>
    <row r="924" spans="1:8" x14ac:dyDescent="0.25">
      <c r="A924" s="3">
        <v>25109</v>
      </c>
      <c r="B924" s="2" t="s">
        <v>910</v>
      </c>
      <c r="C924" s="5">
        <v>20.62</v>
      </c>
      <c r="D924" s="89">
        <v>18.09</v>
      </c>
      <c r="E924" s="47">
        <f t="shared" si="97"/>
        <v>797306.52920000011</v>
      </c>
      <c r="F924" s="327">
        <f t="shared" si="101"/>
        <v>767233.08</v>
      </c>
      <c r="G924" s="338">
        <f t="shared" si="102"/>
        <v>851405.85</v>
      </c>
      <c r="H924" s="338">
        <f t="shared" si="103"/>
        <v>900863.91</v>
      </c>
    </row>
    <row r="925" spans="1:8" x14ac:dyDescent="0.25">
      <c r="A925" s="3">
        <v>25110</v>
      </c>
      <c r="B925" s="2" t="s">
        <v>911</v>
      </c>
      <c r="C925" s="5">
        <v>21.27</v>
      </c>
      <c r="D925" s="89">
        <v>18.66</v>
      </c>
      <c r="E925" s="47">
        <f t="shared" si="97"/>
        <v>822439.85820000002</v>
      </c>
      <c r="F925" s="327">
        <f t="shared" si="101"/>
        <v>791407.92</v>
      </c>
      <c r="G925" s="338">
        <f t="shared" si="102"/>
        <v>878232.9</v>
      </c>
      <c r="H925" s="338">
        <f t="shared" si="103"/>
        <v>929249.34</v>
      </c>
    </row>
    <row r="926" spans="1:8" x14ac:dyDescent="0.25">
      <c r="A926" s="3">
        <v>25111</v>
      </c>
      <c r="B926" s="2" t="s">
        <v>912</v>
      </c>
      <c r="C926" s="6">
        <v>26.9</v>
      </c>
      <c r="D926" s="89">
        <v>23.59</v>
      </c>
      <c r="E926" s="47">
        <f t="shared" si="97"/>
        <v>1040133.1540000001</v>
      </c>
      <c r="F926" s="327">
        <f t="shared" si="101"/>
        <v>1000499.08</v>
      </c>
      <c r="G926" s="338">
        <f t="shared" si="102"/>
        <v>1110263.3500000001</v>
      </c>
      <c r="H926" s="338">
        <f t="shared" si="103"/>
        <v>1174758.4099999999</v>
      </c>
    </row>
    <row r="927" spans="1:8" x14ac:dyDescent="0.25">
      <c r="A927" s="3">
        <v>25112</v>
      </c>
      <c r="B927" s="2" t="s">
        <v>913</v>
      </c>
      <c r="C927" s="6">
        <v>4.9000000000000004</v>
      </c>
      <c r="D927" s="89">
        <v>4.3</v>
      </c>
      <c r="E927" s="47">
        <f t="shared" si="97"/>
        <v>189466.63400000002</v>
      </c>
      <c r="F927" s="327">
        <f t="shared" si="101"/>
        <v>182371.6</v>
      </c>
      <c r="G927" s="338">
        <f t="shared" si="102"/>
        <v>202379.5</v>
      </c>
      <c r="H927" s="338">
        <f t="shared" si="103"/>
        <v>214135.69999999998</v>
      </c>
    </row>
    <row r="928" spans="1:8" x14ac:dyDescent="0.25">
      <c r="A928" s="3">
        <v>25113</v>
      </c>
      <c r="B928" s="2" t="s">
        <v>914</v>
      </c>
      <c r="C928" s="5">
        <v>20.62</v>
      </c>
      <c r="D928" s="89">
        <v>18.09</v>
      </c>
      <c r="E928" s="47">
        <f t="shared" si="97"/>
        <v>797306.52920000011</v>
      </c>
      <c r="F928" s="327">
        <f t="shared" si="101"/>
        <v>767233.08</v>
      </c>
      <c r="G928" s="338">
        <f t="shared" si="102"/>
        <v>851405.85</v>
      </c>
      <c r="H928" s="338">
        <f t="shared" si="103"/>
        <v>900863.91</v>
      </c>
    </row>
    <row r="929" spans="1:8" x14ac:dyDescent="0.25">
      <c r="A929" s="3">
        <v>25114</v>
      </c>
      <c r="B929" s="2" t="s">
        <v>915</v>
      </c>
      <c r="C929" s="5">
        <v>24.06</v>
      </c>
      <c r="D929" s="89">
        <v>21.1</v>
      </c>
      <c r="E929" s="47">
        <f t="shared" si="97"/>
        <v>930319.83960000006</v>
      </c>
      <c r="F929" s="327">
        <f t="shared" si="101"/>
        <v>894893.20000000007</v>
      </c>
      <c r="G929" s="338">
        <f t="shared" si="102"/>
        <v>993071.50000000012</v>
      </c>
      <c r="H929" s="338">
        <f t="shared" si="103"/>
        <v>1050758.9000000001</v>
      </c>
    </row>
    <row r="930" spans="1:8" x14ac:dyDescent="0.25">
      <c r="A930" s="3">
        <v>25115</v>
      </c>
      <c r="B930" s="2" t="s">
        <v>916</v>
      </c>
      <c r="C930" s="5">
        <v>28.76</v>
      </c>
      <c r="D930" s="89">
        <v>25.23</v>
      </c>
      <c r="E930" s="47">
        <f t="shared" si="97"/>
        <v>1112053.1416000002</v>
      </c>
      <c r="F930" s="327">
        <f t="shared" si="101"/>
        <v>1070054.76</v>
      </c>
      <c r="G930" s="338">
        <f t="shared" si="102"/>
        <v>1187449.95</v>
      </c>
      <c r="H930" s="338">
        <f t="shared" si="103"/>
        <v>1256428.77</v>
      </c>
    </row>
    <row r="931" spans="1:8" x14ac:dyDescent="0.25">
      <c r="A931" s="3">
        <v>25116</v>
      </c>
      <c r="B931" s="2" t="s">
        <v>917</v>
      </c>
      <c r="C931" s="5">
        <v>44.46</v>
      </c>
      <c r="D931" s="89">
        <v>39</v>
      </c>
      <c r="E931" s="47">
        <f t="shared" si="97"/>
        <v>1719119.7036000001</v>
      </c>
      <c r="F931" s="327">
        <f t="shared" si="101"/>
        <v>1654068</v>
      </c>
      <c r="G931" s="338">
        <f t="shared" si="102"/>
        <v>1835535</v>
      </c>
      <c r="H931" s="338">
        <f t="shared" si="103"/>
        <v>1942161</v>
      </c>
    </row>
    <row r="932" spans="1:8" x14ac:dyDescent="0.25">
      <c r="A932" s="3">
        <v>25117</v>
      </c>
      <c r="B932" s="2" t="s">
        <v>918</v>
      </c>
      <c r="C932" s="5">
        <v>34.42</v>
      </c>
      <c r="D932" s="89">
        <v>30.19</v>
      </c>
      <c r="E932" s="47">
        <f t="shared" si="97"/>
        <v>1330906.4372000003</v>
      </c>
      <c r="F932" s="327">
        <f t="shared" si="101"/>
        <v>1280418.28</v>
      </c>
      <c r="G932" s="338">
        <f t="shared" si="102"/>
        <v>1420892.35</v>
      </c>
      <c r="H932" s="338">
        <f t="shared" si="103"/>
        <v>1503431.81</v>
      </c>
    </row>
    <row r="933" spans="1:8" x14ac:dyDescent="0.25">
      <c r="A933" s="3">
        <v>25118</v>
      </c>
      <c r="B933" s="2" t="s">
        <v>919</v>
      </c>
      <c r="C933" s="6">
        <v>50.4</v>
      </c>
      <c r="D933" s="89">
        <v>44.21</v>
      </c>
      <c r="E933" s="47">
        <f t="shared" si="97"/>
        <v>1948799.6640000001</v>
      </c>
      <c r="F933" s="327">
        <f t="shared" si="101"/>
        <v>1875034.52</v>
      </c>
      <c r="G933" s="338">
        <f t="shared" si="102"/>
        <v>2080743.6500000001</v>
      </c>
      <c r="H933" s="338">
        <f t="shared" si="103"/>
        <v>2201613.79</v>
      </c>
    </row>
    <row r="934" spans="1:8" x14ac:dyDescent="0.25">
      <c r="A934" s="3">
        <v>25119</v>
      </c>
      <c r="B934" s="2" t="s">
        <v>920</v>
      </c>
      <c r="C934" s="5">
        <v>21.84</v>
      </c>
      <c r="D934" s="89">
        <v>19.16</v>
      </c>
      <c r="E934" s="47">
        <f t="shared" si="97"/>
        <v>844479.85440000007</v>
      </c>
      <c r="F934" s="327">
        <f t="shared" si="101"/>
        <v>812613.92</v>
      </c>
      <c r="G934" s="338">
        <f t="shared" si="102"/>
        <v>901765.4</v>
      </c>
      <c r="H934" s="338">
        <f t="shared" si="103"/>
        <v>954148.84</v>
      </c>
    </row>
    <row r="935" spans="1:8" x14ac:dyDescent="0.25">
      <c r="A935" s="3">
        <v>25120</v>
      </c>
      <c r="B935" s="2" t="s">
        <v>921</v>
      </c>
      <c r="C935" s="5">
        <v>19.97</v>
      </c>
      <c r="D935" s="89">
        <v>17.52</v>
      </c>
      <c r="E935" s="47">
        <f t="shared" si="97"/>
        <v>772173.20020000008</v>
      </c>
      <c r="F935" s="327">
        <f t="shared" si="101"/>
        <v>743058.24</v>
      </c>
      <c r="G935" s="338">
        <f t="shared" si="102"/>
        <v>824578.79999999993</v>
      </c>
      <c r="H935" s="338">
        <f t="shared" si="103"/>
        <v>872478.48</v>
      </c>
    </row>
    <row r="936" spans="1:8" x14ac:dyDescent="0.25">
      <c r="A936" s="3">
        <v>25121</v>
      </c>
      <c r="B936" s="2" t="s">
        <v>922</v>
      </c>
      <c r="C936" s="5">
        <v>20.34</v>
      </c>
      <c r="D936" s="89">
        <v>17.84</v>
      </c>
      <c r="E936" s="47">
        <f t="shared" si="97"/>
        <v>786479.86440000008</v>
      </c>
      <c r="F936" s="327">
        <f t="shared" si="101"/>
        <v>756630.08</v>
      </c>
      <c r="G936" s="338">
        <f t="shared" si="102"/>
        <v>839639.6</v>
      </c>
      <c r="H936" s="338">
        <f t="shared" si="103"/>
        <v>888414.16</v>
      </c>
    </row>
    <row r="937" spans="1:8" x14ac:dyDescent="0.25">
      <c r="A937" s="3">
        <v>25122</v>
      </c>
      <c r="B937" s="2" t="s">
        <v>923</v>
      </c>
      <c r="C937" s="5">
        <v>20.34</v>
      </c>
      <c r="D937" s="89">
        <v>17.84</v>
      </c>
      <c r="E937" s="47">
        <f t="shared" si="97"/>
        <v>786479.86440000008</v>
      </c>
      <c r="F937" s="327">
        <f t="shared" si="101"/>
        <v>756630.08</v>
      </c>
      <c r="G937" s="338">
        <f t="shared" si="102"/>
        <v>839639.6</v>
      </c>
      <c r="H937" s="338">
        <f t="shared" si="103"/>
        <v>888414.16</v>
      </c>
    </row>
    <row r="938" spans="1:8" x14ac:dyDescent="0.25">
      <c r="A938" s="3">
        <v>25123</v>
      </c>
      <c r="B938" s="2" t="s">
        <v>924</v>
      </c>
      <c r="C938" s="5">
        <v>20.34</v>
      </c>
      <c r="D938" s="89">
        <v>0</v>
      </c>
      <c r="E938" s="47">
        <f t="shared" si="97"/>
        <v>786479.86440000008</v>
      </c>
      <c r="F938" s="327"/>
      <c r="G938" s="338"/>
      <c r="H938" s="338"/>
    </row>
    <row r="939" spans="1:8" x14ac:dyDescent="0.25">
      <c r="A939" s="3">
        <v>25124</v>
      </c>
      <c r="B939" s="2" t="s">
        <v>925</v>
      </c>
      <c r="C939" s="5">
        <v>16.170000000000002</v>
      </c>
      <c r="D939" s="89">
        <v>14.18</v>
      </c>
      <c r="E939" s="47">
        <f t="shared" si="97"/>
        <v>625239.89220000012</v>
      </c>
      <c r="F939" s="327">
        <f>+$D939*$F$2</f>
        <v>601402.16</v>
      </c>
      <c r="G939" s="338">
        <f>+$D939*$G$2</f>
        <v>667381.69999999995</v>
      </c>
      <c r="H939" s="338">
        <f>+$D939*$H$2</f>
        <v>706149.82</v>
      </c>
    </row>
    <row r="940" spans="1:8" x14ac:dyDescent="0.25">
      <c r="A940" s="3">
        <v>25125</v>
      </c>
      <c r="B940" s="2" t="s">
        <v>926</v>
      </c>
      <c r="C940" s="5">
        <v>55.28</v>
      </c>
      <c r="D940" s="89">
        <v>48.49</v>
      </c>
      <c r="E940" s="47">
        <f t="shared" si="97"/>
        <v>2137492.9648000002</v>
      </c>
      <c r="F940" s="327">
        <f>+$D940*$F$2</f>
        <v>2056557.8800000001</v>
      </c>
      <c r="G940" s="338">
        <f>+$D940*$G$2</f>
        <v>2282181.85</v>
      </c>
      <c r="H940" s="338">
        <f>+$D940*$H$2</f>
        <v>2414753.5100000002</v>
      </c>
    </row>
    <row r="941" spans="1:8" x14ac:dyDescent="0.25">
      <c r="A941" s="3">
        <v>25126</v>
      </c>
      <c r="B941" s="2" t="s">
        <v>927</v>
      </c>
      <c r="C941" s="5">
        <v>15.86</v>
      </c>
      <c r="D941" s="89">
        <v>13.91</v>
      </c>
      <c r="E941" s="47">
        <f t="shared" si="97"/>
        <v>613253.22759999998</v>
      </c>
      <c r="F941" s="327">
        <f>+$D941*$F$2</f>
        <v>589950.92000000004</v>
      </c>
      <c r="G941" s="338">
        <f>+$D941*$G$2</f>
        <v>654674.15</v>
      </c>
      <c r="H941" s="338">
        <f>+$D941*$H$2</f>
        <v>692704.09</v>
      </c>
    </row>
    <row r="942" spans="1:8" ht="27.6" x14ac:dyDescent="0.25">
      <c r="A942" s="3">
        <v>25127</v>
      </c>
      <c r="B942" s="2" t="s">
        <v>928</v>
      </c>
      <c r="C942" s="5">
        <v>51.19</v>
      </c>
      <c r="D942" s="89">
        <v>44.9</v>
      </c>
      <c r="E942" s="47">
        <f t="shared" si="97"/>
        <v>1979346.3254000002</v>
      </c>
      <c r="F942" s="327">
        <f>+$D942*$F$2</f>
        <v>1904298.8</v>
      </c>
      <c r="G942" s="338">
        <f>+$D942*$G$2</f>
        <v>2113218.5</v>
      </c>
      <c r="H942" s="338">
        <f>+$D942*$H$2</f>
        <v>2235975.1</v>
      </c>
    </row>
    <row r="943" spans="1:8" x14ac:dyDescent="0.25">
      <c r="A943" s="3">
        <v>25128</v>
      </c>
      <c r="B943" s="2" t="s">
        <v>929</v>
      </c>
      <c r="C943" s="5">
        <v>37.22</v>
      </c>
      <c r="D943" s="89">
        <v>0</v>
      </c>
      <c r="E943" s="47">
        <f t="shared" si="97"/>
        <v>1439173.0852000001</v>
      </c>
      <c r="F943" s="327"/>
      <c r="G943" s="338"/>
      <c r="H943" s="338"/>
    </row>
    <row r="944" spans="1:8" x14ac:dyDescent="0.25">
      <c r="A944" s="3">
        <v>25129</v>
      </c>
      <c r="B944" s="2" t="s">
        <v>930</v>
      </c>
      <c r="C944" s="5">
        <v>93.38</v>
      </c>
      <c r="D944" s="89">
        <v>81.900000000000006</v>
      </c>
      <c r="E944" s="47">
        <f t="shared" si="97"/>
        <v>3610692.7108</v>
      </c>
      <c r="F944" s="327">
        <f t="shared" ref="F944:F965" si="104">+$D944*$F$2</f>
        <v>3473542.8000000003</v>
      </c>
      <c r="G944" s="338">
        <f t="shared" ref="G944:G965" si="105">+$D944*$G$2</f>
        <v>3854623.5000000005</v>
      </c>
      <c r="H944" s="338">
        <f t="shared" ref="H944:H965" si="106">+$D944*$H$2</f>
        <v>4078538.1</v>
      </c>
    </row>
    <row r="945" spans="1:8" x14ac:dyDescent="0.25">
      <c r="A945" s="3">
        <v>25130</v>
      </c>
      <c r="B945" s="2" t="s">
        <v>931</v>
      </c>
      <c r="C945" s="6">
        <v>57.9</v>
      </c>
      <c r="D945" s="89">
        <v>50.78</v>
      </c>
      <c r="E945" s="47">
        <f t="shared" si="97"/>
        <v>2238799.6140000001</v>
      </c>
      <c r="F945" s="327">
        <f t="shared" si="104"/>
        <v>2153681.36</v>
      </c>
      <c r="G945" s="338">
        <f t="shared" si="105"/>
        <v>2389960.7000000002</v>
      </c>
      <c r="H945" s="338">
        <f t="shared" si="106"/>
        <v>2528793.2200000002</v>
      </c>
    </row>
    <row r="946" spans="1:8" x14ac:dyDescent="0.25">
      <c r="A946" s="3">
        <v>25132</v>
      </c>
      <c r="B946" s="2" t="s">
        <v>932</v>
      </c>
      <c r="C946" s="5">
        <v>46.07</v>
      </c>
      <c r="D946" s="89">
        <v>40.409999999999997</v>
      </c>
      <c r="E946" s="47">
        <f t="shared" si="97"/>
        <v>1781373.0262000002</v>
      </c>
      <c r="F946" s="327">
        <f t="shared" si="104"/>
        <v>1713868.92</v>
      </c>
      <c r="G946" s="338">
        <f t="shared" si="105"/>
        <v>1901896.65</v>
      </c>
      <c r="H946" s="338">
        <f t="shared" si="106"/>
        <v>2012377.5899999999</v>
      </c>
    </row>
    <row r="947" spans="1:8" x14ac:dyDescent="0.25">
      <c r="A947" s="3">
        <v>25133</v>
      </c>
      <c r="B947" s="2" t="s">
        <v>933</v>
      </c>
      <c r="C947" s="5">
        <v>51.19</v>
      </c>
      <c r="D947" s="89">
        <v>44.9</v>
      </c>
      <c r="E947" s="47">
        <f t="shared" si="97"/>
        <v>1979346.3254000002</v>
      </c>
      <c r="F947" s="327">
        <f t="shared" si="104"/>
        <v>1904298.8</v>
      </c>
      <c r="G947" s="338">
        <f t="shared" si="105"/>
        <v>2113218.5</v>
      </c>
      <c r="H947" s="338">
        <f t="shared" si="106"/>
        <v>2235975.1</v>
      </c>
    </row>
    <row r="948" spans="1:8" x14ac:dyDescent="0.25">
      <c r="A948" s="3">
        <v>25134</v>
      </c>
      <c r="B948" s="2" t="s">
        <v>934</v>
      </c>
      <c r="C948" s="5">
        <v>37.22</v>
      </c>
      <c r="D948" s="89">
        <v>32.65</v>
      </c>
      <c r="E948" s="47">
        <f t="shared" si="97"/>
        <v>1439173.0852000001</v>
      </c>
      <c r="F948" s="327">
        <f t="shared" si="104"/>
        <v>1384751.8</v>
      </c>
      <c r="G948" s="338">
        <f t="shared" si="105"/>
        <v>1536672.25</v>
      </c>
      <c r="H948" s="338">
        <f t="shared" si="106"/>
        <v>1625937.3499999999</v>
      </c>
    </row>
    <row r="949" spans="1:8" x14ac:dyDescent="0.25">
      <c r="A949" s="3">
        <v>25135</v>
      </c>
      <c r="B949" s="2" t="s">
        <v>935</v>
      </c>
      <c r="C949" s="5">
        <v>51.19</v>
      </c>
      <c r="D949" s="89">
        <v>44.9</v>
      </c>
      <c r="E949" s="47">
        <f t="shared" si="97"/>
        <v>1979346.3254000002</v>
      </c>
      <c r="F949" s="327">
        <f t="shared" si="104"/>
        <v>1904298.8</v>
      </c>
      <c r="G949" s="338">
        <f t="shared" si="105"/>
        <v>2113218.5</v>
      </c>
      <c r="H949" s="338">
        <f t="shared" si="106"/>
        <v>2235975.1</v>
      </c>
    </row>
    <row r="950" spans="1:8" x14ac:dyDescent="0.25">
      <c r="A950" s="3">
        <v>25136</v>
      </c>
      <c r="B950" s="2" t="s">
        <v>936</v>
      </c>
      <c r="C950" s="5">
        <v>55.85</v>
      </c>
      <c r="D950" s="89">
        <v>48.99</v>
      </c>
      <c r="E950" s="47">
        <f t="shared" si="97"/>
        <v>2159532.9610000001</v>
      </c>
      <c r="F950" s="327">
        <f t="shared" si="104"/>
        <v>2077763.8800000001</v>
      </c>
      <c r="G950" s="338">
        <f t="shared" si="105"/>
        <v>2305714.35</v>
      </c>
      <c r="H950" s="338">
        <f t="shared" si="106"/>
        <v>2439653.0100000002</v>
      </c>
    </row>
    <row r="951" spans="1:8" x14ac:dyDescent="0.25">
      <c r="A951" s="3">
        <v>25137</v>
      </c>
      <c r="B951" s="2" t="s">
        <v>937</v>
      </c>
      <c r="C951" s="5">
        <v>12.17</v>
      </c>
      <c r="D951" s="89">
        <v>10.67</v>
      </c>
      <c r="E951" s="47">
        <f t="shared" si="97"/>
        <v>470573.25220000005</v>
      </c>
      <c r="F951" s="327">
        <f t="shared" si="104"/>
        <v>452536.04</v>
      </c>
      <c r="G951" s="338">
        <f t="shared" si="105"/>
        <v>502183.55</v>
      </c>
      <c r="H951" s="338">
        <f t="shared" si="106"/>
        <v>531355.32999999996</v>
      </c>
    </row>
    <row r="952" spans="1:8" x14ac:dyDescent="0.25">
      <c r="A952" s="3">
        <v>25138</v>
      </c>
      <c r="B952" s="2" t="s">
        <v>938</v>
      </c>
      <c r="C952" s="5">
        <v>15.99</v>
      </c>
      <c r="D952" s="89">
        <v>14.02</v>
      </c>
      <c r="E952" s="47">
        <f t="shared" ref="E952:E965" si="107">+$C952*$E$2</f>
        <v>618279.89340000006</v>
      </c>
      <c r="F952" s="327">
        <f t="shared" si="104"/>
        <v>594616.24</v>
      </c>
      <c r="G952" s="338">
        <f t="shared" si="105"/>
        <v>659851.29999999993</v>
      </c>
      <c r="H952" s="338">
        <f t="shared" si="106"/>
        <v>698181.98</v>
      </c>
    </row>
    <row r="953" spans="1:8" x14ac:dyDescent="0.25">
      <c r="A953" s="3">
        <v>25139</v>
      </c>
      <c r="B953" s="2" t="s">
        <v>939</v>
      </c>
      <c r="C953" s="5">
        <v>55.28</v>
      </c>
      <c r="D953" s="89">
        <v>48.49</v>
      </c>
      <c r="E953" s="47">
        <f t="shared" si="107"/>
        <v>2137492.9648000002</v>
      </c>
      <c r="F953" s="327">
        <f t="shared" si="104"/>
        <v>2056557.8800000001</v>
      </c>
      <c r="G953" s="338">
        <f t="shared" si="105"/>
        <v>2282181.85</v>
      </c>
      <c r="H953" s="338">
        <f t="shared" si="106"/>
        <v>2414753.5100000002</v>
      </c>
    </row>
    <row r="954" spans="1:8" x14ac:dyDescent="0.25">
      <c r="A954" s="3">
        <v>25140</v>
      </c>
      <c r="B954" s="2" t="s">
        <v>940</v>
      </c>
      <c r="C954" s="5">
        <v>5.08</v>
      </c>
      <c r="D954" s="89">
        <v>4.46</v>
      </c>
      <c r="E954" s="47">
        <f t="shared" si="107"/>
        <v>196426.63280000002</v>
      </c>
      <c r="F954" s="327">
        <f t="shared" si="104"/>
        <v>189157.52</v>
      </c>
      <c r="G954" s="338">
        <f t="shared" si="105"/>
        <v>209909.9</v>
      </c>
      <c r="H954" s="338">
        <f t="shared" si="106"/>
        <v>222103.54</v>
      </c>
    </row>
    <row r="955" spans="1:8" x14ac:dyDescent="0.25">
      <c r="A955" s="3">
        <v>25141</v>
      </c>
      <c r="B955" s="2" t="s">
        <v>941</v>
      </c>
      <c r="C955" s="5">
        <v>41.66</v>
      </c>
      <c r="D955" s="89">
        <v>36.54</v>
      </c>
      <c r="E955" s="47">
        <f t="shared" si="107"/>
        <v>1610853.0556000001</v>
      </c>
      <c r="F955" s="327">
        <f t="shared" si="104"/>
        <v>1549734.48</v>
      </c>
      <c r="G955" s="338">
        <f t="shared" si="105"/>
        <v>1719755.0999999999</v>
      </c>
      <c r="H955" s="338">
        <f t="shared" si="106"/>
        <v>1819655.46</v>
      </c>
    </row>
    <row r="956" spans="1:8" x14ac:dyDescent="0.25">
      <c r="A956" s="3">
        <v>25142</v>
      </c>
      <c r="B956" s="2" t="s">
        <v>942</v>
      </c>
      <c r="C956" s="5">
        <v>15.86</v>
      </c>
      <c r="D956" s="89">
        <v>13.91</v>
      </c>
      <c r="E956" s="47">
        <f t="shared" si="107"/>
        <v>613253.22759999998</v>
      </c>
      <c r="F956" s="327">
        <f t="shared" si="104"/>
        <v>589950.92000000004</v>
      </c>
      <c r="G956" s="338">
        <f t="shared" si="105"/>
        <v>654674.15</v>
      </c>
      <c r="H956" s="338">
        <f t="shared" si="106"/>
        <v>692704.09</v>
      </c>
    </row>
    <row r="957" spans="1:8" x14ac:dyDescent="0.25">
      <c r="A957" s="3">
        <v>25143</v>
      </c>
      <c r="B957" s="2" t="s">
        <v>943</v>
      </c>
      <c r="C957" s="5">
        <v>8.5299999999999994</v>
      </c>
      <c r="D957" s="89">
        <v>7.48</v>
      </c>
      <c r="E957" s="47">
        <f t="shared" si="107"/>
        <v>329826.60979999998</v>
      </c>
      <c r="F957" s="327">
        <f t="shared" si="104"/>
        <v>317241.76</v>
      </c>
      <c r="G957" s="338">
        <f t="shared" si="105"/>
        <v>352046.2</v>
      </c>
      <c r="H957" s="338">
        <f t="shared" si="106"/>
        <v>372496.52</v>
      </c>
    </row>
    <row r="958" spans="1:8" x14ac:dyDescent="0.25">
      <c r="A958" s="3">
        <v>25144</v>
      </c>
      <c r="B958" s="2" t="s">
        <v>944</v>
      </c>
      <c r="C958" s="5">
        <v>55.85</v>
      </c>
      <c r="D958" s="89">
        <v>48.99</v>
      </c>
      <c r="E958" s="47">
        <f t="shared" si="107"/>
        <v>2159532.9610000001</v>
      </c>
      <c r="F958" s="327">
        <f t="shared" si="104"/>
        <v>2077763.8800000001</v>
      </c>
      <c r="G958" s="338">
        <f t="shared" si="105"/>
        <v>2305714.35</v>
      </c>
      <c r="H958" s="338">
        <f t="shared" si="106"/>
        <v>2439653.0100000002</v>
      </c>
    </row>
    <row r="959" spans="1:8" x14ac:dyDescent="0.25">
      <c r="A959" s="3">
        <v>25145</v>
      </c>
      <c r="B959" s="2" t="s">
        <v>945</v>
      </c>
      <c r="C959" s="5">
        <v>24.75</v>
      </c>
      <c r="D959" s="89">
        <v>21.71</v>
      </c>
      <c r="E959" s="47">
        <f t="shared" si="107"/>
        <v>956999.83500000008</v>
      </c>
      <c r="F959" s="327">
        <f t="shared" si="104"/>
        <v>920764.52</v>
      </c>
      <c r="G959" s="338">
        <f t="shared" si="105"/>
        <v>1021781.15</v>
      </c>
      <c r="H959" s="338">
        <f t="shared" si="106"/>
        <v>1081136.29</v>
      </c>
    </row>
    <row r="960" spans="1:8" x14ac:dyDescent="0.25">
      <c r="A960" s="3">
        <v>25146</v>
      </c>
      <c r="B960" s="2" t="s">
        <v>946</v>
      </c>
      <c r="C960" s="5">
        <v>22.72</v>
      </c>
      <c r="D960" s="89">
        <v>19.93</v>
      </c>
      <c r="E960" s="47">
        <f t="shared" si="107"/>
        <v>878506.51520000002</v>
      </c>
      <c r="F960" s="327">
        <f t="shared" si="104"/>
        <v>845271.16</v>
      </c>
      <c r="G960" s="338">
        <f t="shared" si="105"/>
        <v>938005.45</v>
      </c>
      <c r="H960" s="338">
        <f t="shared" si="106"/>
        <v>992494.07</v>
      </c>
    </row>
    <row r="961" spans="1:8" x14ac:dyDescent="0.25">
      <c r="A961" s="3">
        <v>25147</v>
      </c>
      <c r="B961" s="2" t="s">
        <v>947</v>
      </c>
      <c r="C961" s="5">
        <v>13.79</v>
      </c>
      <c r="D961" s="89">
        <v>12.1</v>
      </c>
      <c r="E961" s="47">
        <f t="shared" si="107"/>
        <v>533213.24140000006</v>
      </c>
      <c r="F961" s="327">
        <f t="shared" si="104"/>
        <v>513185.2</v>
      </c>
      <c r="G961" s="338">
        <f t="shared" si="105"/>
        <v>569486.5</v>
      </c>
      <c r="H961" s="338">
        <f t="shared" si="106"/>
        <v>602567.9</v>
      </c>
    </row>
    <row r="962" spans="1:8" x14ac:dyDescent="0.25">
      <c r="A962" s="3">
        <v>25148</v>
      </c>
      <c r="B962" s="2" t="s">
        <v>948</v>
      </c>
      <c r="C962" s="5">
        <v>63.17</v>
      </c>
      <c r="D962" s="89">
        <v>55.41</v>
      </c>
      <c r="E962" s="47">
        <f t="shared" si="107"/>
        <v>2442572.9122000001</v>
      </c>
      <c r="F962" s="327">
        <f t="shared" si="104"/>
        <v>2350048.92</v>
      </c>
      <c r="G962" s="338">
        <f t="shared" si="105"/>
        <v>2607871.65</v>
      </c>
      <c r="H962" s="338">
        <f t="shared" si="106"/>
        <v>2759362.59</v>
      </c>
    </row>
    <row r="963" spans="1:8" x14ac:dyDescent="0.25">
      <c r="A963" s="3">
        <v>25149</v>
      </c>
      <c r="B963" s="2" t="s">
        <v>949</v>
      </c>
      <c r="C963" s="5">
        <v>79.11</v>
      </c>
      <c r="D963" s="89">
        <v>69.39</v>
      </c>
      <c r="E963" s="47">
        <f t="shared" si="107"/>
        <v>3058919.4726000004</v>
      </c>
      <c r="F963" s="327">
        <f t="shared" si="104"/>
        <v>2942968.68</v>
      </c>
      <c r="G963" s="338">
        <f t="shared" si="105"/>
        <v>3265840.35</v>
      </c>
      <c r="H963" s="338">
        <f t="shared" si="106"/>
        <v>3455552.61</v>
      </c>
    </row>
    <row r="964" spans="1:8" x14ac:dyDescent="0.25">
      <c r="A964" s="3">
        <v>25150</v>
      </c>
      <c r="B964" s="2" t="s">
        <v>950</v>
      </c>
      <c r="C964" s="5">
        <v>47.33</v>
      </c>
      <c r="D964" s="89">
        <v>41.51</v>
      </c>
      <c r="E964" s="47">
        <f t="shared" si="107"/>
        <v>1830093.0178</v>
      </c>
      <c r="F964" s="327">
        <f t="shared" si="104"/>
        <v>1760522.1199999999</v>
      </c>
      <c r="G964" s="338">
        <f t="shared" si="105"/>
        <v>1953668.15</v>
      </c>
      <c r="H964" s="338">
        <f t="shared" si="106"/>
        <v>2067156.49</v>
      </c>
    </row>
    <row r="965" spans="1:8" ht="14.4" thickBot="1" x14ac:dyDescent="0.3">
      <c r="A965" s="8">
        <v>25151</v>
      </c>
      <c r="B965" s="9" t="s">
        <v>951</v>
      </c>
      <c r="C965" s="10">
        <v>13.52</v>
      </c>
      <c r="D965" s="89">
        <v>11.86</v>
      </c>
      <c r="E965" s="47">
        <f t="shared" si="107"/>
        <v>522773.24320000003</v>
      </c>
      <c r="F965" s="327">
        <f t="shared" si="104"/>
        <v>503006.31999999995</v>
      </c>
      <c r="G965" s="341">
        <f t="shared" si="105"/>
        <v>558190.9</v>
      </c>
      <c r="H965" s="341">
        <f t="shared" si="106"/>
        <v>590616.14</v>
      </c>
    </row>
    <row r="966" spans="1:8" ht="42.6" customHeight="1" thickBot="1" x14ac:dyDescent="0.3">
      <c r="A966" s="232" t="s">
        <v>3478</v>
      </c>
      <c r="B966" s="71"/>
      <c r="C966" s="351" t="s">
        <v>3476</v>
      </c>
      <c r="D966" s="351" t="s">
        <v>3476</v>
      </c>
      <c r="E966" s="351" t="s">
        <v>3476</v>
      </c>
      <c r="F966" s="351" t="s">
        <v>3476</v>
      </c>
      <c r="G966" s="352" t="s">
        <v>3476</v>
      </c>
      <c r="H966" s="353" t="s">
        <v>3476</v>
      </c>
    </row>
    <row r="967" spans="1:8" ht="28.8" customHeight="1" thickBot="1" x14ac:dyDescent="0.3">
      <c r="A967" s="232" t="s">
        <v>3479</v>
      </c>
      <c r="B967" s="71"/>
      <c r="C967" s="351" t="s">
        <v>3476</v>
      </c>
      <c r="D967" s="351" t="s">
        <v>3476</v>
      </c>
      <c r="E967" s="351" t="s">
        <v>3476</v>
      </c>
      <c r="F967" s="351" t="s">
        <v>3476</v>
      </c>
      <c r="G967" s="352" t="s">
        <v>3476</v>
      </c>
      <c r="H967" s="353" t="s">
        <v>3476</v>
      </c>
    </row>
    <row r="968" spans="1:8" x14ac:dyDescent="0.25">
      <c r="A968" s="4">
        <v>26101</v>
      </c>
      <c r="B968" s="11" t="s">
        <v>952</v>
      </c>
      <c r="C968" s="12">
        <v>2.4300000000000002</v>
      </c>
      <c r="D968" s="12">
        <v>2.13</v>
      </c>
      <c r="E968" s="61">
        <f t="shared" ref="E968:E1031" si="108">+$C968*$E$2</f>
        <v>93959.983800000016</v>
      </c>
      <c r="F968" s="360">
        <f t="shared" ref="F968:F984" si="109">+$D968*$F$2</f>
        <v>90337.56</v>
      </c>
      <c r="G968" s="338">
        <f t="shared" ref="G968:G984" si="110">+$D968*$G$2</f>
        <v>100248.45</v>
      </c>
      <c r="H968" s="338">
        <f t="shared" ref="H968:H984" si="111">+$D968*$H$2</f>
        <v>106071.87</v>
      </c>
    </row>
    <row r="969" spans="1:8" x14ac:dyDescent="0.25">
      <c r="A969" s="3">
        <v>26102</v>
      </c>
      <c r="B969" s="2" t="s">
        <v>953</v>
      </c>
      <c r="C969" s="5">
        <v>2.93</v>
      </c>
      <c r="D969" s="5">
        <v>2.57</v>
      </c>
      <c r="E969" s="47">
        <f t="shared" si="108"/>
        <v>113293.31380000002</v>
      </c>
      <c r="F969" s="327">
        <f t="shared" si="109"/>
        <v>108998.84</v>
      </c>
      <c r="G969" s="338">
        <f t="shared" si="110"/>
        <v>120957.04999999999</v>
      </c>
      <c r="H969" s="338">
        <f t="shared" si="111"/>
        <v>127983.43</v>
      </c>
    </row>
    <row r="970" spans="1:8" x14ac:dyDescent="0.25">
      <c r="A970" s="3">
        <v>26103</v>
      </c>
      <c r="B970" s="2" t="s">
        <v>954</v>
      </c>
      <c r="C970" s="5">
        <v>5.76</v>
      </c>
      <c r="D970" s="5">
        <v>5.05</v>
      </c>
      <c r="E970" s="47">
        <f t="shared" si="108"/>
        <v>222719.96160000001</v>
      </c>
      <c r="F970" s="327">
        <f t="shared" si="109"/>
        <v>214180.6</v>
      </c>
      <c r="G970" s="338">
        <f t="shared" si="110"/>
        <v>237678.25</v>
      </c>
      <c r="H970" s="338">
        <f t="shared" si="111"/>
        <v>251484.94999999998</v>
      </c>
    </row>
    <row r="971" spans="1:8" x14ac:dyDescent="0.25">
      <c r="A971" s="3">
        <v>26104</v>
      </c>
      <c r="B971" s="2" t="s">
        <v>955</v>
      </c>
      <c r="C971" s="5">
        <v>1.83</v>
      </c>
      <c r="D971" s="5">
        <v>1.61</v>
      </c>
      <c r="E971" s="47">
        <f t="shared" si="108"/>
        <v>70759.987800000003</v>
      </c>
      <c r="F971" s="327">
        <f t="shared" si="109"/>
        <v>68283.320000000007</v>
      </c>
      <c r="G971" s="338">
        <f t="shared" si="110"/>
        <v>75774.650000000009</v>
      </c>
      <c r="H971" s="338">
        <f t="shared" si="111"/>
        <v>80176.39</v>
      </c>
    </row>
    <row r="972" spans="1:8" x14ac:dyDescent="0.25">
      <c r="A972" s="3">
        <v>26105</v>
      </c>
      <c r="B972" s="2" t="s">
        <v>956</v>
      </c>
      <c r="C972" s="5">
        <v>3.62</v>
      </c>
      <c r="D972" s="5">
        <v>3.18</v>
      </c>
      <c r="E972" s="47">
        <f t="shared" si="108"/>
        <v>139973.30920000002</v>
      </c>
      <c r="F972" s="327">
        <f t="shared" si="109"/>
        <v>134870.16</v>
      </c>
      <c r="G972" s="338">
        <f t="shared" si="110"/>
        <v>149666.70000000001</v>
      </c>
      <c r="H972" s="338">
        <f t="shared" si="111"/>
        <v>158360.82</v>
      </c>
    </row>
    <row r="973" spans="1:8" x14ac:dyDescent="0.25">
      <c r="A973" s="3">
        <v>26106</v>
      </c>
      <c r="B973" s="2" t="s">
        <v>957</v>
      </c>
      <c r="C973" s="5">
        <v>3.62</v>
      </c>
      <c r="D973" s="5">
        <v>3.18</v>
      </c>
      <c r="E973" s="47">
        <f t="shared" si="108"/>
        <v>139973.30920000002</v>
      </c>
      <c r="F973" s="327">
        <f t="shared" si="109"/>
        <v>134870.16</v>
      </c>
      <c r="G973" s="338">
        <f t="shared" si="110"/>
        <v>149666.70000000001</v>
      </c>
      <c r="H973" s="338">
        <f t="shared" si="111"/>
        <v>158360.82</v>
      </c>
    </row>
    <row r="974" spans="1:8" x14ac:dyDescent="0.25">
      <c r="A974" s="3">
        <v>26107</v>
      </c>
      <c r="B974" s="2" t="s">
        <v>958</v>
      </c>
      <c r="C974" s="5">
        <v>3.62</v>
      </c>
      <c r="D974" s="5">
        <v>3.18</v>
      </c>
      <c r="E974" s="47">
        <f t="shared" si="108"/>
        <v>139973.30920000002</v>
      </c>
      <c r="F974" s="327">
        <f t="shared" si="109"/>
        <v>134870.16</v>
      </c>
      <c r="G974" s="338">
        <f t="shared" si="110"/>
        <v>149666.70000000001</v>
      </c>
      <c r="H974" s="338">
        <f t="shared" si="111"/>
        <v>158360.82</v>
      </c>
    </row>
    <row r="975" spans="1:8" x14ac:dyDescent="0.25">
      <c r="A975" s="3">
        <v>26108</v>
      </c>
      <c r="B975" s="2" t="s">
        <v>959</v>
      </c>
      <c r="C975" s="5">
        <v>3.62</v>
      </c>
      <c r="D975" s="5">
        <v>3.18</v>
      </c>
      <c r="E975" s="47">
        <f t="shared" si="108"/>
        <v>139973.30920000002</v>
      </c>
      <c r="F975" s="327">
        <f t="shared" si="109"/>
        <v>134870.16</v>
      </c>
      <c r="G975" s="338">
        <f t="shared" si="110"/>
        <v>149666.70000000001</v>
      </c>
      <c r="H975" s="338">
        <f t="shared" si="111"/>
        <v>158360.82</v>
      </c>
    </row>
    <row r="976" spans="1:8" x14ac:dyDescent="0.25">
      <c r="A976" s="3">
        <v>26109</v>
      </c>
      <c r="B976" s="2" t="s">
        <v>960</v>
      </c>
      <c r="C976" s="5">
        <v>1.81</v>
      </c>
      <c r="D976" s="5">
        <v>1.59</v>
      </c>
      <c r="E976" s="47">
        <f t="shared" si="108"/>
        <v>69986.654600000009</v>
      </c>
      <c r="F976" s="327">
        <f t="shared" si="109"/>
        <v>67435.08</v>
      </c>
      <c r="G976" s="338">
        <f t="shared" si="110"/>
        <v>74833.350000000006</v>
      </c>
      <c r="H976" s="338">
        <f t="shared" si="111"/>
        <v>79180.41</v>
      </c>
    </row>
    <row r="977" spans="1:8" x14ac:dyDescent="0.25">
      <c r="A977" s="3">
        <v>26110</v>
      </c>
      <c r="B977" s="2" t="s">
        <v>961</v>
      </c>
      <c r="C977" s="5">
        <v>3.62</v>
      </c>
      <c r="D977" s="5">
        <v>3.18</v>
      </c>
      <c r="E977" s="47">
        <f t="shared" si="108"/>
        <v>139973.30920000002</v>
      </c>
      <c r="F977" s="327">
        <f t="shared" si="109"/>
        <v>134870.16</v>
      </c>
      <c r="G977" s="338">
        <f t="shared" si="110"/>
        <v>149666.70000000001</v>
      </c>
      <c r="H977" s="338">
        <f t="shared" si="111"/>
        <v>158360.82</v>
      </c>
    </row>
    <row r="978" spans="1:8" x14ac:dyDescent="0.25">
      <c r="A978" s="3">
        <v>26111</v>
      </c>
      <c r="B978" s="2" t="s">
        <v>962</v>
      </c>
      <c r="C978" s="5">
        <v>3.62</v>
      </c>
      <c r="D978" s="5">
        <v>3.18</v>
      </c>
      <c r="E978" s="47">
        <f t="shared" si="108"/>
        <v>139973.30920000002</v>
      </c>
      <c r="F978" s="327">
        <f t="shared" si="109"/>
        <v>134870.16</v>
      </c>
      <c r="G978" s="338">
        <f t="shared" si="110"/>
        <v>149666.70000000001</v>
      </c>
      <c r="H978" s="338">
        <f t="shared" si="111"/>
        <v>158360.82</v>
      </c>
    </row>
    <row r="979" spans="1:8" x14ac:dyDescent="0.25">
      <c r="A979" s="3">
        <v>26112</v>
      </c>
      <c r="B979" s="2" t="s">
        <v>963</v>
      </c>
      <c r="C979" s="5">
        <v>3.62</v>
      </c>
      <c r="D979" s="5">
        <v>3.18</v>
      </c>
      <c r="E979" s="47">
        <f t="shared" si="108"/>
        <v>139973.30920000002</v>
      </c>
      <c r="F979" s="327">
        <f t="shared" si="109"/>
        <v>134870.16</v>
      </c>
      <c r="G979" s="338">
        <f t="shared" si="110"/>
        <v>149666.70000000001</v>
      </c>
      <c r="H979" s="338">
        <f t="shared" si="111"/>
        <v>158360.82</v>
      </c>
    </row>
    <row r="980" spans="1:8" x14ac:dyDescent="0.25">
      <c r="A980" s="3">
        <v>26113</v>
      </c>
      <c r="B980" s="2" t="s">
        <v>964</v>
      </c>
      <c r="C980" s="5">
        <v>3.62</v>
      </c>
      <c r="D980" s="5">
        <v>3.18</v>
      </c>
      <c r="E980" s="47">
        <f t="shared" si="108"/>
        <v>139973.30920000002</v>
      </c>
      <c r="F980" s="327">
        <f t="shared" si="109"/>
        <v>134870.16</v>
      </c>
      <c r="G980" s="338">
        <f t="shared" si="110"/>
        <v>149666.70000000001</v>
      </c>
      <c r="H980" s="338">
        <f t="shared" si="111"/>
        <v>158360.82</v>
      </c>
    </row>
    <row r="981" spans="1:8" x14ac:dyDescent="0.25">
      <c r="A981" s="3">
        <v>26114</v>
      </c>
      <c r="B981" s="2" t="s">
        <v>965</v>
      </c>
      <c r="C981" s="5">
        <v>5.08</v>
      </c>
      <c r="D981" s="5">
        <v>4.46</v>
      </c>
      <c r="E981" s="47">
        <f t="shared" si="108"/>
        <v>196426.63280000002</v>
      </c>
      <c r="F981" s="327">
        <f t="shared" si="109"/>
        <v>189157.52</v>
      </c>
      <c r="G981" s="338">
        <f t="shared" si="110"/>
        <v>209909.9</v>
      </c>
      <c r="H981" s="338">
        <f t="shared" si="111"/>
        <v>222103.54</v>
      </c>
    </row>
    <row r="982" spans="1:8" x14ac:dyDescent="0.25">
      <c r="A982" s="3">
        <v>26115</v>
      </c>
      <c r="B982" s="2" t="s">
        <v>966</v>
      </c>
      <c r="C982" s="5">
        <v>50.72</v>
      </c>
      <c r="D982" s="5">
        <v>44.49</v>
      </c>
      <c r="E982" s="47">
        <f t="shared" si="108"/>
        <v>1961172.9952000002</v>
      </c>
      <c r="F982" s="327">
        <f t="shared" si="109"/>
        <v>1886909.8800000001</v>
      </c>
      <c r="G982" s="338">
        <f t="shared" si="110"/>
        <v>2093921.85</v>
      </c>
      <c r="H982" s="338">
        <f t="shared" si="111"/>
        <v>2215557.5100000002</v>
      </c>
    </row>
    <row r="983" spans="1:8" x14ac:dyDescent="0.25">
      <c r="A983" s="3">
        <v>26116</v>
      </c>
      <c r="B983" s="2" t="s">
        <v>967</v>
      </c>
      <c r="C983" s="5">
        <v>3.02</v>
      </c>
      <c r="D983" s="5">
        <v>2.65</v>
      </c>
      <c r="E983" s="47">
        <f t="shared" si="108"/>
        <v>116773.3132</v>
      </c>
      <c r="F983" s="327">
        <f t="shared" si="109"/>
        <v>112391.8</v>
      </c>
      <c r="G983" s="338">
        <f t="shared" si="110"/>
        <v>124722.25</v>
      </c>
      <c r="H983" s="338">
        <f t="shared" si="111"/>
        <v>131967.35</v>
      </c>
    </row>
    <row r="984" spans="1:8" ht="14.4" thickBot="1" x14ac:dyDescent="0.3">
      <c r="A984" s="8">
        <v>26117</v>
      </c>
      <c r="B984" s="9" t="s">
        <v>968</v>
      </c>
      <c r="C984" s="10">
        <v>7.09</v>
      </c>
      <c r="D984" s="10">
        <v>6.22</v>
      </c>
      <c r="E984" s="47">
        <f t="shared" si="108"/>
        <v>274146.61940000003</v>
      </c>
      <c r="F984" s="327">
        <f t="shared" si="109"/>
        <v>263802.64</v>
      </c>
      <c r="G984" s="338">
        <f t="shared" si="110"/>
        <v>292744.3</v>
      </c>
      <c r="H984" s="338">
        <f t="shared" si="111"/>
        <v>309749.77999999997</v>
      </c>
    </row>
    <row r="985" spans="1:8" ht="14.4" thickBot="1" x14ac:dyDescent="0.3">
      <c r="A985" s="15" t="s">
        <v>969</v>
      </c>
      <c r="B985" s="21"/>
      <c r="C985" s="354" t="s">
        <v>3476</v>
      </c>
      <c r="D985" s="354" t="s">
        <v>3476</v>
      </c>
      <c r="E985" s="354" t="s">
        <v>3476</v>
      </c>
      <c r="F985" s="354" t="s">
        <v>3476</v>
      </c>
      <c r="G985" s="355" t="s">
        <v>3476</v>
      </c>
      <c r="H985" s="356" t="s">
        <v>3476</v>
      </c>
    </row>
    <row r="986" spans="1:8" x14ac:dyDescent="0.25">
      <c r="A986" s="3">
        <v>27101</v>
      </c>
      <c r="B986" s="2" t="s">
        <v>970</v>
      </c>
      <c r="C986" s="5">
        <v>1.35</v>
      </c>
      <c r="D986" s="5">
        <v>1.18</v>
      </c>
      <c r="E986" s="47">
        <f t="shared" si="108"/>
        <v>52199.991000000009</v>
      </c>
      <c r="F986" s="327">
        <f t="shared" ref="F986:F1016" si="112">+$D986*$F$2</f>
        <v>50046.159999999996</v>
      </c>
      <c r="G986" s="338">
        <f t="shared" ref="G986:G1016" si="113">+$D986*$G$2</f>
        <v>55536.7</v>
      </c>
      <c r="H986" s="338">
        <f t="shared" ref="H986:H1016" si="114">+$D986*$H$2</f>
        <v>58762.82</v>
      </c>
    </row>
    <row r="987" spans="1:8" x14ac:dyDescent="0.25">
      <c r="A987" s="3">
        <v>27102</v>
      </c>
      <c r="B987" s="2" t="s">
        <v>971</v>
      </c>
      <c r="C987" s="5">
        <v>1.21</v>
      </c>
      <c r="D987" s="5">
        <v>1.06</v>
      </c>
      <c r="E987" s="47">
        <f t="shared" si="108"/>
        <v>46786.658600000002</v>
      </c>
      <c r="F987" s="327">
        <f t="shared" si="112"/>
        <v>44956.72</v>
      </c>
      <c r="G987" s="338">
        <f t="shared" si="113"/>
        <v>49888.9</v>
      </c>
      <c r="H987" s="338">
        <f t="shared" si="114"/>
        <v>52786.94</v>
      </c>
    </row>
    <row r="988" spans="1:8" x14ac:dyDescent="0.25">
      <c r="A988" s="3">
        <v>27103</v>
      </c>
      <c r="B988" s="2" t="s">
        <v>972</v>
      </c>
      <c r="C988" s="5">
        <v>1.21</v>
      </c>
      <c r="D988" s="5">
        <v>1.06</v>
      </c>
      <c r="E988" s="47">
        <f t="shared" si="108"/>
        <v>46786.658600000002</v>
      </c>
      <c r="F988" s="327">
        <f t="shared" si="112"/>
        <v>44956.72</v>
      </c>
      <c r="G988" s="338">
        <f t="shared" si="113"/>
        <v>49888.9</v>
      </c>
      <c r="H988" s="338">
        <f t="shared" si="114"/>
        <v>52786.94</v>
      </c>
    </row>
    <row r="989" spans="1:8" x14ac:dyDescent="0.25">
      <c r="A989" s="3">
        <v>27104</v>
      </c>
      <c r="B989" s="2" t="s">
        <v>973</v>
      </c>
      <c r="C989" s="5">
        <v>6.08</v>
      </c>
      <c r="D989" s="5">
        <v>5.33</v>
      </c>
      <c r="E989" s="47">
        <f t="shared" si="108"/>
        <v>235093.29280000002</v>
      </c>
      <c r="F989" s="327">
        <f t="shared" si="112"/>
        <v>226055.96</v>
      </c>
      <c r="G989" s="338">
        <f t="shared" si="113"/>
        <v>250856.45</v>
      </c>
      <c r="H989" s="338">
        <f t="shared" si="114"/>
        <v>265428.67</v>
      </c>
    </row>
    <row r="990" spans="1:8" x14ac:dyDescent="0.25">
      <c r="A990" s="3">
        <v>27105</v>
      </c>
      <c r="B990" s="2" t="s">
        <v>974</v>
      </c>
      <c r="C990" s="5">
        <v>1.04</v>
      </c>
      <c r="D990" s="5">
        <v>0.91</v>
      </c>
      <c r="E990" s="47">
        <f t="shared" si="108"/>
        <v>40213.326400000005</v>
      </c>
      <c r="F990" s="327">
        <f t="shared" si="112"/>
        <v>38594.92</v>
      </c>
      <c r="G990" s="338">
        <f t="shared" si="113"/>
        <v>42829.15</v>
      </c>
      <c r="H990" s="338">
        <f t="shared" si="114"/>
        <v>45317.090000000004</v>
      </c>
    </row>
    <row r="991" spans="1:8" x14ac:dyDescent="0.25">
      <c r="A991" s="3">
        <v>27106</v>
      </c>
      <c r="B991" s="2" t="s">
        <v>975</v>
      </c>
      <c r="C991" s="5">
        <v>0.77</v>
      </c>
      <c r="D991" s="5">
        <v>0.68</v>
      </c>
      <c r="E991" s="47">
        <f t="shared" si="108"/>
        <v>29773.328200000004</v>
      </c>
      <c r="F991" s="327">
        <f t="shared" si="112"/>
        <v>28840.160000000003</v>
      </c>
      <c r="G991" s="338">
        <f t="shared" si="113"/>
        <v>32004.2</v>
      </c>
      <c r="H991" s="338">
        <f t="shared" si="114"/>
        <v>33863.32</v>
      </c>
    </row>
    <row r="992" spans="1:8" x14ac:dyDescent="0.25">
      <c r="A992" s="3">
        <v>27107</v>
      </c>
      <c r="B992" s="2" t="s">
        <v>976</v>
      </c>
      <c r="C992" s="5">
        <v>13.46</v>
      </c>
      <c r="D992" s="5">
        <v>11.81</v>
      </c>
      <c r="E992" s="47">
        <f t="shared" si="108"/>
        <v>520453.2436000001</v>
      </c>
      <c r="F992" s="327">
        <f t="shared" si="112"/>
        <v>500885.72000000003</v>
      </c>
      <c r="G992" s="338">
        <f t="shared" si="113"/>
        <v>555837.65</v>
      </c>
      <c r="H992" s="338">
        <f t="shared" si="114"/>
        <v>588126.19000000006</v>
      </c>
    </row>
    <row r="993" spans="1:8" x14ac:dyDescent="0.25">
      <c r="A993" s="3">
        <v>27108</v>
      </c>
      <c r="B993" s="2" t="s">
        <v>977</v>
      </c>
      <c r="C993" s="6">
        <v>2.9</v>
      </c>
      <c r="D993" s="5">
        <v>2.54</v>
      </c>
      <c r="E993" s="47">
        <f t="shared" si="108"/>
        <v>112133.31400000001</v>
      </c>
      <c r="F993" s="327">
        <f t="shared" si="112"/>
        <v>107726.48</v>
      </c>
      <c r="G993" s="338">
        <f t="shared" si="113"/>
        <v>119545.1</v>
      </c>
      <c r="H993" s="338">
        <f t="shared" si="114"/>
        <v>126489.46</v>
      </c>
    </row>
    <row r="994" spans="1:8" x14ac:dyDescent="0.25">
      <c r="A994" s="3">
        <v>27109</v>
      </c>
      <c r="B994" s="2" t="s">
        <v>978</v>
      </c>
      <c r="C994" s="5">
        <v>1.35</v>
      </c>
      <c r="D994" s="5">
        <v>1.18</v>
      </c>
      <c r="E994" s="47">
        <f t="shared" si="108"/>
        <v>52199.991000000009</v>
      </c>
      <c r="F994" s="327">
        <f t="shared" si="112"/>
        <v>50046.159999999996</v>
      </c>
      <c r="G994" s="338">
        <f t="shared" si="113"/>
        <v>55536.7</v>
      </c>
      <c r="H994" s="338">
        <f t="shared" si="114"/>
        <v>58762.82</v>
      </c>
    </row>
    <row r="995" spans="1:8" x14ac:dyDescent="0.25">
      <c r="A995" s="3">
        <v>27110</v>
      </c>
      <c r="B995" s="2" t="s">
        <v>979</v>
      </c>
      <c r="C995" s="5">
        <v>1.27</v>
      </c>
      <c r="D995" s="5">
        <v>1.1100000000000001</v>
      </c>
      <c r="E995" s="47">
        <f t="shared" si="108"/>
        <v>49106.658200000005</v>
      </c>
      <c r="F995" s="327">
        <f t="shared" si="112"/>
        <v>47077.320000000007</v>
      </c>
      <c r="G995" s="338">
        <f t="shared" si="113"/>
        <v>52242.15</v>
      </c>
      <c r="H995" s="338">
        <f t="shared" si="114"/>
        <v>55276.890000000007</v>
      </c>
    </row>
    <row r="996" spans="1:8" x14ac:dyDescent="0.25">
      <c r="A996" s="3">
        <v>27111</v>
      </c>
      <c r="B996" s="2" t="s">
        <v>980</v>
      </c>
      <c r="C996" s="6">
        <v>0.5</v>
      </c>
      <c r="D996" s="5">
        <v>0.44</v>
      </c>
      <c r="E996" s="47">
        <f t="shared" si="108"/>
        <v>19333.330000000002</v>
      </c>
      <c r="F996" s="327">
        <f t="shared" si="112"/>
        <v>18661.28</v>
      </c>
      <c r="G996" s="338">
        <f t="shared" si="113"/>
        <v>20708.599999999999</v>
      </c>
      <c r="H996" s="338">
        <f t="shared" si="114"/>
        <v>21911.56</v>
      </c>
    </row>
    <row r="997" spans="1:8" x14ac:dyDescent="0.25">
      <c r="A997" s="3">
        <v>27112</v>
      </c>
      <c r="B997" s="2" t="s">
        <v>981</v>
      </c>
      <c r="C997" s="6">
        <v>0.5</v>
      </c>
      <c r="D997" s="5">
        <v>0.44</v>
      </c>
      <c r="E997" s="47">
        <f t="shared" si="108"/>
        <v>19333.330000000002</v>
      </c>
      <c r="F997" s="327">
        <f t="shared" si="112"/>
        <v>18661.28</v>
      </c>
      <c r="G997" s="338">
        <f t="shared" si="113"/>
        <v>20708.599999999999</v>
      </c>
      <c r="H997" s="338">
        <f t="shared" si="114"/>
        <v>21911.56</v>
      </c>
    </row>
    <row r="998" spans="1:8" x14ac:dyDescent="0.25">
      <c r="A998" s="3">
        <v>27113</v>
      </c>
      <c r="B998" s="2" t="s">
        <v>982</v>
      </c>
      <c r="C998" s="5">
        <v>0.84</v>
      </c>
      <c r="D998" s="5">
        <v>0.74</v>
      </c>
      <c r="E998" s="47">
        <f t="shared" si="108"/>
        <v>32479.994400000003</v>
      </c>
      <c r="F998" s="327">
        <f t="shared" si="112"/>
        <v>31384.880000000001</v>
      </c>
      <c r="G998" s="338">
        <f t="shared" si="113"/>
        <v>34828.1</v>
      </c>
      <c r="H998" s="338">
        <f t="shared" si="114"/>
        <v>36851.26</v>
      </c>
    </row>
    <row r="999" spans="1:8" x14ac:dyDescent="0.25">
      <c r="A999" s="3">
        <v>27114</v>
      </c>
      <c r="B999" s="2" t="s">
        <v>983</v>
      </c>
      <c r="C999" s="5">
        <v>3.33</v>
      </c>
      <c r="D999" s="5">
        <v>2.92</v>
      </c>
      <c r="E999" s="47">
        <f t="shared" si="108"/>
        <v>128759.97780000001</v>
      </c>
      <c r="F999" s="327">
        <f t="shared" si="112"/>
        <v>123843.04</v>
      </c>
      <c r="G999" s="338">
        <f t="shared" si="113"/>
        <v>137429.79999999999</v>
      </c>
      <c r="H999" s="338">
        <f t="shared" si="114"/>
        <v>145413.07999999999</v>
      </c>
    </row>
    <row r="1000" spans="1:8" x14ac:dyDescent="0.25">
      <c r="A1000" s="3">
        <v>27115</v>
      </c>
      <c r="B1000" s="2" t="s">
        <v>984</v>
      </c>
      <c r="C1000" s="5">
        <v>0.84</v>
      </c>
      <c r="D1000" s="5">
        <v>0.74</v>
      </c>
      <c r="E1000" s="47">
        <f t="shared" si="108"/>
        <v>32479.994400000003</v>
      </c>
      <c r="F1000" s="327">
        <f t="shared" si="112"/>
        <v>31384.880000000001</v>
      </c>
      <c r="G1000" s="338">
        <f t="shared" si="113"/>
        <v>34828.1</v>
      </c>
      <c r="H1000" s="338">
        <f t="shared" si="114"/>
        <v>36851.26</v>
      </c>
    </row>
    <row r="1001" spans="1:8" x14ac:dyDescent="0.25">
      <c r="A1001" s="3">
        <v>27116</v>
      </c>
      <c r="B1001" s="2" t="s">
        <v>985</v>
      </c>
      <c r="C1001" s="5">
        <v>1.35</v>
      </c>
      <c r="D1001" s="5">
        <v>1.18</v>
      </c>
      <c r="E1001" s="47">
        <f t="shared" si="108"/>
        <v>52199.991000000009</v>
      </c>
      <c r="F1001" s="327">
        <f t="shared" si="112"/>
        <v>50046.159999999996</v>
      </c>
      <c r="G1001" s="338">
        <f t="shared" si="113"/>
        <v>55536.7</v>
      </c>
      <c r="H1001" s="338">
        <f t="shared" si="114"/>
        <v>58762.82</v>
      </c>
    </row>
    <row r="1002" spans="1:8" x14ac:dyDescent="0.25">
      <c r="A1002" s="3">
        <v>27117</v>
      </c>
      <c r="B1002" s="2" t="s">
        <v>986</v>
      </c>
      <c r="C1002" s="5">
        <v>3.75</v>
      </c>
      <c r="D1002" s="5">
        <v>3.29</v>
      </c>
      <c r="E1002" s="47">
        <f t="shared" si="108"/>
        <v>144999.97500000001</v>
      </c>
      <c r="F1002" s="327">
        <f t="shared" si="112"/>
        <v>139535.48000000001</v>
      </c>
      <c r="G1002" s="338">
        <f t="shared" si="113"/>
        <v>154843.85</v>
      </c>
      <c r="H1002" s="338">
        <f t="shared" si="114"/>
        <v>163838.71</v>
      </c>
    </row>
    <row r="1003" spans="1:8" x14ac:dyDescent="0.25">
      <c r="A1003" s="3">
        <v>27118</v>
      </c>
      <c r="B1003" s="2" t="s">
        <v>987</v>
      </c>
      <c r="C1003" s="5">
        <v>2.0299999999999998</v>
      </c>
      <c r="D1003" s="5">
        <v>1.78</v>
      </c>
      <c r="E1003" s="47">
        <f t="shared" si="108"/>
        <v>78493.319799999997</v>
      </c>
      <c r="F1003" s="327">
        <f t="shared" si="112"/>
        <v>75493.36</v>
      </c>
      <c r="G1003" s="338">
        <f t="shared" si="113"/>
        <v>83775.7</v>
      </c>
      <c r="H1003" s="338">
        <f t="shared" si="114"/>
        <v>88642.22</v>
      </c>
    </row>
    <row r="1004" spans="1:8" x14ac:dyDescent="0.25">
      <c r="A1004" s="3">
        <v>27119</v>
      </c>
      <c r="B1004" s="2" t="s">
        <v>988</v>
      </c>
      <c r="C1004" s="5">
        <v>2.0299999999999998</v>
      </c>
      <c r="D1004" s="5">
        <v>1.78</v>
      </c>
      <c r="E1004" s="47">
        <f t="shared" si="108"/>
        <v>78493.319799999997</v>
      </c>
      <c r="F1004" s="327">
        <f t="shared" si="112"/>
        <v>75493.36</v>
      </c>
      <c r="G1004" s="338">
        <f t="shared" si="113"/>
        <v>83775.7</v>
      </c>
      <c r="H1004" s="338">
        <f t="shared" si="114"/>
        <v>88642.22</v>
      </c>
    </row>
    <row r="1005" spans="1:8" x14ac:dyDescent="0.25">
      <c r="A1005" s="3">
        <v>27120</v>
      </c>
      <c r="B1005" s="2" t="s">
        <v>989</v>
      </c>
      <c r="C1005" s="5">
        <v>2.0299999999999998</v>
      </c>
      <c r="D1005" s="5">
        <v>1.78</v>
      </c>
      <c r="E1005" s="47">
        <f t="shared" si="108"/>
        <v>78493.319799999997</v>
      </c>
      <c r="F1005" s="327">
        <f t="shared" si="112"/>
        <v>75493.36</v>
      </c>
      <c r="G1005" s="338">
        <f t="shared" si="113"/>
        <v>83775.7</v>
      </c>
      <c r="H1005" s="338">
        <f t="shared" si="114"/>
        <v>88642.22</v>
      </c>
    </row>
    <row r="1006" spans="1:8" x14ac:dyDescent="0.25">
      <c r="A1006" s="3">
        <v>27121</v>
      </c>
      <c r="B1006" s="2" t="s">
        <v>990</v>
      </c>
      <c r="C1006" s="5">
        <v>2.71</v>
      </c>
      <c r="D1006" s="5">
        <v>2.38</v>
      </c>
      <c r="E1006" s="47">
        <f t="shared" si="108"/>
        <v>104786.64860000001</v>
      </c>
      <c r="F1006" s="327">
        <f t="shared" si="112"/>
        <v>100940.56</v>
      </c>
      <c r="G1006" s="338">
        <f t="shared" si="113"/>
        <v>112014.7</v>
      </c>
      <c r="H1006" s="338">
        <f t="shared" si="114"/>
        <v>118521.62</v>
      </c>
    </row>
    <row r="1007" spans="1:8" x14ac:dyDescent="0.25">
      <c r="A1007" s="3">
        <v>27122</v>
      </c>
      <c r="B1007" s="2" t="s">
        <v>991</v>
      </c>
      <c r="C1007" s="5">
        <v>5.08</v>
      </c>
      <c r="D1007" s="5">
        <v>4.46</v>
      </c>
      <c r="E1007" s="47">
        <f t="shared" si="108"/>
        <v>196426.63280000002</v>
      </c>
      <c r="F1007" s="327">
        <f t="shared" si="112"/>
        <v>189157.52</v>
      </c>
      <c r="G1007" s="338">
        <f t="shared" si="113"/>
        <v>209909.9</v>
      </c>
      <c r="H1007" s="338">
        <f t="shared" si="114"/>
        <v>222103.54</v>
      </c>
    </row>
    <row r="1008" spans="1:8" x14ac:dyDescent="0.25">
      <c r="A1008" s="3">
        <v>27123</v>
      </c>
      <c r="B1008" s="2" t="s">
        <v>992</v>
      </c>
      <c r="C1008" s="5">
        <v>2.0299999999999998</v>
      </c>
      <c r="D1008" s="5">
        <v>1.78</v>
      </c>
      <c r="E1008" s="47">
        <f t="shared" si="108"/>
        <v>78493.319799999997</v>
      </c>
      <c r="F1008" s="327">
        <f t="shared" si="112"/>
        <v>75493.36</v>
      </c>
      <c r="G1008" s="338">
        <f t="shared" si="113"/>
        <v>83775.7</v>
      </c>
      <c r="H1008" s="338">
        <f t="shared" si="114"/>
        <v>88642.22</v>
      </c>
    </row>
    <row r="1009" spans="1:8" x14ac:dyDescent="0.25">
      <c r="A1009" s="3">
        <v>27124</v>
      </c>
      <c r="B1009" s="2" t="s">
        <v>993</v>
      </c>
      <c r="C1009" s="5">
        <v>10.11</v>
      </c>
      <c r="D1009" s="5">
        <v>8.8699999999999992</v>
      </c>
      <c r="E1009" s="47">
        <f t="shared" si="108"/>
        <v>390919.9326</v>
      </c>
      <c r="F1009" s="327">
        <f t="shared" si="112"/>
        <v>376194.43999999994</v>
      </c>
      <c r="G1009" s="338">
        <f t="shared" si="113"/>
        <v>417466.55</v>
      </c>
      <c r="H1009" s="338">
        <f t="shared" si="114"/>
        <v>441717.12999999995</v>
      </c>
    </row>
    <row r="1010" spans="1:8" x14ac:dyDescent="0.25">
      <c r="A1010" s="3">
        <v>27125</v>
      </c>
      <c r="B1010" s="2" t="s">
        <v>994</v>
      </c>
      <c r="C1010" s="5">
        <v>0.84</v>
      </c>
      <c r="D1010" s="5">
        <v>0.74</v>
      </c>
      <c r="E1010" s="47">
        <f t="shared" si="108"/>
        <v>32479.994400000003</v>
      </c>
      <c r="F1010" s="327">
        <f t="shared" si="112"/>
        <v>31384.880000000001</v>
      </c>
      <c r="G1010" s="338">
        <f t="shared" si="113"/>
        <v>34828.1</v>
      </c>
      <c r="H1010" s="338">
        <f t="shared" si="114"/>
        <v>36851.26</v>
      </c>
    </row>
    <row r="1011" spans="1:8" x14ac:dyDescent="0.25">
      <c r="A1011" s="3">
        <v>27126</v>
      </c>
      <c r="B1011" s="2" t="s">
        <v>995</v>
      </c>
      <c r="C1011" s="5">
        <v>0.84</v>
      </c>
      <c r="D1011" s="5">
        <v>0.74</v>
      </c>
      <c r="E1011" s="47">
        <f t="shared" si="108"/>
        <v>32479.994400000003</v>
      </c>
      <c r="F1011" s="327">
        <f t="shared" si="112"/>
        <v>31384.880000000001</v>
      </c>
      <c r="G1011" s="338">
        <f t="shared" si="113"/>
        <v>34828.1</v>
      </c>
      <c r="H1011" s="338">
        <f t="shared" si="114"/>
        <v>36851.26</v>
      </c>
    </row>
    <row r="1012" spans="1:8" x14ac:dyDescent="0.25">
      <c r="A1012" s="3">
        <v>27127</v>
      </c>
      <c r="B1012" s="2" t="s">
        <v>996</v>
      </c>
      <c r="C1012" s="5">
        <v>2.12</v>
      </c>
      <c r="D1012" s="5">
        <v>1.86</v>
      </c>
      <c r="E1012" s="47">
        <f t="shared" si="108"/>
        <v>81973.319200000013</v>
      </c>
      <c r="F1012" s="327">
        <f t="shared" si="112"/>
        <v>78886.320000000007</v>
      </c>
      <c r="G1012" s="338">
        <f t="shared" si="113"/>
        <v>87540.900000000009</v>
      </c>
      <c r="H1012" s="338">
        <f t="shared" si="114"/>
        <v>92626.14</v>
      </c>
    </row>
    <row r="1013" spans="1:8" x14ac:dyDescent="0.25">
      <c r="A1013" s="3">
        <v>27128</v>
      </c>
      <c r="B1013" s="2" t="s">
        <v>997</v>
      </c>
      <c r="C1013" s="5">
        <v>4.0599999999999996</v>
      </c>
      <c r="D1013" s="5">
        <v>3.56</v>
      </c>
      <c r="E1013" s="47">
        <f t="shared" si="108"/>
        <v>156986.63959999999</v>
      </c>
      <c r="F1013" s="327">
        <f t="shared" si="112"/>
        <v>150986.72</v>
      </c>
      <c r="G1013" s="338">
        <f t="shared" si="113"/>
        <v>167551.4</v>
      </c>
      <c r="H1013" s="338">
        <f t="shared" si="114"/>
        <v>177284.44</v>
      </c>
    </row>
    <row r="1014" spans="1:8" x14ac:dyDescent="0.25">
      <c r="A1014" s="3">
        <v>27129</v>
      </c>
      <c r="B1014" s="2" t="s">
        <v>998</v>
      </c>
      <c r="C1014" s="5">
        <v>10.17</v>
      </c>
      <c r="D1014" s="5">
        <v>8.92</v>
      </c>
      <c r="E1014" s="47">
        <f t="shared" si="108"/>
        <v>393239.93220000004</v>
      </c>
      <c r="F1014" s="327">
        <f t="shared" si="112"/>
        <v>378315.04</v>
      </c>
      <c r="G1014" s="338">
        <f t="shared" si="113"/>
        <v>419819.8</v>
      </c>
      <c r="H1014" s="338">
        <f t="shared" si="114"/>
        <v>444207.08</v>
      </c>
    </row>
    <row r="1015" spans="1:8" x14ac:dyDescent="0.25">
      <c r="A1015" s="3">
        <v>27130</v>
      </c>
      <c r="B1015" s="2" t="s">
        <v>999</v>
      </c>
      <c r="C1015" s="5">
        <v>1.69</v>
      </c>
      <c r="D1015" s="5">
        <v>1.48</v>
      </c>
      <c r="E1015" s="47">
        <f t="shared" si="108"/>
        <v>65346.655400000003</v>
      </c>
      <c r="F1015" s="327">
        <f t="shared" si="112"/>
        <v>62769.760000000002</v>
      </c>
      <c r="G1015" s="338">
        <f t="shared" si="113"/>
        <v>69656.2</v>
      </c>
      <c r="H1015" s="338">
        <f t="shared" si="114"/>
        <v>73702.52</v>
      </c>
    </row>
    <row r="1016" spans="1:8" ht="14.4" thickBot="1" x14ac:dyDescent="0.3">
      <c r="A1016" s="8">
        <v>27131</v>
      </c>
      <c r="B1016" s="9" t="s">
        <v>1000</v>
      </c>
      <c r="C1016" s="10">
        <v>5.58</v>
      </c>
      <c r="D1016" s="10">
        <v>4.8899999999999997</v>
      </c>
      <c r="E1016" s="47">
        <f t="shared" si="108"/>
        <v>215759.96280000001</v>
      </c>
      <c r="F1016" s="327">
        <f t="shared" si="112"/>
        <v>207394.68</v>
      </c>
      <c r="G1016" s="338">
        <f t="shared" si="113"/>
        <v>230147.84999999998</v>
      </c>
      <c r="H1016" s="338">
        <f t="shared" si="114"/>
        <v>243517.11</v>
      </c>
    </row>
    <row r="1017" spans="1:8" ht="14.4" thickBot="1" x14ac:dyDescent="0.3">
      <c r="A1017" s="17" t="s">
        <v>1001</v>
      </c>
      <c r="B1017" s="92"/>
      <c r="C1017" s="354" t="s">
        <v>3476</v>
      </c>
      <c r="D1017" s="354" t="s">
        <v>3476</v>
      </c>
      <c r="E1017" s="354" t="s">
        <v>3476</v>
      </c>
      <c r="F1017" s="354" t="s">
        <v>3476</v>
      </c>
      <c r="G1017" s="355" t="s">
        <v>3476</v>
      </c>
      <c r="H1017" s="356" t="s">
        <v>3476</v>
      </c>
    </row>
    <row r="1018" spans="1:8" x14ac:dyDescent="0.25">
      <c r="A1018" s="3">
        <v>28101</v>
      </c>
      <c r="B1018" s="2" t="s">
        <v>1003</v>
      </c>
      <c r="C1018" s="5">
        <v>6.76</v>
      </c>
      <c r="D1018" s="5">
        <v>5.93</v>
      </c>
      <c r="E1018" s="47">
        <f t="shared" si="108"/>
        <v>261386.62160000001</v>
      </c>
      <c r="F1018" s="327">
        <f t="shared" ref="F1018:F1051" si="115">+$D1018*$F$2</f>
        <v>251503.15999999997</v>
      </c>
      <c r="G1018" s="338">
        <f t="shared" ref="G1018:G1051" si="116">+$D1018*$G$2</f>
        <v>279095.45</v>
      </c>
      <c r="H1018" s="338">
        <f t="shared" ref="H1018:H1051" si="117">+$D1018*$H$2</f>
        <v>295308.07</v>
      </c>
    </row>
    <row r="1019" spans="1:8" x14ac:dyDescent="0.25">
      <c r="A1019" s="3">
        <v>28102</v>
      </c>
      <c r="B1019" s="2" t="s">
        <v>1004</v>
      </c>
      <c r="C1019" s="5">
        <v>9.1300000000000008</v>
      </c>
      <c r="D1019" s="5">
        <v>8.01</v>
      </c>
      <c r="E1019" s="47">
        <f t="shared" si="108"/>
        <v>353026.60580000008</v>
      </c>
      <c r="F1019" s="327">
        <f t="shared" si="115"/>
        <v>339720.12</v>
      </c>
      <c r="G1019" s="338">
        <f t="shared" si="116"/>
        <v>376990.64999999997</v>
      </c>
      <c r="H1019" s="338">
        <f t="shared" si="117"/>
        <v>398889.99</v>
      </c>
    </row>
    <row r="1020" spans="1:8" x14ac:dyDescent="0.25">
      <c r="A1020" s="3">
        <v>28103</v>
      </c>
      <c r="B1020" s="2" t="s">
        <v>1005</v>
      </c>
      <c r="C1020" s="5">
        <v>19.27</v>
      </c>
      <c r="D1020" s="5">
        <v>16.899999999999999</v>
      </c>
      <c r="E1020" s="47">
        <f t="shared" si="108"/>
        <v>745106.53820000007</v>
      </c>
      <c r="F1020" s="327">
        <f t="shared" si="115"/>
        <v>716762.79999999993</v>
      </c>
      <c r="G1020" s="338">
        <f t="shared" si="116"/>
        <v>795398.49999999988</v>
      </c>
      <c r="H1020" s="338">
        <f t="shared" si="117"/>
        <v>841603.1</v>
      </c>
    </row>
    <row r="1021" spans="1:8" x14ac:dyDescent="0.25">
      <c r="A1021" s="3">
        <v>28104</v>
      </c>
      <c r="B1021" s="2" t="s">
        <v>1006</v>
      </c>
      <c r="C1021" s="5">
        <v>2.63</v>
      </c>
      <c r="D1021" s="5">
        <v>2.31</v>
      </c>
      <c r="E1021" s="47">
        <f t="shared" si="108"/>
        <v>101693.31580000001</v>
      </c>
      <c r="F1021" s="327">
        <f t="shared" si="115"/>
        <v>97971.72</v>
      </c>
      <c r="G1021" s="338">
        <f t="shared" si="116"/>
        <v>108720.15000000001</v>
      </c>
      <c r="H1021" s="338">
        <f t="shared" si="117"/>
        <v>115035.69</v>
      </c>
    </row>
    <row r="1022" spans="1:8" x14ac:dyDescent="0.25">
      <c r="A1022" s="3">
        <v>28105</v>
      </c>
      <c r="B1022" s="2" t="s">
        <v>1007</v>
      </c>
      <c r="C1022" s="5">
        <v>4.97</v>
      </c>
      <c r="D1022" s="5">
        <v>4.3600000000000003</v>
      </c>
      <c r="E1022" s="47">
        <f t="shared" si="108"/>
        <v>192173.3002</v>
      </c>
      <c r="F1022" s="327">
        <f t="shared" si="115"/>
        <v>184916.32</v>
      </c>
      <c r="G1022" s="338">
        <f t="shared" si="116"/>
        <v>205203.40000000002</v>
      </c>
      <c r="H1022" s="338">
        <f t="shared" si="117"/>
        <v>217123.64</v>
      </c>
    </row>
    <row r="1023" spans="1:8" x14ac:dyDescent="0.25">
      <c r="A1023" s="3">
        <v>28106</v>
      </c>
      <c r="B1023" s="2" t="s">
        <v>1008</v>
      </c>
      <c r="C1023" s="5">
        <v>2.1800000000000002</v>
      </c>
      <c r="D1023" s="5">
        <v>1.91</v>
      </c>
      <c r="E1023" s="47">
        <f t="shared" si="108"/>
        <v>84293.318800000008</v>
      </c>
      <c r="F1023" s="327">
        <f t="shared" si="115"/>
        <v>81006.92</v>
      </c>
      <c r="G1023" s="338">
        <f t="shared" si="116"/>
        <v>89894.15</v>
      </c>
      <c r="H1023" s="338">
        <f t="shared" si="117"/>
        <v>95116.09</v>
      </c>
    </row>
    <row r="1024" spans="1:8" x14ac:dyDescent="0.25">
      <c r="A1024" s="3">
        <v>28107</v>
      </c>
      <c r="B1024" s="2" t="s">
        <v>1009</v>
      </c>
      <c r="C1024" s="5">
        <v>2.1800000000000002</v>
      </c>
      <c r="D1024" s="5">
        <v>1.91</v>
      </c>
      <c r="E1024" s="47">
        <f t="shared" si="108"/>
        <v>84293.318800000008</v>
      </c>
      <c r="F1024" s="327">
        <f t="shared" si="115"/>
        <v>81006.92</v>
      </c>
      <c r="G1024" s="338">
        <f t="shared" si="116"/>
        <v>89894.15</v>
      </c>
      <c r="H1024" s="338">
        <f t="shared" si="117"/>
        <v>95116.09</v>
      </c>
    </row>
    <row r="1025" spans="1:8" x14ac:dyDescent="0.25">
      <c r="A1025" s="3">
        <v>28108</v>
      </c>
      <c r="B1025" s="2" t="s">
        <v>1010</v>
      </c>
      <c r="C1025" s="5">
        <v>2.1800000000000002</v>
      </c>
      <c r="D1025" s="5">
        <v>1.91</v>
      </c>
      <c r="E1025" s="47">
        <f t="shared" si="108"/>
        <v>84293.318800000008</v>
      </c>
      <c r="F1025" s="327">
        <f t="shared" si="115"/>
        <v>81006.92</v>
      </c>
      <c r="G1025" s="338">
        <f t="shared" si="116"/>
        <v>89894.15</v>
      </c>
      <c r="H1025" s="338">
        <f t="shared" si="117"/>
        <v>95116.09</v>
      </c>
    </row>
    <row r="1026" spans="1:8" x14ac:dyDescent="0.25">
      <c r="A1026" s="3">
        <v>28109</v>
      </c>
      <c r="B1026" s="2" t="s">
        <v>1011</v>
      </c>
      <c r="C1026" s="5">
        <v>2.34</v>
      </c>
      <c r="D1026" s="5">
        <v>2.0499999999999998</v>
      </c>
      <c r="E1026" s="47">
        <f t="shared" si="108"/>
        <v>90479.984400000001</v>
      </c>
      <c r="F1026" s="327">
        <f t="shared" si="115"/>
        <v>86944.599999999991</v>
      </c>
      <c r="G1026" s="338">
        <f t="shared" si="116"/>
        <v>96483.249999999985</v>
      </c>
      <c r="H1026" s="338">
        <f t="shared" si="117"/>
        <v>102087.95</v>
      </c>
    </row>
    <row r="1027" spans="1:8" x14ac:dyDescent="0.25">
      <c r="A1027" s="3">
        <v>28110</v>
      </c>
      <c r="B1027" s="2" t="s">
        <v>1012</v>
      </c>
      <c r="C1027" s="5">
        <v>1.83</v>
      </c>
      <c r="D1027" s="5">
        <v>1.61</v>
      </c>
      <c r="E1027" s="47">
        <f t="shared" si="108"/>
        <v>70759.987800000003</v>
      </c>
      <c r="F1027" s="327">
        <f t="shared" si="115"/>
        <v>68283.320000000007</v>
      </c>
      <c r="G1027" s="338">
        <f t="shared" si="116"/>
        <v>75774.650000000009</v>
      </c>
      <c r="H1027" s="338">
        <f t="shared" si="117"/>
        <v>80176.39</v>
      </c>
    </row>
    <row r="1028" spans="1:8" x14ac:dyDescent="0.25">
      <c r="A1028" s="3">
        <v>28111</v>
      </c>
      <c r="B1028" s="2" t="s">
        <v>1013</v>
      </c>
      <c r="C1028" s="5">
        <v>3.64</v>
      </c>
      <c r="D1028" s="5">
        <v>3.19</v>
      </c>
      <c r="E1028" s="47">
        <f t="shared" si="108"/>
        <v>140746.64240000001</v>
      </c>
      <c r="F1028" s="327">
        <f t="shared" si="115"/>
        <v>135294.28</v>
      </c>
      <c r="G1028" s="338">
        <f t="shared" si="116"/>
        <v>150137.35</v>
      </c>
      <c r="H1028" s="338">
        <f t="shared" si="117"/>
        <v>158858.81</v>
      </c>
    </row>
    <row r="1029" spans="1:8" x14ac:dyDescent="0.25">
      <c r="A1029" s="3">
        <v>28112</v>
      </c>
      <c r="B1029" s="2" t="s">
        <v>1014</v>
      </c>
      <c r="C1029" s="5">
        <v>2.1800000000000002</v>
      </c>
      <c r="D1029" s="5">
        <v>1.91</v>
      </c>
      <c r="E1029" s="47">
        <f t="shared" si="108"/>
        <v>84293.318800000008</v>
      </c>
      <c r="F1029" s="327">
        <f t="shared" si="115"/>
        <v>81006.92</v>
      </c>
      <c r="G1029" s="338">
        <f t="shared" si="116"/>
        <v>89894.15</v>
      </c>
      <c r="H1029" s="338">
        <f t="shared" si="117"/>
        <v>95116.09</v>
      </c>
    </row>
    <row r="1030" spans="1:8" x14ac:dyDescent="0.25">
      <c r="A1030" s="3">
        <v>28113</v>
      </c>
      <c r="B1030" s="2" t="s">
        <v>1015</v>
      </c>
      <c r="C1030" s="5">
        <v>2.1800000000000002</v>
      </c>
      <c r="D1030" s="5">
        <v>1.91</v>
      </c>
      <c r="E1030" s="47">
        <f t="shared" si="108"/>
        <v>84293.318800000008</v>
      </c>
      <c r="F1030" s="327">
        <f t="shared" si="115"/>
        <v>81006.92</v>
      </c>
      <c r="G1030" s="338">
        <f t="shared" si="116"/>
        <v>89894.15</v>
      </c>
      <c r="H1030" s="338">
        <f t="shared" si="117"/>
        <v>95116.09</v>
      </c>
    </row>
    <row r="1031" spans="1:8" x14ac:dyDescent="0.25">
      <c r="A1031" s="3">
        <v>28114</v>
      </c>
      <c r="B1031" s="2" t="s">
        <v>1016</v>
      </c>
      <c r="C1031" s="5">
        <v>1.69</v>
      </c>
      <c r="D1031" s="5">
        <v>1.48</v>
      </c>
      <c r="E1031" s="47">
        <f t="shared" si="108"/>
        <v>65346.655400000003</v>
      </c>
      <c r="F1031" s="327">
        <f t="shared" si="115"/>
        <v>62769.760000000002</v>
      </c>
      <c r="G1031" s="338">
        <f t="shared" si="116"/>
        <v>69656.2</v>
      </c>
      <c r="H1031" s="338">
        <f t="shared" si="117"/>
        <v>73702.52</v>
      </c>
    </row>
    <row r="1032" spans="1:8" x14ac:dyDescent="0.25">
      <c r="A1032" s="3">
        <v>28115</v>
      </c>
      <c r="B1032" s="2" t="s">
        <v>1017</v>
      </c>
      <c r="C1032" s="5">
        <v>2.16</v>
      </c>
      <c r="D1032" s="5">
        <v>1.89</v>
      </c>
      <c r="E1032" s="47">
        <f t="shared" ref="E1032:E1051" si="118">+$C1032*$E$2</f>
        <v>83519.985600000015</v>
      </c>
      <c r="F1032" s="327">
        <f t="shared" si="115"/>
        <v>80158.679999999993</v>
      </c>
      <c r="G1032" s="338">
        <f t="shared" si="116"/>
        <v>88952.849999999991</v>
      </c>
      <c r="H1032" s="338">
        <f t="shared" si="117"/>
        <v>94120.11</v>
      </c>
    </row>
    <row r="1033" spans="1:8" x14ac:dyDescent="0.25">
      <c r="A1033" s="3">
        <v>28116</v>
      </c>
      <c r="B1033" s="2" t="s">
        <v>1018</v>
      </c>
      <c r="C1033" s="6">
        <v>0.5</v>
      </c>
      <c r="D1033" s="5">
        <v>0.44</v>
      </c>
      <c r="E1033" s="47">
        <f t="shared" si="118"/>
        <v>19333.330000000002</v>
      </c>
      <c r="F1033" s="327">
        <f t="shared" si="115"/>
        <v>18661.28</v>
      </c>
      <c r="G1033" s="338">
        <f t="shared" si="116"/>
        <v>20708.599999999999</v>
      </c>
      <c r="H1033" s="338">
        <f t="shared" si="117"/>
        <v>21911.56</v>
      </c>
    </row>
    <row r="1034" spans="1:8" x14ac:dyDescent="0.25">
      <c r="A1034" s="3">
        <v>28117</v>
      </c>
      <c r="B1034" s="2" t="s">
        <v>1019</v>
      </c>
      <c r="C1034" s="6">
        <v>0.5</v>
      </c>
      <c r="D1034" s="5">
        <v>0.44</v>
      </c>
      <c r="E1034" s="47">
        <f t="shared" si="118"/>
        <v>19333.330000000002</v>
      </c>
      <c r="F1034" s="327">
        <f t="shared" si="115"/>
        <v>18661.28</v>
      </c>
      <c r="G1034" s="338">
        <f t="shared" si="116"/>
        <v>20708.599999999999</v>
      </c>
      <c r="H1034" s="338">
        <f t="shared" si="117"/>
        <v>21911.56</v>
      </c>
    </row>
    <row r="1035" spans="1:8" x14ac:dyDescent="0.25">
      <c r="A1035" s="3">
        <v>28118</v>
      </c>
      <c r="B1035" s="2" t="s">
        <v>1020</v>
      </c>
      <c r="C1035" s="5">
        <v>4.5599999999999996</v>
      </c>
      <c r="D1035" s="5">
        <v>4</v>
      </c>
      <c r="E1035" s="47">
        <f t="shared" si="118"/>
        <v>176319.96960000001</v>
      </c>
      <c r="F1035" s="327">
        <f t="shared" si="115"/>
        <v>169648</v>
      </c>
      <c r="G1035" s="338">
        <f t="shared" si="116"/>
        <v>188260</v>
      </c>
      <c r="H1035" s="338">
        <f t="shared" si="117"/>
        <v>199196</v>
      </c>
    </row>
    <row r="1036" spans="1:8" x14ac:dyDescent="0.25">
      <c r="A1036" s="3">
        <v>28119</v>
      </c>
      <c r="B1036" s="2" t="s">
        <v>1021</v>
      </c>
      <c r="C1036" s="5">
        <v>4.5599999999999996</v>
      </c>
      <c r="D1036" s="5">
        <v>4</v>
      </c>
      <c r="E1036" s="47">
        <f t="shared" si="118"/>
        <v>176319.96960000001</v>
      </c>
      <c r="F1036" s="327">
        <f t="shared" si="115"/>
        <v>169648</v>
      </c>
      <c r="G1036" s="338">
        <f t="shared" si="116"/>
        <v>188260</v>
      </c>
      <c r="H1036" s="338">
        <f t="shared" si="117"/>
        <v>199196</v>
      </c>
    </row>
    <row r="1037" spans="1:8" x14ac:dyDescent="0.25">
      <c r="A1037" s="3">
        <v>28120</v>
      </c>
      <c r="B1037" s="2" t="s">
        <v>1022</v>
      </c>
      <c r="C1037" s="5">
        <v>1.1299999999999999</v>
      </c>
      <c r="D1037" s="5">
        <v>0.99</v>
      </c>
      <c r="E1037" s="47">
        <f t="shared" si="118"/>
        <v>43693.325799999999</v>
      </c>
      <c r="F1037" s="327">
        <f t="shared" si="115"/>
        <v>41987.88</v>
      </c>
      <c r="G1037" s="338">
        <f t="shared" si="116"/>
        <v>46594.35</v>
      </c>
      <c r="H1037" s="338">
        <f t="shared" si="117"/>
        <v>49301.01</v>
      </c>
    </row>
    <row r="1038" spans="1:8" x14ac:dyDescent="0.25">
      <c r="A1038" s="3">
        <v>28122</v>
      </c>
      <c r="B1038" s="2" t="s">
        <v>1023</v>
      </c>
      <c r="C1038" s="5">
        <v>3.49</v>
      </c>
      <c r="D1038" s="5">
        <v>3.06</v>
      </c>
      <c r="E1038" s="47">
        <f t="shared" si="118"/>
        <v>134946.64340000003</v>
      </c>
      <c r="F1038" s="327">
        <f t="shared" si="115"/>
        <v>129780.72</v>
      </c>
      <c r="G1038" s="338">
        <f t="shared" si="116"/>
        <v>144018.9</v>
      </c>
      <c r="H1038" s="338">
        <f t="shared" si="117"/>
        <v>152384.94</v>
      </c>
    </row>
    <row r="1039" spans="1:8" x14ac:dyDescent="0.25">
      <c r="A1039" s="3">
        <v>28123</v>
      </c>
      <c r="B1039" s="2" t="s">
        <v>1024</v>
      </c>
      <c r="C1039" s="5">
        <v>3.49</v>
      </c>
      <c r="D1039" s="5">
        <v>3.06</v>
      </c>
      <c r="E1039" s="47">
        <f t="shared" si="118"/>
        <v>134946.64340000003</v>
      </c>
      <c r="F1039" s="327">
        <f t="shared" si="115"/>
        <v>129780.72</v>
      </c>
      <c r="G1039" s="338">
        <f t="shared" si="116"/>
        <v>144018.9</v>
      </c>
      <c r="H1039" s="338">
        <f t="shared" si="117"/>
        <v>152384.94</v>
      </c>
    </row>
    <row r="1040" spans="1:8" x14ac:dyDescent="0.25">
      <c r="A1040" s="3">
        <v>28124</v>
      </c>
      <c r="B1040" s="2" t="s">
        <v>1025</v>
      </c>
      <c r="C1040" s="5">
        <v>17.510000000000002</v>
      </c>
      <c r="D1040" s="5">
        <v>15.36</v>
      </c>
      <c r="E1040" s="47">
        <f t="shared" si="118"/>
        <v>677053.21660000016</v>
      </c>
      <c r="F1040" s="327">
        <f t="shared" si="115"/>
        <v>651448.31999999995</v>
      </c>
      <c r="G1040" s="338">
        <f t="shared" si="116"/>
        <v>722918.40000000002</v>
      </c>
      <c r="H1040" s="338">
        <f t="shared" si="117"/>
        <v>764912.64000000001</v>
      </c>
    </row>
    <row r="1041" spans="1:8" x14ac:dyDescent="0.25">
      <c r="A1041" s="3">
        <v>28126</v>
      </c>
      <c r="B1041" s="2" t="s">
        <v>1026</v>
      </c>
      <c r="C1041" s="5">
        <v>17.510000000000002</v>
      </c>
      <c r="D1041" s="5">
        <v>15.36</v>
      </c>
      <c r="E1041" s="47">
        <f t="shared" si="118"/>
        <v>677053.21660000016</v>
      </c>
      <c r="F1041" s="327">
        <f t="shared" si="115"/>
        <v>651448.31999999995</v>
      </c>
      <c r="G1041" s="338">
        <f t="shared" si="116"/>
        <v>722918.40000000002</v>
      </c>
      <c r="H1041" s="338">
        <f t="shared" si="117"/>
        <v>764912.64000000001</v>
      </c>
    </row>
    <row r="1042" spans="1:8" x14ac:dyDescent="0.25">
      <c r="A1042" s="3">
        <v>28127</v>
      </c>
      <c r="B1042" s="2" t="s">
        <v>1027</v>
      </c>
      <c r="C1042" s="5">
        <v>2.4300000000000002</v>
      </c>
      <c r="D1042" s="5">
        <v>2.13</v>
      </c>
      <c r="E1042" s="47">
        <f t="shared" si="118"/>
        <v>93959.983800000016</v>
      </c>
      <c r="F1042" s="327">
        <f t="shared" si="115"/>
        <v>90337.56</v>
      </c>
      <c r="G1042" s="338">
        <f t="shared" si="116"/>
        <v>100248.45</v>
      </c>
      <c r="H1042" s="338">
        <f t="shared" si="117"/>
        <v>106071.87</v>
      </c>
    </row>
    <row r="1043" spans="1:8" x14ac:dyDescent="0.25">
      <c r="A1043" s="3">
        <v>28128</v>
      </c>
      <c r="B1043" s="2" t="s">
        <v>1028</v>
      </c>
      <c r="C1043" s="5">
        <v>3.63</v>
      </c>
      <c r="D1043" s="5">
        <v>3.18</v>
      </c>
      <c r="E1043" s="47">
        <f t="shared" si="118"/>
        <v>140359.97580000001</v>
      </c>
      <c r="F1043" s="327">
        <f t="shared" si="115"/>
        <v>134870.16</v>
      </c>
      <c r="G1043" s="338">
        <f t="shared" si="116"/>
        <v>149666.70000000001</v>
      </c>
      <c r="H1043" s="338">
        <f t="shared" si="117"/>
        <v>158360.82</v>
      </c>
    </row>
    <row r="1044" spans="1:8" x14ac:dyDescent="0.25">
      <c r="A1044" s="3">
        <v>28129</v>
      </c>
      <c r="B1044" s="2" t="s">
        <v>1029</v>
      </c>
      <c r="C1044" s="5">
        <v>2.4700000000000002</v>
      </c>
      <c r="D1044" s="5">
        <v>2.17</v>
      </c>
      <c r="E1044" s="47">
        <f t="shared" si="118"/>
        <v>95506.650200000018</v>
      </c>
      <c r="F1044" s="327">
        <f t="shared" si="115"/>
        <v>92034.04</v>
      </c>
      <c r="G1044" s="338">
        <f t="shared" si="116"/>
        <v>102131.05</v>
      </c>
      <c r="H1044" s="338">
        <f t="shared" si="117"/>
        <v>108063.83</v>
      </c>
    </row>
    <row r="1045" spans="1:8" x14ac:dyDescent="0.25">
      <c r="A1045" s="3">
        <v>28130</v>
      </c>
      <c r="B1045" s="2" t="s">
        <v>1030</v>
      </c>
      <c r="C1045" s="5">
        <v>6.35</v>
      </c>
      <c r="D1045" s="5">
        <v>5.57</v>
      </c>
      <c r="E1045" s="47">
        <f t="shared" si="118"/>
        <v>245533.291</v>
      </c>
      <c r="F1045" s="327">
        <f t="shared" si="115"/>
        <v>236234.84000000003</v>
      </c>
      <c r="G1045" s="338">
        <f t="shared" si="116"/>
        <v>262152.05</v>
      </c>
      <c r="H1045" s="338">
        <f t="shared" si="117"/>
        <v>277380.43</v>
      </c>
    </row>
    <row r="1046" spans="1:8" x14ac:dyDescent="0.25">
      <c r="A1046" s="3">
        <v>28131</v>
      </c>
      <c r="B1046" s="2" t="s">
        <v>1031</v>
      </c>
      <c r="C1046" s="5">
        <v>1.85</v>
      </c>
      <c r="D1046" s="5">
        <v>1.62</v>
      </c>
      <c r="E1046" s="47">
        <f t="shared" si="118"/>
        <v>71533.321000000011</v>
      </c>
      <c r="F1046" s="327">
        <f t="shared" si="115"/>
        <v>68707.44</v>
      </c>
      <c r="G1046" s="338">
        <f t="shared" si="116"/>
        <v>76245.3</v>
      </c>
      <c r="H1046" s="338">
        <f t="shared" si="117"/>
        <v>80674.38</v>
      </c>
    </row>
    <row r="1047" spans="1:8" x14ac:dyDescent="0.25">
      <c r="A1047" s="3">
        <v>28132</v>
      </c>
      <c r="B1047" s="2" t="s">
        <v>1032</v>
      </c>
      <c r="C1047" s="5">
        <v>1.85</v>
      </c>
      <c r="D1047" s="5">
        <v>1.62</v>
      </c>
      <c r="E1047" s="47">
        <f t="shared" si="118"/>
        <v>71533.321000000011</v>
      </c>
      <c r="F1047" s="327">
        <f t="shared" si="115"/>
        <v>68707.44</v>
      </c>
      <c r="G1047" s="338">
        <f t="shared" si="116"/>
        <v>76245.3</v>
      </c>
      <c r="H1047" s="338">
        <f t="shared" si="117"/>
        <v>80674.38</v>
      </c>
    </row>
    <row r="1048" spans="1:8" x14ac:dyDescent="0.25">
      <c r="A1048" s="3">
        <v>28133</v>
      </c>
      <c r="B1048" s="2" t="s">
        <v>1033</v>
      </c>
      <c r="C1048" s="5">
        <v>26.76</v>
      </c>
      <c r="D1048" s="5">
        <v>23.47</v>
      </c>
      <c r="E1048" s="47">
        <f t="shared" si="118"/>
        <v>1034719.8216000001</v>
      </c>
      <c r="F1048" s="327">
        <f t="shared" si="115"/>
        <v>995409.6399999999</v>
      </c>
      <c r="G1048" s="338">
        <f t="shared" si="116"/>
        <v>1104615.55</v>
      </c>
      <c r="H1048" s="338">
        <f t="shared" si="117"/>
        <v>1168782.53</v>
      </c>
    </row>
    <row r="1049" spans="1:8" x14ac:dyDescent="0.25">
      <c r="A1049" s="3">
        <v>28134</v>
      </c>
      <c r="B1049" s="2" t="s">
        <v>1034</v>
      </c>
      <c r="C1049" s="5">
        <v>26.76</v>
      </c>
      <c r="D1049" s="5">
        <v>23.47</v>
      </c>
      <c r="E1049" s="47">
        <f t="shared" si="118"/>
        <v>1034719.8216000001</v>
      </c>
      <c r="F1049" s="327">
        <f t="shared" si="115"/>
        <v>995409.6399999999</v>
      </c>
      <c r="G1049" s="338">
        <f t="shared" si="116"/>
        <v>1104615.55</v>
      </c>
      <c r="H1049" s="338">
        <f t="shared" si="117"/>
        <v>1168782.53</v>
      </c>
    </row>
    <row r="1050" spans="1:8" x14ac:dyDescent="0.25">
      <c r="A1050" s="3">
        <v>28135</v>
      </c>
      <c r="B1050" s="2" t="s">
        <v>1035</v>
      </c>
      <c r="C1050" s="5">
        <v>29.58</v>
      </c>
      <c r="D1050" s="5">
        <v>25.94</v>
      </c>
      <c r="E1050" s="47">
        <f t="shared" si="118"/>
        <v>1143759.8027999999</v>
      </c>
      <c r="F1050" s="327">
        <f t="shared" si="115"/>
        <v>1100167.28</v>
      </c>
      <c r="G1050" s="338">
        <f t="shared" si="116"/>
        <v>1220866.1000000001</v>
      </c>
      <c r="H1050" s="338">
        <f t="shared" si="117"/>
        <v>1291786.06</v>
      </c>
    </row>
    <row r="1051" spans="1:8" ht="14.4" thickBot="1" x14ac:dyDescent="0.3">
      <c r="A1051" s="8">
        <v>28136</v>
      </c>
      <c r="B1051" s="9" t="s">
        <v>1036</v>
      </c>
      <c r="C1051" s="10">
        <v>19.28</v>
      </c>
      <c r="D1051" s="10">
        <v>16.91</v>
      </c>
      <c r="E1051" s="47">
        <f t="shared" si="118"/>
        <v>745493.20480000007</v>
      </c>
      <c r="F1051" s="327">
        <f t="shared" si="115"/>
        <v>717186.92</v>
      </c>
      <c r="G1051" s="338">
        <f t="shared" si="116"/>
        <v>795869.15</v>
      </c>
      <c r="H1051" s="338">
        <f t="shared" si="117"/>
        <v>842101.09</v>
      </c>
    </row>
    <row r="1052" spans="1:8" ht="14.4" thickBot="1" x14ac:dyDescent="0.3">
      <c r="A1052" s="17" t="s">
        <v>1038</v>
      </c>
      <c r="B1052" s="92"/>
      <c r="C1052" s="354" t="s">
        <v>3476</v>
      </c>
      <c r="D1052" s="354" t="s">
        <v>3476</v>
      </c>
      <c r="E1052" s="354" t="s">
        <v>3476</v>
      </c>
      <c r="F1052" s="354" t="s">
        <v>3476</v>
      </c>
      <c r="G1052" s="355" t="s">
        <v>3476</v>
      </c>
      <c r="H1052" s="356" t="s">
        <v>3476</v>
      </c>
    </row>
    <row r="1053" spans="1:8" ht="14.4" thickBot="1" x14ac:dyDescent="0.3">
      <c r="A1053" s="97" t="s">
        <v>1037</v>
      </c>
      <c r="B1053" s="91"/>
      <c r="C1053" s="354" t="s">
        <v>3476</v>
      </c>
      <c r="D1053" s="354" t="s">
        <v>3476</v>
      </c>
      <c r="E1053" s="354" t="s">
        <v>3476</v>
      </c>
      <c r="F1053" s="354" t="s">
        <v>3476</v>
      </c>
      <c r="G1053" s="355" t="s">
        <v>3476</v>
      </c>
      <c r="H1053" s="356" t="s">
        <v>3476</v>
      </c>
    </row>
    <row r="1054" spans="1:8" x14ac:dyDescent="0.25">
      <c r="A1054" s="8">
        <v>30101</v>
      </c>
      <c r="B1054" s="8" t="s">
        <v>1039</v>
      </c>
      <c r="C1054" s="5">
        <v>2.17</v>
      </c>
      <c r="D1054" s="5">
        <v>1.9</v>
      </c>
      <c r="E1054" s="47">
        <f t="shared" ref="E1054:E1070" si="119">+$C1054*$E$2</f>
        <v>83906.652200000011</v>
      </c>
      <c r="F1054" s="327">
        <f t="shared" ref="F1054:F1063" si="120">+$D1054*$F$2</f>
        <v>80582.8</v>
      </c>
      <c r="G1054" s="338">
        <f t="shared" ref="G1054:G1063" si="121">+$D1054*$G$2</f>
        <v>89423.5</v>
      </c>
      <c r="H1054" s="338">
        <f t="shared" ref="H1054:H1063" si="122">+$D1054*$H$2</f>
        <v>94618.099999999991</v>
      </c>
    </row>
    <row r="1055" spans="1:8" x14ac:dyDescent="0.25">
      <c r="A1055" s="8">
        <v>30102</v>
      </c>
      <c r="B1055" s="8" t="s">
        <v>1040</v>
      </c>
      <c r="C1055" s="5">
        <v>2.17</v>
      </c>
      <c r="D1055" s="5">
        <v>1.9</v>
      </c>
      <c r="E1055" s="47">
        <f t="shared" si="119"/>
        <v>83906.652200000011</v>
      </c>
      <c r="F1055" s="327">
        <f t="shared" si="120"/>
        <v>80582.8</v>
      </c>
      <c r="G1055" s="338">
        <f t="shared" si="121"/>
        <v>89423.5</v>
      </c>
      <c r="H1055" s="338">
        <f t="shared" si="122"/>
        <v>94618.099999999991</v>
      </c>
    </row>
    <row r="1056" spans="1:8" x14ac:dyDescent="0.25">
      <c r="A1056" s="8">
        <v>30103</v>
      </c>
      <c r="B1056" s="8" t="s">
        <v>1041</v>
      </c>
      <c r="C1056" s="5">
        <v>2.17</v>
      </c>
      <c r="D1056" s="5">
        <v>1.9</v>
      </c>
      <c r="E1056" s="47">
        <f t="shared" si="119"/>
        <v>83906.652200000011</v>
      </c>
      <c r="F1056" s="327">
        <f t="shared" si="120"/>
        <v>80582.8</v>
      </c>
      <c r="G1056" s="338">
        <f t="shared" si="121"/>
        <v>89423.5</v>
      </c>
      <c r="H1056" s="338">
        <f t="shared" si="122"/>
        <v>94618.099999999991</v>
      </c>
    </row>
    <row r="1057" spans="1:8" x14ac:dyDescent="0.25">
      <c r="A1057" s="8">
        <v>30104</v>
      </c>
      <c r="B1057" s="8" t="s">
        <v>1042</v>
      </c>
      <c r="C1057" s="5">
        <v>10.01</v>
      </c>
      <c r="D1057" s="5">
        <v>8.7799999999999994</v>
      </c>
      <c r="E1057" s="47">
        <f t="shared" si="119"/>
        <v>387053.26660000003</v>
      </c>
      <c r="F1057" s="327">
        <f t="shared" si="120"/>
        <v>372377.36</v>
      </c>
      <c r="G1057" s="338">
        <f t="shared" si="121"/>
        <v>413230.69999999995</v>
      </c>
      <c r="H1057" s="338">
        <f t="shared" si="122"/>
        <v>437235.22</v>
      </c>
    </row>
    <row r="1058" spans="1:8" x14ac:dyDescent="0.25">
      <c r="A1058" s="8">
        <v>30105</v>
      </c>
      <c r="B1058" s="8" t="s">
        <v>1043</v>
      </c>
      <c r="C1058" s="5">
        <v>12.96</v>
      </c>
      <c r="D1058" s="5">
        <v>11.37</v>
      </c>
      <c r="E1058" s="47">
        <f t="shared" si="119"/>
        <v>501119.91360000009</v>
      </c>
      <c r="F1058" s="327">
        <f t="shared" si="120"/>
        <v>482224.43999999994</v>
      </c>
      <c r="G1058" s="338">
        <f t="shared" si="121"/>
        <v>535129.04999999993</v>
      </c>
      <c r="H1058" s="338">
        <f t="shared" si="122"/>
        <v>566214.63</v>
      </c>
    </row>
    <row r="1059" spans="1:8" x14ac:dyDescent="0.25">
      <c r="A1059" s="8">
        <v>30106</v>
      </c>
      <c r="B1059" s="8" t="s">
        <v>1044</v>
      </c>
      <c r="C1059" s="5">
        <v>12.96</v>
      </c>
      <c r="D1059" s="5">
        <v>11.37</v>
      </c>
      <c r="E1059" s="47">
        <f t="shared" si="119"/>
        <v>501119.91360000009</v>
      </c>
      <c r="F1059" s="327">
        <f t="shared" si="120"/>
        <v>482224.43999999994</v>
      </c>
      <c r="G1059" s="338">
        <f t="shared" si="121"/>
        <v>535129.04999999993</v>
      </c>
      <c r="H1059" s="338">
        <f t="shared" si="122"/>
        <v>566214.63</v>
      </c>
    </row>
    <row r="1060" spans="1:8" x14ac:dyDescent="0.25">
      <c r="A1060" s="8">
        <v>30107</v>
      </c>
      <c r="B1060" s="8" t="s">
        <v>1045</v>
      </c>
      <c r="C1060" s="5">
        <v>40.119999999999997</v>
      </c>
      <c r="D1060" s="5">
        <v>35.19</v>
      </c>
      <c r="E1060" s="47">
        <f t="shared" si="119"/>
        <v>1551306.3992000001</v>
      </c>
      <c r="F1060" s="327">
        <f t="shared" si="120"/>
        <v>1492478.2799999998</v>
      </c>
      <c r="G1060" s="338">
        <f t="shared" si="121"/>
        <v>1656217.3499999999</v>
      </c>
      <c r="H1060" s="338">
        <f t="shared" si="122"/>
        <v>1752426.8099999998</v>
      </c>
    </row>
    <row r="1061" spans="1:8" x14ac:dyDescent="0.25">
      <c r="A1061" s="8">
        <v>30108</v>
      </c>
      <c r="B1061" s="8" t="s">
        <v>1046</v>
      </c>
      <c r="C1061" s="5">
        <v>12.96</v>
      </c>
      <c r="D1061" s="5">
        <v>11.37</v>
      </c>
      <c r="E1061" s="47">
        <f t="shared" si="119"/>
        <v>501119.91360000009</v>
      </c>
      <c r="F1061" s="327">
        <f t="shared" si="120"/>
        <v>482224.43999999994</v>
      </c>
      <c r="G1061" s="338">
        <f t="shared" si="121"/>
        <v>535129.04999999993</v>
      </c>
      <c r="H1061" s="338">
        <f t="shared" si="122"/>
        <v>566214.63</v>
      </c>
    </row>
    <row r="1062" spans="1:8" x14ac:dyDescent="0.25">
      <c r="A1062" s="8">
        <v>30111</v>
      </c>
      <c r="B1062" s="8" t="s">
        <v>1047</v>
      </c>
      <c r="C1062" s="5">
        <v>14.77</v>
      </c>
      <c r="D1062" s="5">
        <v>12.95</v>
      </c>
      <c r="E1062" s="47">
        <f t="shared" si="119"/>
        <v>571106.56819999998</v>
      </c>
      <c r="F1062" s="327">
        <f t="shared" si="120"/>
        <v>549235.4</v>
      </c>
      <c r="G1062" s="338">
        <f t="shared" si="121"/>
        <v>609491.75</v>
      </c>
      <c r="H1062" s="338">
        <f t="shared" si="122"/>
        <v>644897.04999999993</v>
      </c>
    </row>
    <row r="1063" spans="1:8" ht="14.4" thickBot="1" x14ac:dyDescent="0.3">
      <c r="A1063" s="8">
        <v>30112</v>
      </c>
      <c r="B1063" s="8" t="s">
        <v>1048</v>
      </c>
      <c r="C1063" s="10">
        <v>2.17</v>
      </c>
      <c r="D1063" s="10">
        <v>1.9</v>
      </c>
      <c r="E1063" s="47">
        <f t="shared" si="119"/>
        <v>83906.652200000011</v>
      </c>
      <c r="F1063" s="327">
        <f t="shared" si="120"/>
        <v>80582.8</v>
      </c>
      <c r="G1063" s="338">
        <f t="shared" si="121"/>
        <v>89423.5</v>
      </c>
      <c r="H1063" s="338">
        <f t="shared" si="122"/>
        <v>94618.099999999991</v>
      </c>
    </row>
    <row r="1064" spans="1:8" ht="13.2" customHeight="1" thickBot="1" x14ac:dyDescent="0.3">
      <c r="A1064" s="68" t="s">
        <v>1049</v>
      </c>
      <c r="B1064" s="361"/>
      <c r="C1064" s="354" t="s">
        <v>3476</v>
      </c>
      <c r="D1064" s="354" t="s">
        <v>3476</v>
      </c>
      <c r="E1064" s="354" t="s">
        <v>3476</v>
      </c>
      <c r="F1064" s="354" t="s">
        <v>3476</v>
      </c>
      <c r="G1064" s="355" t="s">
        <v>3476</v>
      </c>
      <c r="H1064" s="356" t="s">
        <v>3476</v>
      </c>
    </row>
    <row r="1065" spans="1:8" x14ac:dyDescent="0.25">
      <c r="A1065" s="8">
        <v>30201</v>
      </c>
      <c r="B1065" s="8" t="s">
        <v>1050</v>
      </c>
      <c r="C1065" s="5">
        <v>1.52</v>
      </c>
      <c r="D1065" s="5">
        <v>1.33</v>
      </c>
      <c r="E1065" s="47">
        <f t="shared" si="119"/>
        <v>58773.323200000006</v>
      </c>
      <c r="F1065" s="327">
        <f t="shared" ref="F1065:F1071" si="123">+$D1065*$F$2</f>
        <v>56407.960000000006</v>
      </c>
      <c r="G1065" s="338">
        <f t="shared" ref="G1065:G1071" si="124">+$D1065*$G$2</f>
        <v>62596.450000000004</v>
      </c>
      <c r="H1065" s="338">
        <f t="shared" ref="H1065:H1071" si="125">+$D1065*$H$2</f>
        <v>66232.67</v>
      </c>
    </row>
    <row r="1066" spans="1:8" x14ac:dyDescent="0.25">
      <c r="A1066" s="8">
        <v>30202</v>
      </c>
      <c r="B1066" s="8" t="s">
        <v>1051</v>
      </c>
      <c r="C1066" s="5">
        <v>2.68</v>
      </c>
      <c r="D1066" s="5">
        <v>2.35</v>
      </c>
      <c r="E1066" s="47">
        <f t="shared" si="119"/>
        <v>103626.64880000001</v>
      </c>
      <c r="F1066" s="327">
        <f t="shared" si="123"/>
        <v>99668.2</v>
      </c>
      <c r="G1066" s="338">
        <f t="shared" si="124"/>
        <v>110602.75</v>
      </c>
      <c r="H1066" s="338">
        <f t="shared" si="125"/>
        <v>117027.65000000001</v>
      </c>
    </row>
    <row r="1067" spans="1:8" x14ac:dyDescent="0.25">
      <c r="A1067" s="8">
        <v>30203</v>
      </c>
      <c r="B1067" s="8" t="s">
        <v>1052</v>
      </c>
      <c r="C1067" s="5">
        <v>1.98</v>
      </c>
      <c r="D1067" s="5">
        <v>1.74</v>
      </c>
      <c r="E1067" s="47">
        <f t="shared" si="119"/>
        <v>76559.986800000013</v>
      </c>
      <c r="F1067" s="327">
        <f t="shared" si="123"/>
        <v>73796.88</v>
      </c>
      <c r="G1067" s="338">
        <f t="shared" si="124"/>
        <v>81893.100000000006</v>
      </c>
      <c r="H1067" s="338">
        <f t="shared" si="125"/>
        <v>86650.26</v>
      </c>
    </row>
    <row r="1068" spans="1:8" x14ac:dyDescent="0.25">
      <c r="A1068" s="8">
        <v>30204</v>
      </c>
      <c r="B1068" s="8" t="s">
        <v>1053</v>
      </c>
      <c r="C1068" s="5">
        <v>2.96</v>
      </c>
      <c r="D1068" s="5">
        <v>2.6</v>
      </c>
      <c r="E1068" s="47">
        <f t="shared" si="119"/>
        <v>114453.31360000001</v>
      </c>
      <c r="F1068" s="327">
        <f t="shared" si="123"/>
        <v>110271.2</v>
      </c>
      <c r="G1068" s="338">
        <f t="shared" si="124"/>
        <v>122369</v>
      </c>
      <c r="H1068" s="338">
        <f t="shared" si="125"/>
        <v>129477.40000000001</v>
      </c>
    </row>
    <row r="1069" spans="1:8" x14ac:dyDescent="0.25">
      <c r="A1069" s="8">
        <v>30205</v>
      </c>
      <c r="B1069" s="8" t="s">
        <v>1054</v>
      </c>
      <c r="C1069" s="5">
        <v>5.28</v>
      </c>
      <c r="D1069" s="5">
        <v>4.63</v>
      </c>
      <c r="E1069" s="47">
        <f t="shared" si="119"/>
        <v>204159.96480000002</v>
      </c>
      <c r="F1069" s="327">
        <f t="shared" si="123"/>
        <v>196367.56</v>
      </c>
      <c r="G1069" s="338">
        <f t="shared" si="124"/>
        <v>217910.94999999998</v>
      </c>
      <c r="H1069" s="338">
        <f t="shared" si="125"/>
        <v>230569.37</v>
      </c>
    </row>
    <row r="1070" spans="1:8" x14ac:dyDescent="0.25">
      <c r="A1070" s="8">
        <v>30206</v>
      </c>
      <c r="B1070" s="8" t="s">
        <v>1055</v>
      </c>
      <c r="C1070" s="10">
        <v>2.62</v>
      </c>
      <c r="D1070" s="10">
        <v>2.2999999999999998</v>
      </c>
      <c r="E1070" s="47">
        <f t="shared" si="119"/>
        <v>101306.64920000001</v>
      </c>
      <c r="F1070" s="327">
        <f t="shared" si="123"/>
        <v>97547.599999999991</v>
      </c>
      <c r="G1070" s="338">
        <f t="shared" si="124"/>
        <v>108249.49999999999</v>
      </c>
      <c r="H1070" s="338">
        <f t="shared" si="125"/>
        <v>114537.7</v>
      </c>
    </row>
    <row r="1071" spans="1:8" ht="14.4" thickBot="1" x14ac:dyDescent="0.3">
      <c r="A1071" s="87">
        <v>30207</v>
      </c>
      <c r="B1071" s="87" t="s">
        <v>1056</v>
      </c>
      <c r="C1071" s="89">
        <v>3.18</v>
      </c>
      <c r="D1071" s="89">
        <v>2.79</v>
      </c>
      <c r="E1071" s="96">
        <f>+$C1071*$E$2</f>
        <v>122959.97880000001</v>
      </c>
      <c r="F1071" s="327">
        <f t="shared" si="123"/>
        <v>118329.48</v>
      </c>
      <c r="G1071" s="341">
        <f t="shared" si="124"/>
        <v>131311.35</v>
      </c>
      <c r="H1071" s="341">
        <f t="shared" si="125"/>
        <v>138939.21</v>
      </c>
    </row>
    <row r="1072" spans="1:8" ht="28.2" customHeight="1" thickBot="1" x14ac:dyDescent="0.3">
      <c r="A1072" s="232" t="s">
        <v>3480</v>
      </c>
      <c r="B1072" s="217"/>
      <c r="C1072" s="351" t="s">
        <v>3476</v>
      </c>
      <c r="D1072" s="351" t="s">
        <v>3476</v>
      </c>
      <c r="E1072" s="351" t="s">
        <v>3476</v>
      </c>
      <c r="F1072" s="351" t="s">
        <v>3476</v>
      </c>
      <c r="G1072" s="352" t="s">
        <v>3476</v>
      </c>
      <c r="H1072" s="353" t="s">
        <v>3476</v>
      </c>
    </row>
    <row r="1073" spans="1:8" ht="13.8" customHeight="1" thickBot="1" x14ac:dyDescent="0.3">
      <c r="A1073" s="232" t="s">
        <v>3481</v>
      </c>
      <c r="B1073" s="71"/>
      <c r="C1073" s="351" t="s">
        <v>3476</v>
      </c>
      <c r="D1073" s="351" t="s">
        <v>3476</v>
      </c>
      <c r="E1073" s="351" t="s">
        <v>3476</v>
      </c>
      <c r="F1073" s="351" t="s">
        <v>3476</v>
      </c>
      <c r="G1073" s="352" t="s">
        <v>3476</v>
      </c>
      <c r="H1073" s="353" t="s">
        <v>3476</v>
      </c>
    </row>
    <row r="1074" spans="1:8" ht="14.4" thickBot="1" x14ac:dyDescent="0.3">
      <c r="A1074" s="49" t="s">
        <v>1057</v>
      </c>
      <c r="B1074" s="15"/>
      <c r="C1074" s="354"/>
      <c r="D1074" s="354" t="s">
        <v>3476</v>
      </c>
      <c r="E1074" s="354" t="s">
        <v>3476</v>
      </c>
      <c r="F1074" s="354" t="s">
        <v>3476</v>
      </c>
      <c r="G1074" s="355" t="s">
        <v>3476</v>
      </c>
      <c r="H1074" s="356" t="s">
        <v>3476</v>
      </c>
    </row>
    <row r="1075" spans="1:8" ht="14.4" thickBot="1" x14ac:dyDescent="0.3">
      <c r="A1075" s="17" t="s">
        <v>1058</v>
      </c>
      <c r="B1075" s="91"/>
      <c r="C1075" s="357" t="s">
        <v>3476</v>
      </c>
      <c r="D1075" s="357" t="s">
        <v>3476</v>
      </c>
      <c r="E1075" s="357" t="s">
        <v>3476</v>
      </c>
      <c r="F1075" s="357" t="s">
        <v>3476</v>
      </c>
      <c r="G1075" s="358" t="s">
        <v>3476</v>
      </c>
      <c r="H1075" s="359" t="s">
        <v>3476</v>
      </c>
    </row>
    <row r="1076" spans="1:8" x14ac:dyDescent="0.25">
      <c r="A1076" s="3">
        <v>31100</v>
      </c>
      <c r="B1076" s="84" t="s">
        <v>1059</v>
      </c>
      <c r="C1076" s="10">
        <v>2.63</v>
      </c>
      <c r="D1076" s="10">
        <v>2.31</v>
      </c>
      <c r="E1076" s="96">
        <f t="shared" ref="E1076:E1121" si="126">+$C1076*$E$2</f>
        <v>101693.31580000001</v>
      </c>
      <c r="F1076" s="327">
        <f t="shared" ref="F1076:F1099" si="127">+$D1076*$F$2</f>
        <v>97971.72</v>
      </c>
      <c r="G1076" s="338">
        <f t="shared" ref="G1076:G1099" si="128">+$D1076*$G$2</f>
        <v>108720.15000000001</v>
      </c>
      <c r="H1076" s="338">
        <f t="shared" ref="H1076:H1099" si="129">+$D1076*$H$2</f>
        <v>115035.69</v>
      </c>
    </row>
    <row r="1077" spans="1:8" x14ac:dyDescent="0.25">
      <c r="A1077" s="3">
        <v>31101</v>
      </c>
      <c r="B1077" s="84" t="s">
        <v>1060</v>
      </c>
      <c r="C1077" s="10">
        <v>3.21</v>
      </c>
      <c r="D1077" s="10">
        <v>2.82</v>
      </c>
      <c r="E1077" s="96">
        <f t="shared" si="126"/>
        <v>124119.97860000002</v>
      </c>
      <c r="F1077" s="327">
        <f t="shared" si="127"/>
        <v>119601.84</v>
      </c>
      <c r="G1077" s="338">
        <f t="shared" si="128"/>
        <v>132723.29999999999</v>
      </c>
      <c r="H1077" s="338">
        <f t="shared" si="129"/>
        <v>140433.18</v>
      </c>
    </row>
    <row r="1078" spans="1:8" x14ac:dyDescent="0.25">
      <c r="A1078" s="3">
        <v>31102</v>
      </c>
      <c r="B1078" s="84" t="s">
        <v>1061</v>
      </c>
      <c r="C1078" s="10">
        <v>4.1100000000000003</v>
      </c>
      <c r="D1078" s="10">
        <v>3.6</v>
      </c>
      <c r="E1078" s="96">
        <f t="shared" si="126"/>
        <v>158919.97260000004</v>
      </c>
      <c r="F1078" s="327">
        <f t="shared" si="127"/>
        <v>152683.20000000001</v>
      </c>
      <c r="G1078" s="338">
        <f t="shared" si="128"/>
        <v>169434</v>
      </c>
      <c r="H1078" s="338">
        <f t="shared" si="129"/>
        <v>179276.4</v>
      </c>
    </row>
    <row r="1079" spans="1:8" x14ac:dyDescent="0.25">
      <c r="A1079" s="3">
        <v>31103</v>
      </c>
      <c r="B1079" s="84" t="s">
        <v>1062</v>
      </c>
      <c r="C1079" s="10">
        <v>5.38</v>
      </c>
      <c r="D1079" s="10">
        <v>4.72</v>
      </c>
      <c r="E1079" s="96">
        <f t="shared" si="126"/>
        <v>208026.63080000001</v>
      </c>
      <c r="F1079" s="327">
        <f t="shared" si="127"/>
        <v>200184.63999999998</v>
      </c>
      <c r="G1079" s="338">
        <f t="shared" si="128"/>
        <v>222146.8</v>
      </c>
      <c r="H1079" s="338">
        <f t="shared" si="129"/>
        <v>235051.28</v>
      </c>
    </row>
    <row r="1080" spans="1:8" x14ac:dyDescent="0.25">
      <c r="A1080" s="3">
        <v>31104</v>
      </c>
      <c r="B1080" s="84" t="s">
        <v>1063</v>
      </c>
      <c r="C1080" s="10">
        <v>4.1100000000000003</v>
      </c>
      <c r="D1080" s="10">
        <v>3.6</v>
      </c>
      <c r="E1080" s="96">
        <f t="shared" si="126"/>
        <v>158919.97260000004</v>
      </c>
      <c r="F1080" s="327">
        <f t="shared" si="127"/>
        <v>152683.20000000001</v>
      </c>
      <c r="G1080" s="338">
        <f t="shared" si="128"/>
        <v>169434</v>
      </c>
      <c r="H1080" s="338">
        <f t="shared" si="129"/>
        <v>179276.4</v>
      </c>
    </row>
    <row r="1081" spans="1:8" x14ac:dyDescent="0.25">
      <c r="A1081" s="3">
        <v>31105</v>
      </c>
      <c r="B1081" s="84" t="s">
        <v>1064</v>
      </c>
      <c r="C1081" s="10">
        <v>6.17</v>
      </c>
      <c r="D1081" s="10">
        <v>5.41</v>
      </c>
      <c r="E1081" s="96">
        <f t="shared" si="126"/>
        <v>238573.29220000003</v>
      </c>
      <c r="F1081" s="327">
        <f t="shared" si="127"/>
        <v>229448.92</v>
      </c>
      <c r="G1081" s="338">
        <f t="shared" si="128"/>
        <v>254621.65</v>
      </c>
      <c r="H1081" s="338">
        <f t="shared" si="129"/>
        <v>269412.59000000003</v>
      </c>
    </row>
    <row r="1082" spans="1:8" x14ac:dyDescent="0.25">
      <c r="A1082" s="3">
        <v>31106</v>
      </c>
      <c r="B1082" s="84" t="s">
        <v>1065</v>
      </c>
      <c r="C1082" s="10">
        <v>3.89</v>
      </c>
      <c r="D1082" s="10">
        <v>3.41</v>
      </c>
      <c r="E1082" s="96">
        <f t="shared" si="126"/>
        <v>150413.30740000002</v>
      </c>
      <c r="F1082" s="327">
        <f t="shared" si="127"/>
        <v>144624.92000000001</v>
      </c>
      <c r="G1082" s="338">
        <f t="shared" si="128"/>
        <v>160491.65</v>
      </c>
      <c r="H1082" s="338">
        <f t="shared" si="129"/>
        <v>169814.59</v>
      </c>
    </row>
    <row r="1083" spans="1:8" x14ac:dyDescent="0.25">
      <c r="A1083" s="3">
        <v>31107</v>
      </c>
      <c r="B1083" s="84" t="s">
        <v>1066</v>
      </c>
      <c r="C1083" s="10">
        <v>3.89</v>
      </c>
      <c r="D1083" s="10">
        <v>3.41</v>
      </c>
      <c r="E1083" s="96">
        <f t="shared" si="126"/>
        <v>150413.30740000002</v>
      </c>
      <c r="F1083" s="327">
        <f t="shared" si="127"/>
        <v>144624.92000000001</v>
      </c>
      <c r="G1083" s="338">
        <f t="shared" si="128"/>
        <v>160491.65</v>
      </c>
      <c r="H1083" s="338">
        <f t="shared" si="129"/>
        <v>169814.59</v>
      </c>
    </row>
    <row r="1084" spans="1:8" x14ac:dyDescent="0.25">
      <c r="A1084" s="3">
        <v>31108</v>
      </c>
      <c r="B1084" s="84" t="s">
        <v>1067</v>
      </c>
      <c r="C1084" s="10">
        <v>3.89</v>
      </c>
      <c r="D1084" s="10">
        <v>3.41</v>
      </c>
      <c r="E1084" s="96">
        <f t="shared" si="126"/>
        <v>150413.30740000002</v>
      </c>
      <c r="F1084" s="327">
        <f t="shared" si="127"/>
        <v>144624.92000000001</v>
      </c>
      <c r="G1084" s="338">
        <f t="shared" si="128"/>
        <v>160491.65</v>
      </c>
      <c r="H1084" s="338">
        <f t="shared" si="129"/>
        <v>169814.59</v>
      </c>
    </row>
    <row r="1085" spans="1:8" x14ac:dyDescent="0.25">
      <c r="A1085" s="3">
        <v>31109</v>
      </c>
      <c r="B1085" s="98" t="s">
        <v>1068</v>
      </c>
      <c r="C1085" s="10">
        <v>7.77</v>
      </c>
      <c r="D1085" s="10">
        <v>6.82</v>
      </c>
      <c r="E1085" s="96">
        <f t="shared" si="126"/>
        <v>300439.94819999998</v>
      </c>
      <c r="F1085" s="327">
        <f t="shared" si="127"/>
        <v>289249.84000000003</v>
      </c>
      <c r="G1085" s="338">
        <f t="shared" si="128"/>
        <v>320983.3</v>
      </c>
      <c r="H1085" s="338">
        <f t="shared" si="129"/>
        <v>339629.18</v>
      </c>
    </row>
    <row r="1086" spans="1:8" x14ac:dyDescent="0.25">
      <c r="A1086" s="3">
        <v>31110</v>
      </c>
      <c r="B1086" s="84" t="s">
        <v>1069</v>
      </c>
      <c r="C1086" s="10">
        <v>4.71</v>
      </c>
      <c r="D1086" s="10">
        <v>4.13</v>
      </c>
      <c r="E1086" s="96">
        <f t="shared" si="126"/>
        <v>182119.96860000002</v>
      </c>
      <c r="F1086" s="327">
        <f t="shared" si="127"/>
        <v>175161.56</v>
      </c>
      <c r="G1086" s="338">
        <f t="shared" si="128"/>
        <v>194378.44999999998</v>
      </c>
      <c r="H1086" s="338">
        <f t="shared" si="129"/>
        <v>205669.87</v>
      </c>
    </row>
    <row r="1087" spans="1:8" x14ac:dyDescent="0.25">
      <c r="A1087" s="3">
        <v>31111</v>
      </c>
      <c r="B1087" s="84" t="s">
        <v>1070</v>
      </c>
      <c r="C1087" s="10">
        <v>5.41</v>
      </c>
      <c r="D1087" s="10">
        <v>4.75</v>
      </c>
      <c r="E1087" s="96">
        <f t="shared" si="126"/>
        <v>209186.63060000003</v>
      </c>
      <c r="F1087" s="327">
        <f t="shared" si="127"/>
        <v>201457</v>
      </c>
      <c r="G1087" s="338">
        <f t="shared" si="128"/>
        <v>223558.75</v>
      </c>
      <c r="H1087" s="338">
        <f t="shared" si="129"/>
        <v>236545.25</v>
      </c>
    </row>
    <row r="1088" spans="1:8" x14ac:dyDescent="0.25">
      <c r="A1088" s="3">
        <v>31112</v>
      </c>
      <c r="B1088" s="84" t="s">
        <v>1071</v>
      </c>
      <c r="C1088" s="10">
        <v>4</v>
      </c>
      <c r="D1088" s="10">
        <v>3.51</v>
      </c>
      <c r="E1088" s="96">
        <f t="shared" si="126"/>
        <v>154666.64000000001</v>
      </c>
      <c r="F1088" s="327">
        <f t="shared" si="127"/>
        <v>148866.12</v>
      </c>
      <c r="G1088" s="338">
        <f t="shared" si="128"/>
        <v>165198.15</v>
      </c>
      <c r="H1088" s="338">
        <f t="shared" si="129"/>
        <v>174794.49</v>
      </c>
    </row>
    <row r="1089" spans="1:8" x14ac:dyDescent="0.25">
      <c r="A1089" s="3">
        <v>31113</v>
      </c>
      <c r="B1089" s="84" t="s">
        <v>1072</v>
      </c>
      <c r="C1089" s="10">
        <v>1.36</v>
      </c>
      <c r="D1089" s="10">
        <v>1.19</v>
      </c>
      <c r="E1089" s="96">
        <f t="shared" si="126"/>
        <v>52586.657600000006</v>
      </c>
      <c r="F1089" s="327">
        <f t="shared" si="127"/>
        <v>50470.28</v>
      </c>
      <c r="G1089" s="338">
        <f t="shared" si="128"/>
        <v>56007.35</v>
      </c>
      <c r="H1089" s="338">
        <f t="shared" si="129"/>
        <v>59260.81</v>
      </c>
    </row>
    <row r="1090" spans="1:8" x14ac:dyDescent="0.25">
      <c r="A1090" s="3">
        <v>31114</v>
      </c>
      <c r="B1090" s="84" t="s">
        <v>1073</v>
      </c>
      <c r="C1090" s="10">
        <v>2.74</v>
      </c>
      <c r="D1090" s="10">
        <v>2.4</v>
      </c>
      <c r="E1090" s="96">
        <f t="shared" si="126"/>
        <v>105946.64840000002</v>
      </c>
      <c r="F1090" s="327">
        <f t="shared" si="127"/>
        <v>101788.8</v>
      </c>
      <c r="G1090" s="338">
        <f t="shared" si="128"/>
        <v>112956</v>
      </c>
      <c r="H1090" s="338">
        <f t="shared" si="129"/>
        <v>119517.59999999999</v>
      </c>
    </row>
    <row r="1091" spans="1:8" x14ac:dyDescent="0.25">
      <c r="A1091" s="3">
        <v>31115</v>
      </c>
      <c r="B1091" s="84" t="s">
        <v>1074</v>
      </c>
      <c r="C1091" s="10">
        <v>4.03</v>
      </c>
      <c r="D1091" s="10">
        <v>3.53</v>
      </c>
      <c r="E1091" s="96">
        <f t="shared" si="126"/>
        <v>155826.63980000003</v>
      </c>
      <c r="F1091" s="327">
        <f t="shared" si="127"/>
        <v>149714.35999999999</v>
      </c>
      <c r="G1091" s="338">
        <f t="shared" si="128"/>
        <v>166139.44999999998</v>
      </c>
      <c r="H1091" s="338">
        <f t="shared" si="129"/>
        <v>175790.47</v>
      </c>
    </row>
    <row r="1092" spans="1:8" x14ac:dyDescent="0.25">
      <c r="A1092" s="3">
        <v>31116</v>
      </c>
      <c r="B1092" s="84" t="s">
        <v>1075</v>
      </c>
      <c r="C1092" s="10">
        <v>4.0599999999999996</v>
      </c>
      <c r="D1092" s="10">
        <v>3.56</v>
      </c>
      <c r="E1092" s="96">
        <f t="shared" si="126"/>
        <v>156986.63959999999</v>
      </c>
      <c r="F1092" s="327">
        <f t="shared" si="127"/>
        <v>150986.72</v>
      </c>
      <c r="G1092" s="338">
        <f t="shared" si="128"/>
        <v>167551.4</v>
      </c>
      <c r="H1092" s="338">
        <f t="shared" si="129"/>
        <v>177284.44</v>
      </c>
    </row>
    <row r="1093" spans="1:8" x14ac:dyDescent="0.25">
      <c r="A1093" s="3">
        <v>31117</v>
      </c>
      <c r="B1093" s="84" t="s">
        <v>1076</v>
      </c>
      <c r="C1093" s="10">
        <v>5.49</v>
      </c>
      <c r="D1093" s="10">
        <v>4.82</v>
      </c>
      <c r="E1093" s="96">
        <f t="shared" si="126"/>
        <v>212279.96340000004</v>
      </c>
      <c r="F1093" s="327">
        <f t="shared" si="127"/>
        <v>204425.84000000003</v>
      </c>
      <c r="G1093" s="338">
        <f t="shared" si="128"/>
        <v>226853.30000000002</v>
      </c>
      <c r="H1093" s="338">
        <f t="shared" si="129"/>
        <v>240031.18000000002</v>
      </c>
    </row>
    <row r="1094" spans="1:8" x14ac:dyDescent="0.25">
      <c r="A1094" s="3">
        <v>31118</v>
      </c>
      <c r="B1094" s="84" t="s">
        <v>1077</v>
      </c>
      <c r="C1094" s="10">
        <v>4.22</v>
      </c>
      <c r="D1094" s="10">
        <v>3.7</v>
      </c>
      <c r="E1094" s="96">
        <f t="shared" si="126"/>
        <v>163173.3052</v>
      </c>
      <c r="F1094" s="327">
        <f t="shared" si="127"/>
        <v>156924.4</v>
      </c>
      <c r="G1094" s="338">
        <f t="shared" si="128"/>
        <v>174140.5</v>
      </c>
      <c r="H1094" s="338">
        <f t="shared" si="129"/>
        <v>184256.30000000002</v>
      </c>
    </row>
    <row r="1095" spans="1:8" x14ac:dyDescent="0.25">
      <c r="A1095" s="3">
        <v>31121</v>
      </c>
      <c r="B1095" s="84" t="s">
        <v>1078</v>
      </c>
      <c r="C1095" s="10">
        <v>3.66</v>
      </c>
      <c r="D1095" s="10">
        <v>3.21</v>
      </c>
      <c r="E1095" s="96">
        <f t="shared" si="126"/>
        <v>141519.97560000001</v>
      </c>
      <c r="F1095" s="327">
        <f t="shared" si="127"/>
        <v>136142.51999999999</v>
      </c>
      <c r="G1095" s="338">
        <f t="shared" si="128"/>
        <v>151078.65</v>
      </c>
      <c r="H1095" s="338">
        <f t="shared" si="129"/>
        <v>159854.79</v>
      </c>
    </row>
    <row r="1096" spans="1:8" x14ac:dyDescent="0.25">
      <c r="A1096" s="3">
        <v>31122</v>
      </c>
      <c r="B1096" s="84" t="s">
        <v>1079</v>
      </c>
      <c r="C1096" s="10">
        <v>4.2</v>
      </c>
      <c r="D1096" s="10">
        <v>3.68</v>
      </c>
      <c r="E1096" s="96">
        <f t="shared" si="126"/>
        <v>162399.97200000001</v>
      </c>
      <c r="F1096" s="327">
        <f t="shared" si="127"/>
        <v>156076.16</v>
      </c>
      <c r="G1096" s="338">
        <f t="shared" si="128"/>
        <v>173199.2</v>
      </c>
      <c r="H1096" s="338">
        <f t="shared" si="129"/>
        <v>183260.32</v>
      </c>
    </row>
    <row r="1097" spans="1:8" x14ac:dyDescent="0.25">
      <c r="A1097" s="3">
        <v>31123</v>
      </c>
      <c r="B1097" s="84" t="s">
        <v>1080</v>
      </c>
      <c r="C1097" s="10">
        <v>3.39</v>
      </c>
      <c r="D1097" s="10">
        <v>2.97</v>
      </c>
      <c r="E1097" s="96">
        <f t="shared" si="126"/>
        <v>131079.9774</v>
      </c>
      <c r="F1097" s="327">
        <f t="shared" si="127"/>
        <v>125963.64000000001</v>
      </c>
      <c r="G1097" s="338">
        <f t="shared" si="128"/>
        <v>139783.05000000002</v>
      </c>
      <c r="H1097" s="338">
        <f t="shared" si="129"/>
        <v>147903.03</v>
      </c>
    </row>
    <row r="1098" spans="1:8" x14ac:dyDescent="0.25">
      <c r="A1098" s="3">
        <v>31124</v>
      </c>
      <c r="B1098" s="84" t="s">
        <v>1081</v>
      </c>
      <c r="C1098" s="10">
        <v>9.07</v>
      </c>
      <c r="D1098" s="10">
        <v>7.96</v>
      </c>
      <c r="E1098" s="96">
        <f t="shared" si="126"/>
        <v>350706.60620000004</v>
      </c>
      <c r="F1098" s="327">
        <f t="shared" si="127"/>
        <v>337599.52</v>
      </c>
      <c r="G1098" s="338">
        <f t="shared" si="128"/>
        <v>374637.4</v>
      </c>
      <c r="H1098" s="338">
        <f t="shared" si="129"/>
        <v>396400.04</v>
      </c>
    </row>
    <row r="1099" spans="1:8" ht="14.4" thickBot="1" x14ac:dyDescent="0.3">
      <c r="A1099" s="8">
        <v>31125</v>
      </c>
      <c r="B1099" s="86" t="s">
        <v>1082</v>
      </c>
      <c r="C1099" s="10">
        <v>8.1</v>
      </c>
      <c r="D1099" s="10">
        <v>7.1</v>
      </c>
      <c r="E1099" s="96">
        <f t="shared" si="126"/>
        <v>313199.946</v>
      </c>
      <c r="F1099" s="327">
        <f t="shared" si="127"/>
        <v>301125.2</v>
      </c>
      <c r="G1099" s="341">
        <f t="shared" si="128"/>
        <v>334161.5</v>
      </c>
      <c r="H1099" s="341">
        <f t="shared" si="129"/>
        <v>353572.89999999997</v>
      </c>
    </row>
    <row r="1100" spans="1:8" ht="14.4" thickBot="1" x14ac:dyDescent="0.3">
      <c r="A1100" s="17" t="s">
        <v>1083</v>
      </c>
      <c r="B1100" s="17"/>
      <c r="C1100" s="354" t="s">
        <v>3476</v>
      </c>
      <c r="D1100" s="354" t="s">
        <v>3476</v>
      </c>
      <c r="E1100" s="354" t="s">
        <v>3476</v>
      </c>
      <c r="F1100" s="354" t="s">
        <v>3476</v>
      </c>
      <c r="G1100" s="355" t="s">
        <v>3476</v>
      </c>
      <c r="H1100" s="356" t="s">
        <v>3476</v>
      </c>
    </row>
    <row r="1101" spans="1:8" ht="96.6" x14ac:dyDescent="0.25">
      <c r="A1101" s="99">
        <v>31201</v>
      </c>
      <c r="B1101" s="362" t="s">
        <v>1084</v>
      </c>
      <c r="C1101" s="363">
        <v>12.63</v>
      </c>
      <c r="D1101" s="363">
        <v>11.08</v>
      </c>
      <c r="E1101" s="130">
        <f t="shared" si="126"/>
        <v>488359.91580000008</v>
      </c>
      <c r="F1101" s="329">
        <f t="shared" ref="F1101:F1121" si="130">+$D1101*$F$2</f>
        <v>469924.96</v>
      </c>
      <c r="G1101" s="338">
        <f t="shared" ref="G1101:G1121" si="131">+$D1101*$G$2</f>
        <v>521480.2</v>
      </c>
      <c r="H1101" s="338">
        <f t="shared" ref="H1101:H1121" si="132">+$D1101*$H$2</f>
        <v>551772.92000000004</v>
      </c>
    </row>
    <row r="1102" spans="1:8" x14ac:dyDescent="0.25">
      <c r="A1102" s="3">
        <v>31202</v>
      </c>
      <c r="B1102" s="84" t="s">
        <v>1085</v>
      </c>
      <c r="C1102" s="100">
        <v>5.69</v>
      </c>
      <c r="D1102" s="100">
        <v>4.99</v>
      </c>
      <c r="E1102" s="101">
        <f t="shared" si="126"/>
        <v>220013.29540000003</v>
      </c>
      <c r="F1102" s="207">
        <f t="shared" si="130"/>
        <v>211635.88</v>
      </c>
      <c r="G1102" s="338">
        <f t="shared" si="131"/>
        <v>234854.35</v>
      </c>
      <c r="H1102" s="338">
        <f t="shared" si="132"/>
        <v>248497.01</v>
      </c>
    </row>
    <row r="1103" spans="1:8" x14ac:dyDescent="0.25">
      <c r="A1103" s="3">
        <v>31203</v>
      </c>
      <c r="B1103" s="84" t="s">
        <v>1086</v>
      </c>
      <c r="C1103" s="100">
        <v>5.69</v>
      </c>
      <c r="D1103" s="100">
        <v>4.99</v>
      </c>
      <c r="E1103" s="101">
        <f t="shared" si="126"/>
        <v>220013.29540000003</v>
      </c>
      <c r="F1103" s="207">
        <f t="shared" si="130"/>
        <v>211635.88</v>
      </c>
      <c r="G1103" s="338">
        <f t="shared" si="131"/>
        <v>234854.35</v>
      </c>
      <c r="H1103" s="338">
        <f t="shared" si="132"/>
        <v>248497.01</v>
      </c>
    </row>
    <row r="1104" spans="1:8" x14ac:dyDescent="0.25">
      <c r="A1104" s="3">
        <v>31204</v>
      </c>
      <c r="B1104" s="84" t="s">
        <v>1087</v>
      </c>
      <c r="C1104" s="100">
        <v>9.68</v>
      </c>
      <c r="D1104" s="100">
        <v>8.49</v>
      </c>
      <c r="E1104" s="101">
        <f t="shared" si="126"/>
        <v>374293.26880000002</v>
      </c>
      <c r="F1104" s="207">
        <f t="shared" si="130"/>
        <v>360077.88</v>
      </c>
      <c r="G1104" s="338">
        <f t="shared" si="131"/>
        <v>399581.85000000003</v>
      </c>
      <c r="H1104" s="338">
        <f t="shared" si="132"/>
        <v>422793.51</v>
      </c>
    </row>
    <row r="1105" spans="1:8" x14ac:dyDescent="0.25">
      <c r="A1105" s="3">
        <v>31205</v>
      </c>
      <c r="B1105" s="84" t="s">
        <v>1088</v>
      </c>
      <c r="C1105" s="100">
        <v>5.69</v>
      </c>
      <c r="D1105" s="100">
        <v>4.99</v>
      </c>
      <c r="E1105" s="101">
        <f t="shared" si="126"/>
        <v>220013.29540000003</v>
      </c>
      <c r="F1105" s="207">
        <f t="shared" si="130"/>
        <v>211635.88</v>
      </c>
      <c r="G1105" s="338">
        <f t="shared" si="131"/>
        <v>234854.35</v>
      </c>
      <c r="H1105" s="338">
        <f t="shared" si="132"/>
        <v>248497.01</v>
      </c>
    </row>
    <row r="1106" spans="1:8" x14ac:dyDescent="0.25">
      <c r="A1106" s="3">
        <v>31206</v>
      </c>
      <c r="B1106" s="84" t="s">
        <v>1089</v>
      </c>
      <c r="C1106" s="100">
        <v>5.69</v>
      </c>
      <c r="D1106" s="100">
        <v>4.99</v>
      </c>
      <c r="E1106" s="101">
        <f t="shared" si="126"/>
        <v>220013.29540000003</v>
      </c>
      <c r="F1106" s="207">
        <f t="shared" si="130"/>
        <v>211635.88</v>
      </c>
      <c r="G1106" s="338">
        <f t="shared" si="131"/>
        <v>234854.35</v>
      </c>
      <c r="H1106" s="338">
        <f t="shared" si="132"/>
        <v>248497.01</v>
      </c>
    </row>
    <row r="1107" spans="1:8" x14ac:dyDescent="0.25">
      <c r="A1107" s="3">
        <v>31207</v>
      </c>
      <c r="B1107" s="84" t="s">
        <v>1090</v>
      </c>
      <c r="C1107" s="100">
        <v>5.69</v>
      </c>
      <c r="D1107" s="100">
        <v>4.99</v>
      </c>
      <c r="E1107" s="101">
        <f t="shared" si="126"/>
        <v>220013.29540000003</v>
      </c>
      <c r="F1107" s="207">
        <f t="shared" si="130"/>
        <v>211635.88</v>
      </c>
      <c r="G1107" s="338">
        <f t="shared" si="131"/>
        <v>234854.35</v>
      </c>
      <c r="H1107" s="338">
        <f t="shared" si="132"/>
        <v>248497.01</v>
      </c>
    </row>
    <row r="1108" spans="1:8" x14ac:dyDescent="0.25">
      <c r="A1108" s="3">
        <v>31208</v>
      </c>
      <c r="B1108" s="84" t="s">
        <v>1091</v>
      </c>
      <c r="C1108" s="100">
        <v>5.69</v>
      </c>
      <c r="D1108" s="100">
        <v>4.99</v>
      </c>
      <c r="E1108" s="101">
        <f t="shared" si="126"/>
        <v>220013.29540000003</v>
      </c>
      <c r="F1108" s="207">
        <f t="shared" si="130"/>
        <v>211635.88</v>
      </c>
      <c r="G1108" s="338">
        <f t="shared" si="131"/>
        <v>234854.35</v>
      </c>
      <c r="H1108" s="338">
        <f t="shared" si="132"/>
        <v>248497.01</v>
      </c>
    </row>
    <row r="1109" spans="1:8" x14ac:dyDescent="0.25">
      <c r="A1109" s="3">
        <v>31209</v>
      </c>
      <c r="B1109" s="84" t="s">
        <v>1092</v>
      </c>
      <c r="C1109" s="100">
        <v>5.69</v>
      </c>
      <c r="D1109" s="100">
        <v>4.99</v>
      </c>
      <c r="E1109" s="101">
        <f t="shared" si="126"/>
        <v>220013.29540000003</v>
      </c>
      <c r="F1109" s="207">
        <f t="shared" si="130"/>
        <v>211635.88</v>
      </c>
      <c r="G1109" s="338">
        <f t="shared" si="131"/>
        <v>234854.35</v>
      </c>
      <c r="H1109" s="338">
        <f t="shared" si="132"/>
        <v>248497.01</v>
      </c>
    </row>
    <row r="1110" spans="1:8" ht="13.2" customHeight="1" x14ac:dyDescent="0.25">
      <c r="A1110" s="99">
        <v>31210</v>
      </c>
      <c r="B1110" s="83" t="s">
        <v>1102</v>
      </c>
      <c r="C1110" s="100">
        <v>5.09</v>
      </c>
      <c r="D1110" s="100">
        <v>4.46</v>
      </c>
      <c r="E1110" s="101">
        <f t="shared" si="126"/>
        <v>196813.29940000002</v>
      </c>
      <c r="F1110" s="207">
        <f t="shared" si="130"/>
        <v>189157.52</v>
      </c>
      <c r="G1110" s="338">
        <f t="shared" si="131"/>
        <v>209909.9</v>
      </c>
      <c r="H1110" s="338">
        <f t="shared" si="132"/>
        <v>222103.54</v>
      </c>
    </row>
    <row r="1111" spans="1:8" x14ac:dyDescent="0.25">
      <c r="A1111" s="3">
        <v>31211</v>
      </c>
      <c r="B1111" s="84" t="s">
        <v>1093</v>
      </c>
      <c r="C1111" s="100">
        <v>5.09</v>
      </c>
      <c r="D1111" s="100">
        <v>4.46</v>
      </c>
      <c r="E1111" s="101">
        <f t="shared" si="126"/>
        <v>196813.29940000002</v>
      </c>
      <c r="F1111" s="207">
        <f t="shared" si="130"/>
        <v>189157.52</v>
      </c>
      <c r="G1111" s="338">
        <f t="shared" si="131"/>
        <v>209909.9</v>
      </c>
      <c r="H1111" s="338">
        <f t="shared" si="132"/>
        <v>222103.54</v>
      </c>
    </row>
    <row r="1112" spans="1:8" x14ac:dyDescent="0.25">
      <c r="A1112" s="3">
        <v>31212</v>
      </c>
      <c r="B1112" s="84" t="s">
        <v>1094</v>
      </c>
      <c r="C1112" s="100">
        <v>6.65</v>
      </c>
      <c r="D1112" s="100">
        <v>5.83</v>
      </c>
      <c r="E1112" s="101">
        <f t="shared" si="126"/>
        <v>257133.28900000005</v>
      </c>
      <c r="F1112" s="207">
        <f t="shared" si="130"/>
        <v>247261.96</v>
      </c>
      <c r="G1112" s="338">
        <f t="shared" si="131"/>
        <v>274388.95</v>
      </c>
      <c r="H1112" s="338">
        <f t="shared" si="132"/>
        <v>290328.17</v>
      </c>
    </row>
    <row r="1113" spans="1:8" x14ac:dyDescent="0.25">
      <c r="A1113" s="3">
        <v>31213</v>
      </c>
      <c r="B1113" s="84" t="s">
        <v>1095</v>
      </c>
      <c r="C1113" s="100">
        <v>6.65</v>
      </c>
      <c r="D1113" s="100">
        <v>5.83</v>
      </c>
      <c r="E1113" s="101">
        <f t="shared" si="126"/>
        <v>257133.28900000005</v>
      </c>
      <c r="F1113" s="207">
        <f t="shared" si="130"/>
        <v>247261.96</v>
      </c>
      <c r="G1113" s="338">
        <f t="shared" si="131"/>
        <v>274388.95</v>
      </c>
      <c r="H1113" s="338">
        <f t="shared" si="132"/>
        <v>290328.17</v>
      </c>
    </row>
    <row r="1114" spans="1:8" ht="13.2" customHeight="1" x14ac:dyDescent="0.25">
      <c r="A1114" s="99">
        <v>31214</v>
      </c>
      <c r="B1114" s="83" t="s">
        <v>1103</v>
      </c>
      <c r="C1114" s="100">
        <v>5.09</v>
      </c>
      <c r="D1114" s="100">
        <v>4.46</v>
      </c>
      <c r="E1114" s="101">
        <f t="shared" si="126"/>
        <v>196813.29940000002</v>
      </c>
      <c r="F1114" s="207">
        <f t="shared" si="130"/>
        <v>189157.52</v>
      </c>
      <c r="G1114" s="338">
        <f t="shared" si="131"/>
        <v>209909.9</v>
      </c>
      <c r="H1114" s="338">
        <f t="shared" si="132"/>
        <v>222103.54</v>
      </c>
    </row>
    <row r="1115" spans="1:8" x14ac:dyDescent="0.25">
      <c r="A1115" s="3">
        <v>31215</v>
      </c>
      <c r="B1115" s="84" t="s">
        <v>1085</v>
      </c>
      <c r="C1115" s="100">
        <v>5.09</v>
      </c>
      <c r="D1115" s="100">
        <v>4.46</v>
      </c>
      <c r="E1115" s="101">
        <f t="shared" si="126"/>
        <v>196813.29940000002</v>
      </c>
      <c r="F1115" s="207">
        <f t="shared" si="130"/>
        <v>189157.52</v>
      </c>
      <c r="G1115" s="338">
        <f t="shared" si="131"/>
        <v>209909.9</v>
      </c>
      <c r="H1115" s="338">
        <f t="shared" si="132"/>
        <v>222103.54</v>
      </c>
    </row>
    <row r="1116" spans="1:8" x14ac:dyDescent="0.25">
      <c r="A1116" s="3">
        <v>31216</v>
      </c>
      <c r="B1116" s="84" t="s">
        <v>1096</v>
      </c>
      <c r="C1116" s="100">
        <v>5.69</v>
      </c>
      <c r="D1116" s="100">
        <v>4.99</v>
      </c>
      <c r="E1116" s="101">
        <f t="shared" si="126"/>
        <v>220013.29540000003</v>
      </c>
      <c r="F1116" s="207">
        <f t="shared" si="130"/>
        <v>211635.88</v>
      </c>
      <c r="G1116" s="338">
        <f t="shared" si="131"/>
        <v>234854.35</v>
      </c>
      <c r="H1116" s="338">
        <f t="shared" si="132"/>
        <v>248497.01</v>
      </c>
    </row>
    <row r="1117" spans="1:8" x14ac:dyDescent="0.25">
      <c r="A1117" s="3">
        <v>31217</v>
      </c>
      <c r="B1117" s="84" t="s">
        <v>1097</v>
      </c>
      <c r="C1117" s="100">
        <v>5.69</v>
      </c>
      <c r="D1117" s="100">
        <v>4.99</v>
      </c>
      <c r="E1117" s="101">
        <f t="shared" si="126"/>
        <v>220013.29540000003</v>
      </c>
      <c r="F1117" s="207">
        <f t="shared" si="130"/>
        <v>211635.88</v>
      </c>
      <c r="G1117" s="338">
        <f t="shared" si="131"/>
        <v>234854.35</v>
      </c>
      <c r="H1117" s="338">
        <f t="shared" si="132"/>
        <v>248497.01</v>
      </c>
    </row>
    <row r="1118" spans="1:8" x14ac:dyDescent="0.25">
      <c r="A1118" s="3">
        <v>31218</v>
      </c>
      <c r="B1118" s="84" t="s">
        <v>1098</v>
      </c>
      <c r="C1118" s="100">
        <v>9.68</v>
      </c>
      <c r="D1118" s="100">
        <v>8.49</v>
      </c>
      <c r="E1118" s="101">
        <f t="shared" si="126"/>
        <v>374293.26880000002</v>
      </c>
      <c r="F1118" s="207">
        <f t="shared" si="130"/>
        <v>360077.88</v>
      </c>
      <c r="G1118" s="338">
        <f t="shared" si="131"/>
        <v>399581.85000000003</v>
      </c>
      <c r="H1118" s="338">
        <f t="shared" si="132"/>
        <v>422793.51</v>
      </c>
    </row>
    <row r="1119" spans="1:8" x14ac:dyDescent="0.25">
      <c r="A1119" s="3">
        <v>31219</v>
      </c>
      <c r="B1119" s="84" t="s">
        <v>1099</v>
      </c>
      <c r="C1119" s="100">
        <v>6.65</v>
      </c>
      <c r="D1119" s="100">
        <v>5.83</v>
      </c>
      <c r="E1119" s="101">
        <f t="shared" si="126"/>
        <v>257133.28900000005</v>
      </c>
      <c r="F1119" s="207">
        <f t="shared" si="130"/>
        <v>247261.96</v>
      </c>
      <c r="G1119" s="338">
        <f t="shared" si="131"/>
        <v>274388.95</v>
      </c>
      <c r="H1119" s="338">
        <f t="shared" si="132"/>
        <v>290328.17</v>
      </c>
    </row>
    <row r="1120" spans="1:8" x14ac:dyDescent="0.25">
      <c r="A1120" s="3">
        <v>31220</v>
      </c>
      <c r="B1120" s="84" t="s">
        <v>1100</v>
      </c>
      <c r="C1120" s="100">
        <v>8.1</v>
      </c>
      <c r="D1120" s="100">
        <v>7.1</v>
      </c>
      <c r="E1120" s="101">
        <f t="shared" si="126"/>
        <v>313199.946</v>
      </c>
      <c r="F1120" s="207">
        <f t="shared" si="130"/>
        <v>301125.2</v>
      </c>
      <c r="G1120" s="338">
        <f t="shared" si="131"/>
        <v>334161.5</v>
      </c>
      <c r="H1120" s="338">
        <f t="shared" si="132"/>
        <v>353572.89999999997</v>
      </c>
    </row>
    <row r="1121" spans="1:8" ht="14.4" thickBot="1" x14ac:dyDescent="0.3">
      <c r="A1121" s="8">
        <v>31221</v>
      </c>
      <c r="B1121" s="86" t="s">
        <v>1101</v>
      </c>
      <c r="C1121" s="100">
        <v>4.53</v>
      </c>
      <c r="D1121" s="100">
        <v>3.97</v>
      </c>
      <c r="E1121" s="101">
        <f t="shared" si="126"/>
        <v>175159.96980000002</v>
      </c>
      <c r="F1121" s="207">
        <f t="shared" si="130"/>
        <v>168375.64</v>
      </c>
      <c r="G1121" s="338">
        <f t="shared" si="131"/>
        <v>186848.05000000002</v>
      </c>
      <c r="H1121" s="338">
        <f t="shared" si="132"/>
        <v>197702.03</v>
      </c>
    </row>
    <row r="1122" spans="1:8" ht="14.4" thickBot="1" x14ac:dyDescent="0.3">
      <c r="A1122" s="76" t="s">
        <v>1152</v>
      </c>
      <c r="B1122" s="21"/>
      <c r="C1122" s="357"/>
      <c r="D1122" s="354" t="s">
        <v>3476</v>
      </c>
      <c r="E1122" s="354" t="s">
        <v>3476</v>
      </c>
      <c r="F1122" s="354" t="s">
        <v>3476</v>
      </c>
      <c r="G1122" s="355" t="s">
        <v>3476</v>
      </c>
      <c r="H1122" s="356" t="s">
        <v>3476</v>
      </c>
    </row>
    <row r="1123" spans="1:8" ht="14.4" thickBot="1" x14ac:dyDescent="0.3">
      <c r="A1123" s="107" t="s">
        <v>1104</v>
      </c>
      <c r="B1123" s="91"/>
      <c r="C1123" s="56"/>
      <c r="D1123" s="354" t="s">
        <v>3476</v>
      </c>
      <c r="E1123" s="354" t="s">
        <v>3476</v>
      </c>
      <c r="F1123" s="354" t="s">
        <v>3476</v>
      </c>
      <c r="G1123" s="355" t="s">
        <v>3476</v>
      </c>
      <c r="H1123" s="356" t="s">
        <v>3476</v>
      </c>
    </row>
    <row r="1124" spans="1:8" x14ac:dyDescent="0.25">
      <c r="A1124" s="3">
        <v>31301</v>
      </c>
      <c r="B1124" s="2" t="s">
        <v>1105</v>
      </c>
      <c r="C1124" s="100">
        <v>34.4</v>
      </c>
      <c r="D1124" s="100">
        <v>30.17</v>
      </c>
      <c r="E1124" s="101">
        <f t="shared" ref="E1124:E1148" si="133">+$C1124*$E$2</f>
        <v>1330133.1040000001</v>
      </c>
      <c r="F1124" s="207">
        <f t="shared" ref="F1124:F1130" si="134">+$D1124*$F$2</f>
        <v>1279570.04</v>
      </c>
      <c r="G1124" s="338">
        <f t="shared" ref="G1124:G1130" si="135">+$D1124*$G$2</f>
        <v>1419951.05</v>
      </c>
      <c r="H1124" s="338">
        <f t="shared" ref="H1124:H1130" si="136">+$D1124*$H$2</f>
        <v>1502435.83</v>
      </c>
    </row>
    <row r="1125" spans="1:8" x14ac:dyDescent="0.25">
      <c r="A1125" s="3">
        <v>31302</v>
      </c>
      <c r="B1125" s="2" t="s">
        <v>1106</v>
      </c>
      <c r="C1125" s="100">
        <v>68.77</v>
      </c>
      <c r="D1125" s="100">
        <v>60.32</v>
      </c>
      <c r="E1125" s="101">
        <f t="shared" si="133"/>
        <v>2659106.2082000002</v>
      </c>
      <c r="F1125" s="207">
        <f t="shared" si="134"/>
        <v>2558291.84</v>
      </c>
      <c r="G1125" s="338">
        <f t="shared" si="135"/>
        <v>2838960.8</v>
      </c>
      <c r="H1125" s="338">
        <f t="shared" si="136"/>
        <v>3003875.68</v>
      </c>
    </row>
    <row r="1126" spans="1:8" ht="41.4" x14ac:dyDescent="0.25">
      <c r="A1126" s="99">
        <v>31303</v>
      </c>
      <c r="B1126" s="2" t="s">
        <v>1107</v>
      </c>
      <c r="C1126" s="100">
        <v>85.97</v>
      </c>
      <c r="D1126" s="100">
        <v>75.400000000000006</v>
      </c>
      <c r="E1126" s="101">
        <f t="shared" si="133"/>
        <v>3324172.7602000004</v>
      </c>
      <c r="F1126" s="207">
        <f t="shared" si="134"/>
        <v>3197864.8000000003</v>
      </c>
      <c r="G1126" s="338">
        <f t="shared" si="135"/>
        <v>3548701.0000000005</v>
      </c>
      <c r="H1126" s="338">
        <f t="shared" si="136"/>
        <v>3754844.6</v>
      </c>
    </row>
    <row r="1127" spans="1:8" ht="41.4" x14ac:dyDescent="0.25">
      <c r="A1127" s="3">
        <v>31304</v>
      </c>
      <c r="B1127" s="102" t="s">
        <v>1151</v>
      </c>
      <c r="C1127" s="100">
        <v>80.239999999999995</v>
      </c>
      <c r="D1127" s="100">
        <v>70.38</v>
      </c>
      <c r="E1127" s="101">
        <f t="shared" si="133"/>
        <v>3102612.7984000002</v>
      </c>
      <c r="F1127" s="207">
        <f t="shared" si="134"/>
        <v>2984956.5599999996</v>
      </c>
      <c r="G1127" s="338">
        <f t="shared" si="135"/>
        <v>3312434.6999999997</v>
      </c>
      <c r="H1127" s="338">
        <f t="shared" si="136"/>
        <v>3504853.6199999996</v>
      </c>
    </row>
    <row r="1128" spans="1:8" x14ac:dyDescent="0.25">
      <c r="A1128" s="3">
        <v>31305</v>
      </c>
      <c r="B1128" s="2" t="s">
        <v>1108</v>
      </c>
      <c r="C1128" s="100">
        <v>74.510000000000005</v>
      </c>
      <c r="D1128" s="100">
        <v>65.349999999999994</v>
      </c>
      <c r="E1128" s="101">
        <f t="shared" si="133"/>
        <v>2881052.8366000005</v>
      </c>
      <c r="F1128" s="207">
        <f t="shared" si="134"/>
        <v>2771624.1999999997</v>
      </c>
      <c r="G1128" s="338">
        <f t="shared" si="135"/>
        <v>3075697.7499999995</v>
      </c>
      <c r="H1128" s="338">
        <f t="shared" si="136"/>
        <v>3254364.65</v>
      </c>
    </row>
    <row r="1129" spans="1:8" x14ac:dyDescent="0.25">
      <c r="A1129" s="3">
        <v>31306</v>
      </c>
      <c r="B1129" s="2" t="s">
        <v>1109</v>
      </c>
      <c r="C1129" s="100">
        <v>68.77</v>
      </c>
      <c r="D1129" s="100">
        <v>60.32</v>
      </c>
      <c r="E1129" s="101">
        <f t="shared" si="133"/>
        <v>2659106.2082000002</v>
      </c>
      <c r="F1129" s="207">
        <f t="shared" si="134"/>
        <v>2558291.84</v>
      </c>
      <c r="G1129" s="338">
        <f t="shared" si="135"/>
        <v>2838960.8</v>
      </c>
      <c r="H1129" s="338">
        <f t="shared" si="136"/>
        <v>3003875.68</v>
      </c>
    </row>
    <row r="1130" spans="1:8" ht="14.4" thickBot="1" x14ac:dyDescent="0.3">
      <c r="A1130" s="8">
        <v>31307</v>
      </c>
      <c r="B1130" s="9" t="s">
        <v>1110</v>
      </c>
      <c r="C1130" s="100">
        <v>32.54</v>
      </c>
      <c r="D1130" s="100">
        <v>28.54</v>
      </c>
      <c r="E1130" s="101">
        <f t="shared" si="133"/>
        <v>1258213.1164000002</v>
      </c>
      <c r="F1130" s="207">
        <f t="shared" si="134"/>
        <v>1210438.48</v>
      </c>
      <c r="G1130" s="338">
        <f t="shared" si="135"/>
        <v>1343235.0999999999</v>
      </c>
      <c r="H1130" s="338">
        <f t="shared" si="136"/>
        <v>1421263.46</v>
      </c>
    </row>
    <row r="1131" spans="1:8" ht="14.4" customHeight="1" thickBot="1" x14ac:dyDescent="0.3">
      <c r="A1131" s="232" t="s">
        <v>3482</v>
      </c>
      <c r="B1131" s="108"/>
      <c r="C1131" s="35"/>
      <c r="D1131" s="354" t="s">
        <v>3476</v>
      </c>
      <c r="E1131" s="354" t="s">
        <v>3476</v>
      </c>
      <c r="F1131" s="354" t="s">
        <v>3476</v>
      </c>
      <c r="G1131" s="355" t="s">
        <v>3476</v>
      </c>
      <c r="H1131" s="356" t="s">
        <v>3476</v>
      </c>
    </row>
    <row r="1132" spans="1:8" ht="14.4" customHeight="1" x14ac:dyDescent="0.25">
      <c r="A1132" s="3">
        <v>32101</v>
      </c>
      <c r="B1132" s="2" t="s">
        <v>1111</v>
      </c>
      <c r="C1132" s="100">
        <v>13.81</v>
      </c>
      <c r="D1132" s="100">
        <v>12.11</v>
      </c>
      <c r="E1132" s="101">
        <f t="shared" si="133"/>
        <v>533986.57460000005</v>
      </c>
      <c r="F1132" s="207">
        <f t="shared" ref="F1132:F1148" si="137">+$D1132*$F$2</f>
        <v>513609.31999999995</v>
      </c>
      <c r="G1132" s="338">
        <f t="shared" ref="G1132:G1148" si="138">+$D1132*$G$2</f>
        <v>569957.15</v>
      </c>
      <c r="H1132" s="338">
        <f t="shared" ref="H1132:H1148" si="139">+$D1132*$H$2</f>
        <v>603065.89</v>
      </c>
    </row>
    <row r="1133" spans="1:8" ht="14.4" customHeight="1" x14ac:dyDescent="0.25">
      <c r="A1133" s="3">
        <v>32102</v>
      </c>
      <c r="B1133" s="2" t="s">
        <v>1112</v>
      </c>
      <c r="C1133" s="100">
        <v>13.81</v>
      </c>
      <c r="D1133" s="100">
        <v>12.11</v>
      </c>
      <c r="E1133" s="101">
        <f t="shared" si="133"/>
        <v>533986.57460000005</v>
      </c>
      <c r="F1133" s="207">
        <f t="shared" si="137"/>
        <v>513609.31999999995</v>
      </c>
      <c r="G1133" s="338">
        <f t="shared" si="138"/>
        <v>569957.15</v>
      </c>
      <c r="H1133" s="338">
        <f t="shared" si="139"/>
        <v>603065.89</v>
      </c>
    </row>
    <row r="1134" spans="1:8" x14ac:dyDescent="0.25">
      <c r="A1134" s="3">
        <v>32103</v>
      </c>
      <c r="B1134" s="2" t="s">
        <v>1113</v>
      </c>
      <c r="C1134" s="100">
        <v>12.67</v>
      </c>
      <c r="D1134" s="100">
        <v>11.11</v>
      </c>
      <c r="E1134" s="101">
        <f t="shared" si="133"/>
        <v>489906.58220000006</v>
      </c>
      <c r="F1134" s="207">
        <f t="shared" si="137"/>
        <v>471197.31999999995</v>
      </c>
      <c r="G1134" s="338">
        <f t="shared" si="138"/>
        <v>522892.14999999997</v>
      </c>
      <c r="H1134" s="338">
        <f t="shared" si="139"/>
        <v>553266.89</v>
      </c>
    </row>
    <row r="1135" spans="1:8" x14ac:dyDescent="0.25">
      <c r="A1135" s="3">
        <v>32106</v>
      </c>
      <c r="B1135" s="2" t="s">
        <v>1114</v>
      </c>
      <c r="C1135" s="100">
        <v>13.81</v>
      </c>
      <c r="D1135" s="100">
        <v>12.11</v>
      </c>
      <c r="E1135" s="101">
        <f t="shared" si="133"/>
        <v>533986.57460000005</v>
      </c>
      <c r="F1135" s="207">
        <f t="shared" si="137"/>
        <v>513609.31999999995</v>
      </c>
      <c r="G1135" s="338">
        <f t="shared" si="138"/>
        <v>569957.15</v>
      </c>
      <c r="H1135" s="338">
        <f t="shared" si="139"/>
        <v>603065.89</v>
      </c>
    </row>
    <row r="1136" spans="1:8" x14ac:dyDescent="0.25">
      <c r="A1136" s="3">
        <v>32107</v>
      </c>
      <c r="B1136" s="2" t="s">
        <v>1115</v>
      </c>
      <c r="C1136" s="100">
        <v>13.81</v>
      </c>
      <c r="D1136" s="100">
        <v>12.11</v>
      </c>
      <c r="E1136" s="101">
        <f t="shared" si="133"/>
        <v>533986.57460000005</v>
      </c>
      <c r="F1136" s="207">
        <f t="shared" si="137"/>
        <v>513609.31999999995</v>
      </c>
      <c r="G1136" s="338">
        <f t="shared" si="138"/>
        <v>569957.15</v>
      </c>
      <c r="H1136" s="338">
        <f t="shared" si="139"/>
        <v>603065.89</v>
      </c>
    </row>
    <row r="1137" spans="1:8" x14ac:dyDescent="0.25">
      <c r="A1137" s="3">
        <v>32108</v>
      </c>
      <c r="B1137" s="2" t="s">
        <v>1116</v>
      </c>
      <c r="C1137" s="100">
        <v>12.67</v>
      </c>
      <c r="D1137" s="100">
        <v>11.11</v>
      </c>
      <c r="E1137" s="101">
        <f t="shared" si="133"/>
        <v>489906.58220000006</v>
      </c>
      <c r="F1137" s="207">
        <f t="shared" si="137"/>
        <v>471197.31999999995</v>
      </c>
      <c r="G1137" s="338">
        <f t="shared" si="138"/>
        <v>522892.14999999997</v>
      </c>
      <c r="H1137" s="338">
        <f t="shared" si="139"/>
        <v>553266.89</v>
      </c>
    </row>
    <row r="1138" spans="1:8" x14ac:dyDescent="0.25">
      <c r="A1138" s="3">
        <v>32109</v>
      </c>
      <c r="B1138" s="2" t="s">
        <v>1117</v>
      </c>
      <c r="C1138" s="100">
        <v>19.72</v>
      </c>
      <c r="D1138" s="100">
        <v>17.3</v>
      </c>
      <c r="E1138" s="101">
        <f t="shared" si="133"/>
        <v>762506.53520000004</v>
      </c>
      <c r="F1138" s="207">
        <f t="shared" si="137"/>
        <v>733727.6</v>
      </c>
      <c r="G1138" s="338">
        <f t="shared" si="138"/>
        <v>814224.5</v>
      </c>
      <c r="H1138" s="338">
        <f t="shared" si="139"/>
        <v>861522.70000000007</v>
      </c>
    </row>
    <row r="1139" spans="1:8" x14ac:dyDescent="0.25">
      <c r="A1139" s="3">
        <v>32110</v>
      </c>
      <c r="B1139" s="2" t="s">
        <v>1118</v>
      </c>
      <c r="C1139" s="100">
        <v>19.72</v>
      </c>
      <c r="D1139" s="100">
        <v>17.3</v>
      </c>
      <c r="E1139" s="101">
        <f t="shared" si="133"/>
        <v>762506.53520000004</v>
      </c>
      <c r="F1139" s="207">
        <f t="shared" si="137"/>
        <v>733727.6</v>
      </c>
      <c r="G1139" s="338">
        <f t="shared" si="138"/>
        <v>814224.5</v>
      </c>
      <c r="H1139" s="338">
        <f t="shared" si="139"/>
        <v>861522.70000000007</v>
      </c>
    </row>
    <row r="1140" spans="1:8" x14ac:dyDescent="0.25">
      <c r="A1140" s="3">
        <v>32111</v>
      </c>
      <c r="B1140" s="2" t="s">
        <v>1119</v>
      </c>
      <c r="C1140" s="100">
        <v>15.78</v>
      </c>
      <c r="D1140" s="100">
        <v>13.84</v>
      </c>
      <c r="E1140" s="101">
        <f t="shared" si="133"/>
        <v>610159.89480000001</v>
      </c>
      <c r="F1140" s="207">
        <f t="shared" si="137"/>
        <v>586982.07999999996</v>
      </c>
      <c r="G1140" s="338">
        <f t="shared" si="138"/>
        <v>651379.6</v>
      </c>
      <c r="H1140" s="338">
        <f t="shared" si="139"/>
        <v>689218.16</v>
      </c>
    </row>
    <row r="1141" spans="1:8" x14ac:dyDescent="0.25">
      <c r="A1141" s="3">
        <v>32112</v>
      </c>
      <c r="B1141" s="2" t="s">
        <v>1120</v>
      </c>
      <c r="C1141" s="100">
        <v>29.58</v>
      </c>
      <c r="D1141" s="100">
        <v>25.94</v>
      </c>
      <c r="E1141" s="101">
        <f t="shared" si="133"/>
        <v>1143759.8027999999</v>
      </c>
      <c r="F1141" s="207">
        <f t="shared" si="137"/>
        <v>1100167.28</v>
      </c>
      <c r="G1141" s="338">
        <f t="shared" si="138"/>
        <v>1220866.1000000001</v>
      </c>
      <c r="H1141" s="338">
        <f t="shared" si="139"/>
        <v>1291786.06</v>
      </c>
    </row>
    <row r="1142" spans="1:8" x14ac:dyDescent="0.25">
      <c r="A1142" s="3">
        <v>32113</v>
      </c>
      <c r="B1142" s="2" t="s">
        <v>1121</v>
      </c>
      <c r="C1142" s="100">
        <v>12.67</v>
      </c>
      <c r="D1142" s="100">
        <v>11.11</v>
      </c>
      <c r="E1142" s="101">
        <f t="shared" si="133"/>
        <v>489906.58220000006</v>
      </c>
      <c r="F1142" s="207">
        <f t="shared" si="137"/>
        <v>471197.31999999995</v>
      </c>
      <c r="G1142" s="338">
        <f t="shared" si="138"/>
        <v>522892.14999999997</v>
      </c>
      <c r="H1142" s="338">
        <f t="shared" si="139"/>
        <v>553266.89</v>
      </c>
    </row>
    <row r="1143" spans="1:8" x14ac:dyDescent="0.25">
      <c r="A1143" s="3">
        <v>32114</v>
      </c>
      <c r="B1143" s="2" t="s">
        <v>1122</v>
      </c>
      <c r="C1143" s="100">
        <v>5.33</v>
      </c>
      <c r="D1143" s="100">
        <v>4.67</v>
      </c>
      <c r="E1143" s="101">
        <f t="shared" si="133"/>
        <v>206093.29780000003</v>
      </c>
      <c r="F1143" s="207">
        <f t="shared" si="137"/>
        <v>198064.04</v>
      </c>
      <c r="G1143" s="338">
        <f t="shared" si="138"/>
        <v>219793.55</v>
      </c>
      <c r="H1143" s="338">
        <f t="shared" si="139"/>
        <v>232561.33</v>
      </c>
    </row>
    <row r="1144" spans="1:8" x14ac:dyDescent="0.25">
      <c r="A1144" s="3">
        <v>32115</v>
      </c>
      <c r="B1144" s="2" t="s">
        <v>1123</v>
      </c>
      <c r="C1144" s="100">
        <v>49.3</v>
      </c>
      <c r="D1144" s="100">
        <v>43.24</v>
      </c>
      <c r="E1144" s="101">
        <f t="shared" si="133"/>
        <v>1906266.338</v>
      </c>
      <c r="F1144" s="207">
        <f t="shared" si="137"/>
        <v>1833894.8800000001</v>
      </c>
      <c r="G1144" s="338">
        <f t="shared" si="138"/>
        <v>2035090.6</v>
      </c>
      <c r="H1144" s="338">
        <f t="shared" si="139"/>
        <v>2153308.7600000002</v>
      </c>
    </row>
    <row r="1145" spans="1:8" x14ac:dyDescent="0.25">
      <c r="A1145" s="3">
        <v>32116</v>
      </c>
      <c r="B1145" s="2" t="s">
        <v>1124</v>
      </c>
      <c r="C1145" s="100">
        <v>2.81</v>
      </c>
      <c r="D1145" s="100">
        <v>2.46</v>
      </c>
      <c r="E1145" s="101">
        <f t="shared" si="133"/>
        <v>108653.31460000001</v>
      </c>
      <c r="F1145" s="207">
        <f t="shared" si="137"/>
        <v>104333.52</v>
      </c>
      <c r="G1145" s="338">
        <f t="shared" si="138"/>
        <v>115779.9</v>
      </c>
      <c r="H1145" s="338">
        <f t="shared" si="139"/>
        <v>122505.54</v>
      </c>
    </row>
    <row r="1146" spans="1:8" x14ac:dyDescent="0.25">
      <c r="A1146" s="3">
        <v>32117</v>
      </c>
      <c r="B1146" s="2" t="s">
        <v>1125</v>
      </c>
      <c r="C1146" s="100">
        <v>59.17</v>
      </c>
      <c r="D1146" s="100">
        <v>51.9</v>
      </c>
      <c r="E1146" s="101">
        <f t="shared" si="133"/>
        <v>2287906.2722000005</v>
      </c>
      <c r="F1146" s="207">
        <f t="shared" si="137"/>
        <v>2201182.7999999998</v>
      </c>
      <c r="G1146" s="338">
        <f t="shared" si="138"/>
        <v>2442673.5</v>
      </c>
      <c r="H1146" s="338">
        <f t="shared" si="139"/>
        <v>2584568.1</v>
      </c>
    </row>
    <row r="1147" spans="1:8" ht="27.6" x14ac:dyDescent="0.25">
      <c r="A1147" s="3">
        <v>32118</v>
      </c>
      <c r="B1147" s="2" t="s">
        <v>1153</v>
      </c>
      <c r="C1147" s="100">
        <v>13.75</v>
      </c>
      <c r="D1147" s="100">
        <v>12.06</v>
      </c>
      <c r="E1147" s="101">
        <f t="shared" si="133"/>
        <v>531666.57500000007</v>
      </c>
      <c r="F1147" s="207">
        <f t="shared" si="137"/>
        <v>511488.72000000003</v>
      </c>
      <c r="G1147" s="338">
        <f t="shared" si="138"/>
        <v>567603.9</v>
      </c>
      <c r="H1147" s="338">
        <f t="shared" si="139"/>
        <v>600575.94000000006</v>
      </c>
    </row>
    <row r="1148" spans="1:8" ht="14.4" thickBot="1" x14ac:dyDescent="0.3">
      <c r="A1148" s="8">
        <v>32119</v>
      </c>
      <c r="B1148" s="9" t="s">
        <v>1126</v>
      </c>
      <c r="C1148" s="100">
        <v>1.24</v>
      </c>
      <c r="D1148" s="100">
        <v>1.0900000000000001</v>
      </c>
      <c r="E1148" s="101">
        <f t="shared" si="133"/>
        <v>47946.658400000008</v>
      </c>
      <c r="F1148" s="207">
        <f t="shared" si="137"/>
        <v>46229.08</v>
      </c>
      <c r="G1148" s="338">
        <f t="shared" si="138"/>
        <v>51300.850000000006</v>
      </c>
      <c r="H1148" s="338">
        <f t="shared" si="139"/>
        <v>54280.91</v>
      </c>
    </row>
    <row r="1149" spans="1:8" ht="14.4" thickBot="1" x14ac:dyDescent="0.3">
      <c r="A1149" s="15" t="s">
        <v>1154</v>
      </c>
      <c r="B1149" s="21"/>
      <c r="C1149" s="35"/>
      <c r="D1149" s="354" t="s">
        <v>3476</v>
      </c>
      <c r="E1149" s="354" t="s">
        <v>3476</v>
      </c>
      <c r="F1149" s="354" t="s">
        <v>3476</v>
      </c>
      <c r="G1149" s="355" t="s">
        <v>3476</v>
      </c>
      <c r="H1149" s="356" t="s">
        <v>3476</v>
      </c>
    </row>
    <row r="1150" spans="1:8" ht="14.4" thickBot="1" x14ac:dyDescent="0.3">
      <c r="A1150" s="17" t="s">
        <v>1155</v>
      </c>
      <c r="B1150" s="21"/>
      <c r="C1150" s="35"/>
      <c r="D1150" s="354" t="s">
        <v>3476</v>
      </c>
      <c r="E1150" s="354" t="s">
        <v>3476</v>
      </c>
      <c r="F1150" s="354" t="s">
        <v>3476</v>
      </c>
      <c r="G1150" s="355" t="s">
        <v>3476</v>
      </c>
      <c r="H1150" s="356" t="s">
        <v>3476</v>
      </c>
    </row>
    <row r="1151" spans="1:8" ht="27.6" x14ac:dyDescent="0.25">
      <c r="A1151" s="3">
        <v>33101</v>
      </c>
      <c r="B1151" s="105" t="s">
        <v>1127</v>
      </c>
      <c r="C1151" s="100">
        <v>62.04</v>
      </c>
      <c r="D1151" s="100">
        <v>54.42</v>
      </c>
      <c r="E1151" s="101">
        <f t="shared" ref="E1151:E1170" si="140">+$C1151*$E$2</f>
        <v>2398879.5864000004</v>
      </c>
      <c r="F1151" s="207">
        <f>+$D1151*$F$2</f>
        <v>2308061.04</v>
      </c>
      <c r="G1151" s="338">
        <f>+$D1151*$G$2</f>
        <v>2561277.3000000003</v>
      </c>
      <c r="H1151" s="338">
        <f>+$D1151*$H$2</f>
        <v>2710061.58</v>
      </c>
    </row>
    <row r="1152" spans="1:8" ht="41.4" x14ac:dyDescent="0.25">
      <c r="A1152" s="3">
        <v>33102</v>
      </c>
      <c r="B1152" s="2" t="s">
        <v>1156</v>
      </c>
      <c r="C1152" s="100">
        <v>77.349999999999994</v>
      </c>
      <c r="D1152" s="100">
        <v>67.84</v>
      </c>
      <c r="E1152" s="101">
        <f t="shared" si="140"/>
        <v>2990866.1510000001</v>
      </c>
      <c r="F1152" s="207">
        <f>+$D1152*$F$2</f>
        <v>2877230.08</v>
      </c>
      <c r="G1152" s="338">
        <f>+$D1152*$G$2</f>
        <v>3192889.6</v>
      </c>
      <c r="H1152" s="338">
        <f>+$D1152*$H$2</f>
        <v>3378364.16</v>
      </c>
    </row>
    <row r="1153" spans="1:8" ht="41.4" x14ac:dyDescent="0.25">
      <c r="A1153" s="99">
        <v>33103</v>
      </c>
      <c r="B1153" s="2" t="s">
        <v>1157</v>
      </c>
      <c r="C1153" s="100">
        <v>93.41</v>
      </c>
      <c r="D1153" s="100">
        <v>81.93</v>
      </c>
      <c r="E1153" s="101">
        <f t="shared" si="140"/>
        <v>3611852.7106000003</v>
      </c>
      <c r="F1153" s="207">
        <f>+$D1153*$F$2</f>
        <v>3474815.16</v>
      </c>
      <c r="G1153" s="338">
        <f>+$D1153*$G$2</f>
        <v>3856035.45</v>
      </c>
      <c r="H1153" s="338">
        <f>+$D1153*$H$2</f>
        <v>4080032.0700000003</v>
      </c>
    </row>
    <row r="1154" spans="1:8" ht="27.6" x14ac:dyDescent="0.25">
      <c r="A1154" s="3">
        <v>33104</v>
      </c>
      <c r="B1154" s="2" t="s">
        <v>1158</v>
      </c>
      <c r="C1154" s="100">
        <v>107.68</v>
      </c>
      <c r="D1154" s="100">
        <v>94.45</v>
      </c>
      <c r="E1154" s="101">
        <f t="shared" si="140"/>
        <v>4163625.9488000008</v>
      </c>
      <c r="F1154" s="207">
        <f>+$D1154*$F$2</f>
        <v>4005813.4</v>
      </c>
      <c r="G1154" s="338">
        <f>+$D1154*$G$2</f>
        <v>4445289.25</v>
      </c>
      <c r="H1154" s="338">
        <f>+$D1154*$H$2</f>
        <v>4703515.55</v>
      </c>
    </row>
    <row r="1155" spans="1:8" ht="42" thickBot="1" x14ac:dyDescent="0.3">
      <c r="A1155" s="111">
        <v>33105</v>
      </c>
      <c r="B1155" s="9" t="s">
        <v>1159</v>
      </c>
      <c r="C1155" s="100">
        <v>36.369999999999997</v>
      </c>
      <c r="D1155" s="100">
        <v>31.9</v>
      </c>
      <c r="E1155" s="101">
        <f t="shared" si="140"/>
        <v>1406306.4242</v>
      </c>
      <c r="F1155" s="207">
        <f>+$D1155*$F$2</f>
        <v>1352942.8</v>
      </c>
      <c r="G1155" s="338">
        <f>+$D1155*$G$2</f>
        <v>1501373.5</v>
      </c>
      <c r="H1155" s="338">
        <f>+$D1155*$H$2</f>
        <v>1588588.0999999999</v>
      </c>
    </row>
    <row r="1156" spans="1:8" ht="14.4" thickBot="1" x14ac:dyDescent="0.3">
      <c r="A1156" s="66" t="s">
        <v>1128</v>
      </c>
      <c r="B1156" s="67"/>
      <c r="C1156" s="80"/>
      <c r="D1156" s="354" t="s">
        <v>3476</v>
      </c>
      <c r="E1156" s="354" t="s">
        <v>3476</v>
      </c>
      <c r="F1156" s="354" t="s">
        <v>3476</v>
      </c>
      <c r="G1156" s="355" t="s">
        <v>3476</v>
      </c>
      <c r="H1156" s="356" t="s">
        <v>3476</v>
      </c>
    </row>
    <row r="1157" spans="1:8" x14ac:dyDescent="0.25">
      <c r="A1157" s="4">
        <v>33201</v>
      </c>
      <c r="B1157" s="110" t="s">
        <v>1129</v>
      </c>
      <c r="C1157" s="100">
        <v>29.68</v>
      </c>
      <c r="D1157" s="100">
        <v>26.03</v>
      </c>
      <c r="E1157" s="101">
        <f t="shared" si="140"/>
        <v>1147626.4688000001</v>
      </c>
      <c r="F1157" s="207">
        <f>+$D1157*$F$2</f>
        <v>1103984.3600000001</v>
      </c>
      <c r="G1157" s="338">
        <f>+$D1157*$G$2</f>
        <v>1225101.95</v>
      </c>
      <c r="H1157" s="338">
        <f>+$D1157*$H$2</f>
        <v>1296267.97</v>
      </c>
    </row>
    <row r="1158" spans="1:8" ht="14.4" thickBot="1" x14ac:dyDescent="0.3">
      <c r="A1158" s="8">
        <v>33202</v>
      </c>
      <c r="B1158" s="113" t="s">
        <v>1130</v>
      </c>
      <c r="C1158" s="100">
        <v>59.23</v>
      </c>
      <c r="D1158" s="100">
        <v>51.95</v>
      </c>
      <c r="E1158" s="101">
        <f t="shared" si="140"/>
        <v>2290226.2718000002</v>
      </c>
      <c r="F1158" s="207">
        <f>+$D1158*$F$2</f>
        <v>2203303.4</v>
      </c>
      <c r="G1158" s="338">
        <f>+$D1158*$G$2</f>
        <v>2445026.75</v>
      </c>
      <c r="H1158" s="338">
        <f>+$D1158*$H$2</f>
        <v>2587058.0500000003</v>
      </c>
    </row>
    <row r="1159" spans="1:8" ht="14.4" thickBot="1" x14ac:dyDescent="0.3">
      <c r="A1159" s="66" t="s">
        <v>1131</v>
      </c>
      <c r="B1159" s="77"/>
      <c r="C1159" s="114"/>
      <c r="D1159" s="354" t="s">
        <v>3476</v>
      </c>
      <c r="E1159" s="354" t="s">
        <v>3476</v>
      </c>
      <c r="F1159" s="354" t="s">
        <v>3476</v>
      </c>
      <c r="G1159" s="355" t="s">
        <v>3476</v>
      </c>
      <c r="H1159" s="356" t="s">
        <v>3476</v>
      </c>
    </row>
    <row r="1160" spans="1:8" x14ac:dyDescent="0.25">
      <c r="A1160" s="4">
        <v>33301</v>
      </c>
      <c r="B1160" s="110" t="s">
        <v>1132</v>
      </c>
      <c r="C1160" s="100">
        <v>46.93</v>
      </c>
      <c r="D1160" s="100">
        <v>41.16</v>
      </c>
      <c r="E1160" s="101">
        <f t="shared" si="140"/>
        <v>1814626.3538000002</v>
      </c>
      <c r="F1160" s="207">
        <f>+$D1160*$F$2</f>
        <v>1745677.92</v>
      </c>
      <c r="G1160" s="338">
        <f>+$D1160*$G$2</f>
        <v>1937195.4</v>
      </c>
      <c r="H1160" s="338">
        <f>+$D1160*$H$2</f>
        <v>2049726.8399999999</v>
      </c>
    </row>
    <row r="1161" spans="1:8" x14ac:dyDescent="0.25">
      <c r="A1161" s="3">
        <v>33302</v>
      </c>
      <c r="B1161" s="109" t="s">
        <v>1133</v>
      </c>
      <c r="C1161" s="100">
        <v>69.239999999999995</v>
      </c>
      <c r="D1161" s="100">
        <v>60.73</v>
      </c>
      <c r="E1161" s="101">
        <f t="shared" si="140"/>
        <v>2677279.5384</v>
      </c>
      <c r="F1161" s="207">
        <f>+$D1161*$F$2</f>
        <v>2575680.7599999998</v>
      </c>
      <c r="G1161" s="338">
        <f>+$D1161*$G$2</f>
        <v>2858257.4499999997</v>
      </c>
      <c r="H1161" s="338">
        <f>+$D1161*$H$2</f>
        <v>3024293.27</v>
      </c>
    </row>
    <row r="1162" spans="1:8" x14ac:dyDescent="0.25">
      <c r="A1162" s="3">
        <v>33303</v>
      </c>
      <c r="B1162" s="109" t="s">
        <v>1134</v>
      </c>
      <c r="C1162" s="100">
        <v>75.83</v>
      </c>
      <c r="D1162" s="100">
        <v>66.510000000000005</v>
      </c>
      <c r="E1162" s="101">
        <f t="shared" si="140"/>
        <v>2932092.8278000001</v>
      </c>
      <c r="F1162" s="207">
        <f>+$D1162*$F$2</f>
        <v>2820822.12</v>
      </c>
      <c r="G1162" s="338">
        <f>+$D1162*$G$2</f>
        <v>3130293.1500000004</v>
      </c>
      <c r="H1162" s="338">
        <f>+$D1162*$H$2</f>
        <v>3312131.49</v>
      </c>
    </row>
    <row r="1163" spans="1:8" ht="14.4" thickBot="1" x14ac:dyDescent="0.3">
      <c r="A1163" s="8">
        <v>33304</v>
      </c>
      <c r="B1163" s="113" t="s">
        <v>1135</v>
      </c>
      <c r="C1163" s="100">
        <v>87.49</v>
      </c>
      <c r="D1163" s="100">
        <v>76.739999999999995</v>
      </c>
      <c r="E1163" s="101">
        <f t="shared" si="140"/>
        <v>3382946.0833999999</v>
      </c>
      <c r="F1163" s="207">
        <f>+$D1163*$F$2</f>
        <v>3254696.88</v>
      </c>
      <c r="G1163" s="338">
        <f>+$D1163*$G$2</f>
        <v>3611768.0999999996</v>
      </c>
      <c r="H1163" s="338">
        <f>+$D1163*$H$2</f>
        <v>3821575.26</v>
      </c>
    </row>
    <row r="1164" spans="1:8" ht="14.4" thickBot="1" x14ac:dyDescent="0.3">
      <c r="A1164" s="66" t="s">
        <v>1136</v>
      </c>
      <c r="B1164" s="67"/>
      <c r="C1164" s="80"/>
      <c r="D1164" s="354" t="s">
        <v>3476</v>
      </c>
      <c r="E1164" s="354" t="s">
        <v>3476</v>
      </c>
      <c r="F1164" s="354" t="s">
        <v>3476</v>
      </c>
      <c r="G1164" s="355" t="s">
        <v>3476</v>
      </c>
      <c r="H1164" s="356" t="s">
        <v>3476</v>
      </c>
    </row>
    <row r="1165" spans="1:8" x14ac:dyDescent="0.25">
      <c r="A1165" s="4">
        <v>33401</v>
      </c>
      <c r="B1165" s="110" t="s">
        <v>1137</v>
      </c>
      <c r="C1165" s="100">
        <v>29.78</v>
      </c>
      <c r="D1165" s="100">
        <v>26.12</v>
      </c>
      <c r="E1165" s="101">
        <f t="shared" si="140"/>
        <v>1151493.1348000001</v>
      </c>
      <c r="F1165" s="207">
        <f t="shared" ref="F1165:F1170" si="141">+$D1165*$F$2</f>
        <v>1107801.44</v>
      </c>
      <c r="G1165" s="338">
        <f t="shared" ref="G1165:G1170" si="142">+$D1165*$G$2</f>
        <v>1229337.8</v>
      </c>
      <c r="H1165" s="338">
        <f t="shared" ref="H1165:H1170" si="143">+$D1165*$H$2</f>
        <v>1300749.8800000001</v>
      </c>
    </row>
    <row r="1166" spans="1:8" x14ac:dyDescent="0.25">
      <c r="A1166" s="3">
        <v>33402</v>
      </c>
      <c r="B1166" s="109" t="s">
        <v>1138</v>
      </c>
      <c r="C1166" s="100">
        <v>38.54</v>
      </c>
      <c r="D1166" s="100">
        <v>33.799999999999997</v>
      </c>
      <c r="E1166" s="101">
        <f t="shared" si="140"/>
        <v>1490213.0764000001</v>
      </c>
      <c r="F1166" s="207">
        <f t="shared" si="141"/>
        <v>1433525.5999999999</v>
      </c>
      <c r="G1166" s="338">
        <f t="shared" si="142"/>
        <v>1590796.9999999998</v>
      </c>
      <c r="H1166" s="338">
        <f t="shared" si="143"/>
        <v>1683206.2</v>
      </c>
    </row>
    <row r="1167" spans="1:8" x14ac:dyDescent="0.25">
      <c r="A1167" s="3">
        <v>33403</v>
      </c>
      <c r="B1167" s="109" t="s">
        <v>1139</v>
      </c>
      <c r="C1167" s="100">
        <v>44.49</v>
      </c>
      <c r="D1167" s="100">
        <v>39.020000000000003</v>
      </c>
      <c r="E1167" s="101">
        <f t="shared" si="140"/>
        <v>1720279.7034000002</v>
      </c>
      <c r="F1167" s="207">
        <f t="shared" si="141"/>
        <v>1654916.2400000002</v>
      </c>
      <c r="G1167" s="338">
        <f t="shared" si="142"/>
        <v>1836476.3</v>
      </c>
      <c r="H1167" s="338">
        <f t="shared" si="143"/>
        <v>1943156.9800000002</v>
      </c>
    </row>
    <row r="1168" spans="1:8" x14ac:dyDescent="0.25">
      <c r="A1168" s="3">
        <v>33404</v>
      </c>
      <c r="B1168" s="109" t="s">
        <v>1140</v>
      </c>
      <c r="C1168" s="100">
        <v>59.19</v>
      </c>
      <c r="D1168" s="100">
        <v>51.92</v>
      </c>
      <c r="E1168" s="101">
        <f t="shared" si="140"/>
        <v>2288679.6054000002</v>
      </c>
      <c r="F1168" s="207">
        <f t="shared" si="141"/>
        <v>2202031.04</v>
      </c>
      <c r="G1168" s="338">
        <f t="shared" si="142"/>
        <v>2443614.8000000003</v>
      </c>
      <c r="H1168" s="338">
        <f t="shared" si="143"/>
        <v>2585564.08</v>
      </c>
    </row>
    <row r="1169" spans="1:8" x14ac:dyDescent="0.25">
      <c r="A1169" s="3">
        <v>33405</v>
      </c>
      <c r="B1169" s="109" t="s">
        <v>1141</v>
      </c>
      <c r="C1169" s="100">
        <v>76.94</v>
      </c>
      <c r="D1169" s="100">
        <v>67.48</v>
      </c>
      <c r="E1169" s="101">
        <f t="shared" si="140"/>
        <v>2975012.8204000001</v>
      </c>
      <c r="F1169" s="207">
        <f t="shared" si="141"/>
        <v>2861961.7600000002</v>
      </c>
      <c r="G1169" s="338">
        <f t="shared" si="142"/>
        <v>3175946.2</v>
      </c>
      <c r="H1169" s="338">
        <f t="shared" si="143"/>
        <v>3360436.52</v>
      </c>
    </row>
    <row r="1170" spans="1:8" ht="14.4" thickBot="1" x14ac:dyDescent="0.3">
      <c r="A1170" s="8">
        <v>33406</v>
      </c>
      <c r="B1170" s="113" t="s">
        <v>1142</v>
      </c>
      <c r="C1170" s="100">
        <v>88.75</v>
      </c>
      <c r="D1170" s="100">
        <v>77.84</v>
      </c>
      <c r="E1170" s="101">
        <f t="shared" si="140"/>
        <v>3431666.0750000002</v>
      </c>
      <c r="F1170" s="207">
        <f t="shared" si="141"/>
        <v>3301350.08</v>
      </c>
      <c r="G1170" s="338">
        <f t="shared" si="142"/>
        <v>3663539.6</v>
      </c>
      <c r="H1170" s="338">
        <f t="shared" si="143"/>
        <v>3876354.16</v>
      </c>
    </row>
    <row r="1171" spans="1:8" ht="12.6" customHeight="1" thickBot="1" x14ac:dyDescent="0.3">
      <c r="A1171" s="66" t="s">
        <v>1143</v>
      </c>
      <c r="B1171" s="67"/>
      <c r="C1171" s="115"/>
      <c r="D1171" s="354" t="s">
        <v>3476</v>
      </c>
      <c r="E1171" s="354" t="s">
        <v>3476</v>
      </c>
      <c r="F1171" s="354" t="s">
        <v>3476</v>
      </c>
      <c r="G1171" s="355" t="s">
        <v>3476</v>
      </c>
      <c r="H1171" s="356" t="s">
        <v>3476</v>
      </c>
    </row>
    <row r="1172" spans="1:8" x14ac:dyDescent="0.25">
      <c r="A1172" s="4">
        <v>33501</v>
      </c>
      <c r="B1172" s="110" t="s">
        <v>1144</v>
      </c>
      <c r="C1172" s="100">
        <v>29.78</v>
      </c>
      <c r="D1172" s="100">
        <v>26.12</v>
      </c>
      <c r="E1172" s="101">
        <f t="shared" ref="E1172:E1174" si="144">+$C1172*$E$2</f>
        <v>1151493.1348000001</v>
      </c>
      <c r="F1172" s="207">
        <f>+$D1172*$F$2</f>
        <v>1107801.44</v>
      </c>
      <c r="G1172" s="338">
        <f>+$D1172*$G$2</f>
        <v>1229337.8</v>
      </c>
      <c r="H1172" s="338">
        <f>+$D1172*$H$2</f>
        <v>1300749.8800000001</v>
      </c>
    </row>
    <row r="1173" spans="1:8" x14ac:dyDescent="0.25">
      <c r="A1173" s="3">
        <v>33502</v>
      </c>
      <c r="B1173" s="109" t="s">
        <v>1145</v>
      </c>
      <c r="C1173" s="100">
        <v>59.19</v>
      </c>
      <c r="D1173" s="100">
        <v>51.92</v>
      </c>
      <c r="E1173" s="101">
        <f t="shared" si="144"/>
        <v>2288679.6054000002</v>
      </c>
      <c r="F1173" s="207">
        <f>+$D1173*$F$2</f>
        <v>2202031.04</v>
      </c>
      <c r="G1173" s="338">
        <f>+$D1173*$G$2</f>
        <v>2443614.8000000003</v>
      </c>
      <c r="H1173" s="338">
        <f>+$D1173*$H$2</f>
        <v>2585564.08</v>
      </c>
    </row>
    <row r="1174" spans="1:8" ht="14.4" thickBot="1" x14ac:dyDescent="0.3">
      <c r="A1174" s="8">
        <v>33503</v>
      </c>
      <c r="B1174" s="113" t="s">
        <v>1146</v>
      </c>
      <c r="C1174" s="100">
        <v>88.75</v>
      </c>
      <c r="D1174" s="100">
        <v>77.84</v>
      </c>
      <c r="E1174" s="101">
        <f t="shared" si="144"/>
        <v>3431666.0750000002</v>
      </c>
      <c r="F1174" s="207">
        <f>+$D1174*$F$2</f>
        <v>3301350.08</v>
      </c>
      <c r="G1174" s="338">
        <f>+$D1174*$G$2</f>
        <v>3663539.6</v>
      </c>
      <c r="H1174" s="338">
        <f>+$D1174*$H$2</f>
        <v>3876354.16</v>
      </c>
    </row>
    <row r="1175" spans="1:8" ht="14.4" thickBot="1" x14ac:dyDescent="0.3">
      <c r="A1175" s="66" t="s">
        <v>1147</v>
      </c>
      <c r="B1175" s="67"/>
      <c r="C1175" s="115"/>
      <c r="D1175" s="354" t="s">
        <v>3476</v>
      </c>
      <c r="E1175" s="354" t="s">
        <v>3476</v>
      </c>
      <c r="F1175" s="354" t="s">
        <v>3476</v>
      </c>
      <c r="G1175" s="355" t="s">
        <v>3476</v>
      </c>
      <c r="H1175" s="356" t="s">
        <v>3476</v>
      </c>
    </row>
    <row r="1176" spans="1:8" x14ac:dyDescent="0.25">
      <c r="A1176" s="4">
        <v>33600</v>
      </c>
      <c r="B1176" s="110" t="s">
        <v>1148</v>
      </c>
      <c r="C1176" s="100">
        <v>8.4499999999999993</v>
      </c>
      <c r="D1176" s="100">
        <v>7.41</v>
      </c>
      <c r="E1176" s="101">
        <f t="shared" ref="E1176:E1178" si="145">+$C1176*$E$2</f>
        <v>326733.277</v>
      </c>
      <c r="F1176" s="207">
        <f>+$D1176*$F$2</f>
        <v>314272.92</v>
      </c>
      <c r="G1176" s="338">
        <f>+$D1176*$G$2</f>
        <v>348751.65</v>
      </c>
      <c r="H1176" s="338">
        <f>+$D1176*$H$2</f>
        <v>369010.59</v>
      </c>
    </row>
    <row r="1177" spans="1:8" x14ac:dyDescent="0.25">
      <c r="A1177" s="3">
        <v>33601</v>
      </c>
      <c r="B1177" s="109" t="s">
        <v>1149</v>
      </c>
      <c r="C1177" s="100">
        <v>11.3</v>
      </c>
      <c r="D1177" s="100">
        <v>9.91</v>
      </c>
      <c r="E1177" s="101">
        <f t="shared" si="145"/>
        <v>436933.25800000009</v>
      </c>
      <c r="F1177" s="207">
        <f>+$D1177*$F$2</f>
        <v>420302.92</v>
      </c>
      <c r="G1177" s="338">
        <f>+$D1177*$G$2</f>
        <v>466414.15</v>
      </c>
      <c r="H1177" s="338">
        <f>+$D1177*$H$2</f>
        <v>493508.09</v>
      </c>
    </row>
    <row r="1178" spans="1:8" ht="14.4" thickBot="1" x14ac:dyDescent="0.3">
      <c r="A1178" s="8">
        <v>33602</v>
      </c>
      <c r="B1178" s="113" t="s">
        <v>1150</v>
      </c>
      <c r="C1178" s="100">
        <v>19.04</v>
      </c>
      <c r="D1178" s="100">
        <v>16.7</v>
      </c>
      <c r="E1178" s="101">
        <f t="shared" si="145"/>
        <v>736213.20640000002</v>
      </c>
      <c r="F1178" s="207">
        <f>+$D1178*$F$2</f>
        <v>708280.4</v>
      </c>
      <c r="G1178" s="338">
        <f>+$D1178*$G$2</f>
        <v>785985.5</v>
      </c>
      <c r="H1178" s="338">
        <f>+$D1178*$H$2</f>
        <v>831643.29999999993</v>
      </c>
    </row>
    <row r="1179" spans="1:8" ht="14.4" thickBot="1" x14ac:dyDescent="0.3">
      <c r="A1179" s="15" t="s">
        <v>1160</v>
      </c>
      <c r="B1179" s="21"/>
      <c r="C1179" s="35"/>
      <c r="D1179" s="354" t="s">
        <v>3476</v>
      </c>
      <c r="E1179" s="354" t="s">
        <v>3476</v>
      </c>
      <c r="F1179" s="354" t="s">
        <v>3476</v>
      </c>
      <c r="G1179" s="355" t="s">
        <v>3476</v>
      </c>
      <c r="H1179" s="356" t="s">
        <v>3476</v>
      </c>
    </row>
    <row r="1180" spans="1:8" ht="42" thickBot="1" x14ac:dyDescent="0.3">
      <c r="A1180" s="232" t="s">
        <v>3483</v>
      </c>
      <c r="B1180" s="108"/>
      <c r="C1180" s="35"/>
      <c r="D1180" s="354" t="s">
        <v>3476</v>
      </c>
      <c r="E1180" s="354" t="s">
        <v>3476</v>
      </c>
      <c r="F1180" s="354" t="s">
        <v>3476</v>
      </c>
      <c r="G1180" s="355" t="s">
        <v>3476</v>
      </c>
      <c r="H1180" s="356" t="s">
        <v>3476</v>
      </c>
    </row>
    <row r="1181" spans="1:8" ht="14.4" thickBot="1" x14ac:dyDescent="0.3">
      <c r="A1181" s="232" t="s">
        <v>3484</v>
      </c>
      <c r="B1181" s="108"/>
      <c r="C1181" s="35"/>
      <c r="D1181" s="354" t="s">
        <v>3476</v>
      </c>
      <c r="E1181" s="354" t="s">
        <v>3476</v>
      </c>
      <c r="F1181" s="354" t="s">
        <v>3476</v>
      </c>
      <c r="G1181" s="355" t="s">
        <v>3476</v>
      </c>
      <c r="H1181" s="356" t="s">
        <v>3476</v>
      </c>
    </row>
    <row r="1182" spans="1:8" ht="28.2" thickBot="1" x14ac:dyDescent="0.3">
      <c r="A1182" s="232" t="s">
        <v>3485</v>
      </c>
      <c r="B1182" s="108"/>
      <c r="C1182" s="35"/>
      <c r="D1182" s="354" t="s">
        <v>3476</v>
      </c>
      <c r="E1182" s="354" t="s">
        <v>3476</v>
      </c>
      <c r="F1182" s="354" t="s">
        <v>3476</v>
      </c>
      <c r="G1182" s="355" t="s">
        <v>3476</v>
      </c>
      <c r="H1182" s="356" t="s">
        <v>3476</v>
      </c>
    </row>
    <row r="1183" spans="1:8" ht="14.4" thickBot="1" x14ac:dyDescent="0.3">
      <c r="A1183" s="232" t="s">
        <v>3486</v>
      </c>
      <c r="B1183" s="21"/>
      <c r="C1183" s="35"/>
      <c r="D1183" s="354" t="s">
        <v>3476</v>
      </c>
      <c r="E1183" s="354"/>
      <c r="F1183" s="354" t="s">
        <v>3476</v>
      </c>
      <c r="G1183" s="355" t="s">
        <v>3476</v>
      </c>
      <c r="H1183" s="356" t="s">
        <v>3476</v>
      </c>
    </row>
    <row r="1184" spans="1:8" x14ac:dyDescent="0.25">
      <c r="A1184" s="3">
        <v>34101</v>
      </c>
      <c r="B1184" s="119" t="s">
        <v>1539</v>
      </c>
      <c r="C1184" s="100">
        <v>12.94</v>
      </c>
      <c r="D1184" s="5">
        <v>11.35</v>
      </c>
      <c r="E1184" s="101">
        <f t="shared" ref="E1184:E1203" si="146">+$C1184*$E$2</f>
        <v>500346.58040000004</v>
      </c>
      <c r="F1184" s="207">
        <f>+$D1184*$F$2</f>
        <v>481376.2</v>
      </c>
      <c r="G1184" s="338">
        <f>+$D1184*$G$2</f>
        <v>534187.75</v>
      </c>
      <c r="H1184" s="338">
        <f>+$D1184*$H$2</f>
        <v>565218.65</v>
      </c>
    </row>
    <row r="1185" spans="1:8" x14ac:dyDescent="0.25">
      <c r="A1185" s="3">
        <v>34103</v>
      </c>
      <c r="B1185" s="119" t="s">
        <v>1540</v>
      </c>
      <c r="C1185" s="100">
        <v>13.22</v>
      </c>
      <c r="D1185" s="5">
        <v>11.6</v>
      </c>
      <c r="E1185" s="101">
        <f t="shared" si="146"/>
        <v>511173.24520000006</v>
      </c>
      <c r="F1185" s="207">
        <f>+$D1185*$F$2</f>
        <v>491979.2</v>
      </c>
      <c r="G1185" s="338">
        <f>+$D1185*$G$2</f>
        <v>545954</v>
      </c>
      <c r="H1185" s="338">
        <f>+$D1185*$H$2</f>
        <v>577668.4</v>
      </c>
    </row>
    <row r="1186" spans="1:8" x14ac:dyDescent="0.25">
      <c r="A1186" s="3">
        <v>34104</v>
      </c>
      <c r="B1186" s="119" t="s">
        <v>1541</v>
      </c>
      <c r="C1186" s="100">
        <v>4.0599999999999996</v>
      </c>
      <c r="D1186" s="5">
        <v>3.56</v>
      </c>
      <c r="E1186" s="101">
        <f t="shared" si="146"/>
        <v>156986.63959999999</v>
      </c>
      <c r="F1186" s="207">
        <f>+$D1186*$F$2</f>
        <v>150986.72</v>
      </c>
      <c r="G1186" s="338">
        <f>+$D1186*$G$2</f>
        <v>167551.4</v>
      </c>
      <c r="H1186" s="338">
        <f>+$D1186*$H$2</f>
        <v>177284.44</v>
      </c>
    </row>
    <row r="1187" spans="1:8" ht="14.4" thickBot="1" x14ac:dyDescent="0.3">
      <c r="A1187" s="8">
        <v>34105</v>
      </c>
      <c r="B1187" s="125" t="s">
        <v>1542</v>
      </c>
      <c r="C1187" s="100">
        <v>8.11</v>
      </c>
      <c r="D1187" s="10">
        <v>7.11</v>
      </c>
      <c r="E1187" s="101">
        <f t="shared" si="146"/>
        <v>313586.61259999999</v>
      </c>
      <c r="F1187" s="207">
        <f>+$D1187*$F$2</f>
        <v>301549.32</v>
      </c>
      <c r="G1187" s="338">
        <f>+$D1187*$G$2</f>
        <v>334632.15000000002</v>
      </c>
      <c r="H1187" s="338">
        <f>+$D1187*$H$2</f>
        <v>354070.89</v>
      </c>
    </row>
    <row r="1188" spans="1:8" ht="14.4" thickBot="1" x14ac:dyDescent="0.3">
      <c r="A1188" s="232" t="s">
        <v>3487</v>
      </c>
      <c r="B1188" s="21"/>
      <c r="C1188" s="35"/>
      <c r="D1188" s="354" t="s">
        <v>3476</v>
      </c>
      <c r="E1188" s="354"/>
      <c r="F1188" s="354" t="s">
        <v>3476</v>
      </c>
      <c r="G1188" s="355" t="s">
        <v>3476</v>
      </c>
      <c r="H1188" s="356" t="s">
        <v>3476</v>
      </c>
    </row>
    <row r="1189" spans="1:8" x14ac:dyDescent="0.25">
      <c r="A1189" s="3">
        <v>35102</v>
      </c>
      <c r="B1189" s="118" t="s">
        <v>1161</v>
      </c>
      <c r="C1189" s="100">
        <v>0.82</v>
      </c>
      <c r="D1189" s="100">
        <v>0.72</v>
      </c>
      <c r="E1189" s="101">
        <f t="shared" si="146"/>
        <v>31706.661200000002</v>
      </c>
      <c r="F1189" s="207">
        <f t="shared" ref="F1189:F1203" si="147">+$D1189*$F$2</f>
        <v>30536.639999999999</v>
      </c>
      <c r="G1189" s="338">
        <f t="shared" ref="G1189:G1203" si="148">+$D1189*$G$2</f>
        <v>33886.799999999996</v>
      </c>
      <c r="H1189" s="338">
        <f t="shared" ref="H1189:H1203" si="149">+$D1189*$H$2</f>
        <v>35855.279999999999</v>
      </c>
    </row>
    <row r="1190" spans="1:8" x14ac:dyDescent="0.25">
      <c r="A1190" s="3">
        <v>35103</v>
      </c>
      <c r="B1190" s="118" t="s">
        <v>1162</v>
      </c>
      <c r="C1190" s="100">
        <v>1.63</v>
      </c>
      <c r="D1190" s="100">
        <v>1.43</v>
      </c>
      <c r="E1190" s="101">
        <f t="shared" si="146"/>
        <v>63026.6558</v>
      </c>
      <c r="F1190" s="207">
        <f t="shared" si="147"/>
        <v>60649.159999999996</v>
      </c>
      <c r="G1190" s="338">
        <f t="shared" si="148"/>
        <v>67302.95</v>
      </c>
      <c r="H1190" s="338">
        <f t="shared" si="149"/>
        <v>71212.569999999992</v>
      </c>
    </row>
    <row r="1191" spans="1:8" x14ac:dyDescent="0.25">
      <c r="A1191" s="3">
        <v>35104</v>
      </c>
      <c r="B1191" s="118" t="s">
        <v>1163</v>
      </c>
      <c r="C1191" s="100">
        <v>0.74</v>
      </c>
      <c r="D1191" s="100">
        <v>0.65</v>
      </c>
      <c r="E1191" s="101">
        <f t="shared" si="146"/>
        <v>28613.328400000002</v>
      </c>
      <c r="F1191" s="207">
        <f t="shared" si="147"/>
        <v>27567.8</v>
      </c>
      <c r="G1191" s="338">
        <f t="shared" si="148"/>
        <v>30592.25</v>
      </c>
      <c r="H1191" s="338">
        <f t="shared" si="149"/>
        <v>32369.350000000002</v>
      </c>
    </row>
    <row r="1192" spans="1:8" x14ac:dyDescent="0.25">
      <c r="A1192" s="3">
        <v>35105</v>
      </c>
      <c r="B1192" s="118" t="s">
        <v>1164</v>
      </c>
      <c r="C1192" s="100">
        <v>1.85</v>
      </c>
      <c r="D1192" s="100">
        <v>1.62</v>
      </c>
      <c r="E1192" s="101">
        <f t="shared" si="146"/>
        <v>71533.321000000011</v>
      </c>
      <c r="F1192" s="207">
        <f t="shared" si="147"/>
        <v>68707.44</v>
      </c>
      <c r="G1192" s="338">
        <f t="shared" si="148"/>
        <v>76245.3</v>
      </c>
      <c r="H1192" s="338">
        <f t="shared" si="149"/>
        <v>80674.38</v>
      </c>
    </row>
    <row r="1193" spans="1:8" x14ac:dyDescent="0.25">
      <c r="A1193" s="3">
        <v>35106</v>
      </c>
      <c r="B1193" s="118" t="s">
        <v>1165</v>
      </c>
      <c r="C1193" s="100">
        <v>0.96</v>
      </c>
      <c r="D1193" s="100">
        <v>0.84</v>
      </c>
      <c r="E1193" s="101">
        <f t="shared" si="146"/>
        <v>37119.993600000002</v>
      </c>
      <c r="F1193" s="207">
        <f t="shared" si="147"/>
        <v>35626.080000000002</v>
      </c>
      <c r="G1193" s="338">
        <f t="shared" si="148"/>
        <v>39534.6</v>
      </c>
      <c r="H1193" s="338">
        <f t="shared" si="149"/>
        <v>41831.159999999996</v>
      </c>
    </row>
    <row r="1194" spans="1:8" x14ac:dyDescent="0.25">
      <c r="A1194" s="3">
        <v>35107</v>
      </c>
      <c r="B1194" s="118" t="s">
        <v>1166</v>
      </c>
      <c r="C1194" s="100">
        <v>1.85</v>
      </c>
      <c r="D1194" s="100">
        <v>1.62</v>
      </c>
      <c r="E1194" s="101">
        <f t="shared" si="146"/>
        <v>71533.321000000011</v>
      </c>
      <c r="F1194" s="207">
        <f t="shared" si="147"/>
        <v>68707.44</v>
      </c>
      <c r="G1194" s="338">
        <f t="shared" si="148"/>
        <v>76245.3</v>
      </c>
      <c r="H1194" s="338">
        <f t="shared" si="149"/>
        <v>80674.38</v>
      </c>
    </row>
    <row r="1195" spans="1:8" x14ac:dyDescent="0.25">
      <c r="A1195" s="3">
        <v>35108</v>
      </c>
      <c r="B1195" s="118" t="s">
        <v>1167</v>
      </c>
      <c r="C1195" s="100">
        <v>0.98</v>
      </c>
      <c r="D1195" s="100">
        <v>0.86</v>
      </c>
      <c r="E1195" s="101">
        <f t="shared" si="146"/>
        <v>37893.326800000003</v>
      </c>
      <c r="F1195" s="207">
        <f t="shared" si="147"/>
        <v>36474.32</v>
      </c>
      <c r="G1195" s="338">
        <f t="shared" si="148"/>
        <v>40475.9</v>
      </c>
      <c r="H1195" s="338">
        <f t="shared" si="149"/>
        <v>42827.14</v>
      </c>
    </row>
    <row r="1196" spans="1:8" x14ac:dyDescent="0.25">
      <c r="A1196" s="3">
        <v>35109</v>
      </c>
      <c r="B1196" s="118" t="s">
        <v>1168</v>
      </c>
      <c r="C1196" s="100">
        <v>2.16</v>
      </c>
      <c r="D1196" s="100">
        <v>1.89</v>
      </c>
      <c r="E1196" s="101">
        <f t="shared" si="146"/>
        <v>83519.985600000015</v>
      </c>
      <c r="F1196" s="207">
        <f t="shared" si="147"/>
        <v>80158.679999999993</v>
      </c>
      <c r="G1196" s="338">
        <f t="shared" si="148"/>
        <v>88952.849999999991</v>
      </c>
      <c r="H1196" s="338">
        <f t="shared" si="149"/>
        <v>94120.11</v>
      </c>
    </row>
    <row r="1197" spans="1:8" x14ac:dyDescent="0.25">
      <c r="A1197" s="3">
        <v>35110</v>
      </c>
      <c r="B1197" s="118" t="s">
        <v>1169</v>
      </c>
      <c r="C1197" s="100">
        <v>0.87</v>
      </c>
      <c r="D1197" s="100">
        <v>0.76</v>
      </c>
      <c r="E1197" s="101">
        <f t="shared" si="146"/>
        <v>33639.994200000001</v>
      </c>
      <c r="F1197" s="207">
        <f t="shared" si="147"/>
        <v>32233.119999999999</v>
      </c>
      <c r="G1197" s="338">
        <f t="shared" si="148"/>
        <v>35769.4</v>
      </c>
      <c r="H1197" s="338">
        <f t="shared" si="149"/>
        <v>37847.24</v>
      </c>
    </row>
    <row r="1198" spans="1:8" x14ac:dyDescent="0.25">
      <c r="A1198" s="3">
        <v>35111</v>
      </c>
      <c r="B1198" s="118" t="s">
        <v>1170</v>
      </c>
      <c r="C1198" s="100">
        <v>2.61</v>
      </c>
      <c r="D1198" s="100">
        <v>2.29</v>
      </c>
      <c r="E1198" s="101">
        <f t="shared" si="146"/>
        <v>100919.9826</v>
      </c>
      <c r="F1198" s="207">
        <f t="shared" si="147"/>
        <v>97123.48</v>
      </c>
      <c r="G1198" s="338">
        <f t="shared" si="148"/>
        <v>107778.85</v>
      </c>
      <c r="H1198" s="338">
        <f t="shared" si="149"/>
        <v>114039.71</v>
      </c>
    </row>
    <row r="1199" spans="1:8" x14ac:dyDescent="0.25">
      <c r="A1199" s="3">
        <v>35112</v>
      </c>
      <c r="B1199" s="118" t="s">
        <v>1171</v>
      </c>
      <c r="C1199" s="100">
        <v>1.08</v>
      </c>
      <c r="D1199" s="100">
        <v>0.95</v>
      </c>
      <c r="E1199" s="101">
        <f t="shared" si="146"/>
        <v>41759.992800000007</v>
      </c>
      <c r="F1199" s="207">
        <f t="shared" si="147"/>
        <v>40291.4</v>
      </c>
      <c r="G1199" s="338">
        <f t="shared" si="148"/>
        <v>44711.75</v>
      </c>
      <c r="H1199" s="338">
        <f t="shared" si="149"/>
        <v>47309.049999999996</v>
      </c>
    </row>
    <row r="1200" spans="1:8" x14ac:dyDescent="0.25">
      <c r="A1200" s="3">
        <v>35113</v>
      </c>
      <c r="B1200" s="118" t="s">
        <v>1172</v>
      </c>
      <c r="C1200" s="100">
        <v>1.3</v>
      </c>
      <c r="D1200" s="100">
        <v>1.1399999999999999</v>
      </c>
      <c r="E1200" s="101">
        <f t="shared" si="146"/>
        <v>50266.658000000003</v>
      </c>
      <c r="F1200" s="207">
        <f t="shared" si="147"/>
        <v>48349.679999999993</v>
      </c>
      <c r="G1200" s="338">
        <f t="shared" si="148"/>
        <v>53654.1</v>
      </c>
      <c r="H1200" s="338">
        <f t="shared" si="149"/>
        <v>56770.859999999993</v>
      </c>
    </row>
    <row r="1201" spans="1:8" x14ac:dyDescent="0.25">
      <c r="A1201" s="3">
        <v>35114</v>
      </c>
      <c r="B1201" s="118" t="s">
        <v>1173</v>
      </c>
      <c r="C1201" s="100">
        <v>1.51</v>
      </c>
      <c r="D1201" s="100">
        <v>1.32</v>
      </c>
      <c r="E1201" s="101">
        <f t="shared" si="146"/>
        <v>58386.656600000002</v>
      </c>
      <c r="F1201" s="207">
        <f t="shared" si="147"/>
        <v>55983.840000000004</v>
      </c>
      <c r="G1201" s="338">
        <f t="shared" si="148"/>
        <v>62125.8</v>
      </c>
      <c r="H1201" s="338">
        <f t="shared" si="149"/>
        <v>65734.680000000008</v>
      </c>
    </row>
    <row r="1202" spans="1:8" x14ac:dyDescent="0.25">
      <c r="A1202" s="3">
        <v>35115</v>
      </c>
      <c r="B1202" s="118" t="s">
        <v>1174</v>
      </c>
      <c r="C1202" s="100">
        <v>1.51</v>
      </c>
      <c r="D1202" s="100">
        <v>1.32</v>
      </c>
      <c r="E1202" s="101">
        <f t="shared" si="146"/>
        <v>58386.656600000002</v>
      </c>
      <c r="F1202" s="207">
        <f t="shared" si="147"/>
        <v>55983.840000000004</v>
      </c>
      <c r="G1202" s="338">
        <f t="shared" si="148"/>
        <v>62125.8</v>
      </c>
      <c r="H1202" s="338">
        <f t="shared" si="149"/>
        <v>65734.680000000008</v>
      </c>
    </row>
    <row r="1203" spans="1:8" ht="14.4" thickBot="1" x14ac:dyDescent="0.3">
      <c r="A1203" s="8">
        <v>35116</v>
      </c>
      <c r="B1203" s="121" t="s">
        <v>1175</v>
      </c>
      <c r="C1203" s="100">
        <v>1.04</v>
      </c>
      <c r="D1203" s="100">
        <v>0.91</v>
      </c>
      <c r="E1203" s="101">
        <f t="shared" si="146"/>
        <v>40213.326400000005</v>
      </c>
      <c r="F1203" s="207">
        <f t="shared" si="147"/>
        <v>38594.92</v>
      </c>
      <c r="G1203" s="338">
        <f t="shared" si="148"/>
        <v>42829.15</v>
      </c>
      <c r="H1203" s="338">
        <f t="shared" si="149"/>
        <v>45317.090000000004</v>
      </c>
    </row>
    <row r="1204" spans="1:8" ht="14.4" thickBot="1" x14ac:dyDescent="0.3">
      <c r="A1204" s="232" t="s">
        <v>3488</v>
      </c>
      <c r="B1204" s="21"/>
      <c r="C1204" s="35"/>
      <c r="D1204" s="354" t="s">
        <v>3476</v>
      </c>
      <c r="E1204" s="354"/>
      <c r="F1204" s="354" t="s">
        <v>3476</v>
      </c>
      <c r="G1204" s="355" t="s">
        <v>3476</v>
      </c>
      <c r="H1204" s="356" t="s">
        <v>3476</v>
      </c>
    </row>
    <row r="1205" spans="1:8" ht="14.4" thickBot="1" x14ac:dyDescent="0.3">
      <c r="A1205" s="17" t="s">
        <v>1176</v>
      </c>
      <c r="B1205" s="21"/>
      <c r="C1205" s="35"/>
      <c r="D1205" s="354" t="s">
        <v>3476</v>
      </c>
      <c r="E1205" s="354"/>
      <c r="F1205" s="354" t="s">
        <v>3476</v>
      </c>
      <c r="G1205" s="355" t="s">
        <v>3476</v>
      </c>
      <c r="H1205" s="356" t="s">
        <v>3476</v>
      </c>
    </row>
    <row r="1206" spans="1:8" x14ac:dyDescent="0.25">
      <c r="A1206" s="3">
        <v>36100</v>
      </c>
      <c r="B1206" s="118" t="s">
        <v>1177</v>
      </c>
      <c r="C1206" s="100">
        <v>1.41</v>
      </c>
      <c r="D1206" s="100">
        <v>1.24</v>
      </c>
      <c r="E1206" s="101">
        <f t="shared" ref="E1206:E1269" si="150">+$C1206*$E$2</f>
        <v>54519.990600000005</v>
      </c>
      <c r="F1206" s="207">
        <f t="shared" ref="F1206:F1215" si="151">+$D1206*$F$2</f>
        <v>52590.879999999997</v>
      </c>
      <c r="G1206" s="338">
        <f t="shared" ref="G1206:G1215" si="152">+$D1206*$G$2</f>
        <v>58360.6</v>
      </c>
      <c r="H1206" s="338">
        <f t="shared" ref="H1206:H1215" si="153">+$D1206*$H$2</f>
        <v>61750.76</v>
      </c>
    </row>
    <row r="1207" spans="1:8" x14ac:dyDescent="0.25">
      <c r="A1207" s="3">
        <v>36101</v>
      </c>
      <c r="B1207" s="118" t="s">
        <v>1178</v>
      </c>
      <c r="C1207" s="100">
        <v>0.82</v>
      </c>
      <c r="D1207" s="100">
        <v>0.72</v>
      </c>
      <c r="E1207" s="101">
        <f t="shared" si="150"/>
        <v>31706.661200000002</v>
      </c>
      <c r="F1207" s="207">
        <f t="shared" si="151"/>
        <v>30536.639999999999</v>
      </c>
      <c r="G1207" s="338">
        <f t="shared" si="152"/>
        <v>33886.799999999996</v>
      </c>
      <c r="H1207" s="338">
        <f t="shared" si="153"/>
        <v>35855.279999999999</v>
      </c>
    </row>
    <row r="1208" spans="1:8" x14ac:dyDescent="0.25">
      <c r="A1208" s="3">
        <v>36102</v>
      </c>
      <c r="B1208" s="98" t="s">
        <v>1179</v>
      </c>
      <c r="C1208" s="100">
        <v>0.89</v>
      </c>
      <c r="D1208" s="100">
        <v>0.78</v>
      </c>
      <c r="E1208" s="101">
        <f t="shared" si="150"/>
        <v>34413.327400000002</v>
      </c>
      <c r="F1208" s="207">
        <f t="shared" si="151"/>
        <v>33081.360000000001</v>
      </c>
      <c r="G1208" s="338">
        <f t="shared" si="152"/>
        <v>36710.700000000004</v>
      </c>
      <c r="H1208" s="338">
        <f t="shared" si="153"/>
        <v>38843.22</v>
      </c>
    </row>
    <row r="1209" spans="1:8" x14ac:dyDescent="0.25">
      <c r="A1209" s="3">
        <v>36103</v>
      </c>
      <c r="B1209" s="118" t="s">
        <v>1180</v>
      </c>
      <c r="C1209" s="100">
        <v>0.37</v>
      </c>
      <c r="D1209" s="100">
        <v>0.33</v>
      </c>
      <c r="E1209" s="101">
        <f t="shared" si="150"/>
        <v>14306.664200000001</v>
      </c>
      <c r="F1209" s="207">
        <f t="shared" si="151"/>
        <v>13995.960000000001</v>
      </c>
      <c r="G1209" s="338">
        <f t="shared" si="152"/>
        <v>15531.45</v>
      </c>
      <c r="H1209" s="338">
        <f t="shared" si="153"/>
        <v>16433.670000000002</v>
      </c>
    </row>
    <row r="1210" spans="1:8" x14ac:dyDescent="0.25">
      <c r="A1210" s="3">
        <v>36104</v>
      </c>
      <c r="B1210" s="118" t="s">
        <v>1181</v>
      </c>
      <c r="C1210" s="100">
        <v>0.68</v>
      </c>
      <c r="D1210" s="100">
        <v>0.6</v>
      </c>
      <c r="E1210" s="101">
        <f t="shared" si="150"/>
        <v>26293.328800000003</v>
      </c>
      <c r="F1210" s="207">
        <f t="shared" si="151"/>
        <v>25447.200000000001</v>
      </c>
      <c r="G1210" s="338">
        <f t="shared" si="152"/>
        <v>28239</v>
      </c>
      <c r="H1210" s="338">
        <f t="shared" si="153"/>
        <v>29879.399999999998</v>
      </c>
    </row>
    <row r="1211" spans="1:8" x14ac:dyDescent="0.25">
      <c r="A1211" s="3">
        <v>36105</v>
      </c>
      <c r="B1211" s="118" t="s">
        <v>1182</v>
      </c>
      <c r="C1211" s="100">
        <v>2.2400000000000002</v>
      </c>
      <c r="D1211" s="100">
        <v>1.96</v>
      </c>
      <c r="E1211" s="101">
        <f t="shared" si="150"/>
        <v>86613.318400000018</v>
      </c>
      <c r="F1211" s="207">
        <f t="shared" si="151"/>
        <v>83127.520000000004</v>
      </c>
      <c r="G1211" s="338">
        <f t="shared" si="152"/>
        <v>92247.4</v>
      </c>
      <c r="H1211" s="338">
        <f t="shared" si="153"/>
        <v>97606.04</v>
      </c>
    </row>
    <row r="1212" spans="1:8" x14ac:dyDescent="0.25">
      <c r="A1212" s="3">
        <v>36108</v>
      </c>
      <c r="B1212" s="118" t="s">
        <v>1183</v>
      </c>
      <c r="C1212" s="100">
        <v>1.29</v>
      </c>
      <c r="D1212" s="100">
        <v>1.1299999999999999</v>
      </c>
      <c r="E1212" s="101">
        <f t="shared" si="150"/>
        <v>49879.991400000006</v>
      </c>
      <c r="F1212" s="207">
        <f t="shared" si="151"/>
        <v>47925.56</v>
      </c>
      <c r="G1212" s="338">
        <f t="shared" si="152"/>
        <v>53183.45</v>
      </c>
      <c r="H1212" s="338">
        <f t="shared" si="153"/>
        <v>56272.869999999995</v>
      </c>
    </row>
    <row r="1213" spans="1:8" x14ac:dyDescent="0.25">
      <c r="A1213" s="3">
        <v>36109</v>
      </c>
      <c r="B1213" s="118" t="s">
        <v>1184</v>
      </c>
      <c r="C1213" s="100">
        <v>0.83</v>
      </c>
      <c r="D1213" s="100">
        <v>0.73</v>
      </c>
      <c r="E1213" s="101">
        <f t="shared" si="150"/>
        <v>32093.327800000003</v>
      </c>
      <c r="F1213" s="207">
        <f t="shared" si="151"/>
        <v>30960.76</v>
      </c>
      <c r="G1213" s="338">
        <f t="shared" si="152"/>
        <v>34357.449999999997</v>
      </c>
      <c r="H1213" s="338">
        <f t="shared" si="153"/>
        <v>36353.269999999997</v>
      </c>
    </row>
    <row r="1214" spans="1:8" x14ac:dyDescent="0.25">
      <c r="A1214" s="3">
        <v>36110</v>
      </c>
      <c r="B1214" s="118" t="s">
        <v>1185</v>
      </c>
      <c r="C1214" s="100">
        <v>2.9</v>
      </c>
      <c r="D1214" s="100">
        <v>2.54</v>
      </c>
      <c r="E1214" s="101">
        <f t="shared" si="150"/>
        <v>112133.31400000001</v>
      </c>
      <c r="F1214" s="207">
        <f t="shared" si="151"/>
        <v>107726.48</v>
      </c>
      <c r="G1214" s="338">
        <f t="shared" si="152"/>
        <v>119545.1</v>
      </c>
      <c r="H1214" s="338">
        <f t="shared" si="153"/>
        <v>126489.46</v>
      </c>
    </row>
    <row r="1215" spans="1:8" ht="14.4" thickBot="1" x14ac:dyDescent="0.3">
      <c r="A1215" s="8">
        <v>36111</v>
      </c>
      <c r="B1215" s="121" t="s">
        <v>1186</v>
      </c>
      <c r="C1215" s="100">
        <v>2.9</v>
      </c>
      <c r="D1215" s="100">
        <v>2.54</v>
      </c>
      <c r="E1215" s="101">
        <f t="shared" si="150"/>
        <v>112133.31400000001</v>
      </c>
      <c r="F1215" s="207">
        <f t="shared" si="151"/>
        <v>107726.48</v>
      </c>
      <c r="G1215" s="338">
        <f t="shared" si="152"/>
        <v>119545.1</v>
      </c>
      <c r="H1215" s="338">
        <f t="shared" si="153"/>
        <v>126489.46</v>
      </c>
    </row>
    <row r="1216" spans="1:8" ht="14.4" thickBot="1" x14ac:dyDescent="0.3">
      <c r="A1216" s="17" t="s">
        <v>1187</v>
      </c>
      <c r="B1216" s="21"/>
      <c r="C1216" s="35"/>
      <c r="D1216" s="354" t="s">
        <v>3476</v>
      </c>
      <c r="E1216" s="354"/>
      <c r="F1216" s="354" t="s">
        <v>3476</v>
      </c>
      <c r="G1216" s="355" t="s">
        <v>3476</v>
      </c>
      <c r="H1216" s="356" t="s">
        <v>3476</v>
      </c>
    </row>
    <row r="1217" spans="1:8" x14ac:dyDescent="0.25">
      <c r="A1217" s="3">
        <v>36201</v>
      </c>
      <c r="B1217" s="118" t="s">
        <v>1188</v>
      </c>
      <c r="C1217" s="5">
        <v>0.84</v>
      </c>
      <c r="D1217" s="100">
        <v>0.74</v>
      </c>
      <c r="E1217" s="101">
        <f t="shared" si="150"/>
        <v>32479.994400000003</v>
      </c>
      <c r="F1217" s="207">
        <f t="shared" ref="F1217:F1226" si="154">+$D1217*$F$2</f>
        <v>31384.880000000001</v>
      </c>
      <c r="G1217" s="338">
        <f t="shared" ref="G1217:G1226" si="155">+$D1217*$G$2</f>
        <v>34828.1</v>
      </c>
      <c r="H1217" s="338">
        <f t="shared" ref="H1217:H1226" si="156">+$D1217*$H$2</f>
        <v>36851.26</v>
      </c>
    </row>
    <row r="1218" spans="1:8" x14ac:dyDescent="0.25">
      <c r="A1218" s="3">
        <v>36202</v>
      </c>
      <c r="B1218" s="118" t="s">
        <v>1189</v>
      </c>
      <c r="C1218" s="5">
        <v>0.43</v>
      </c>
      <c r="D1218" s="100">
        <v>0.38</v>
      </c>
      <c r="E1218" s="101">
        <f t="shared" si="150"/>
        <v>16626.663800000002</v>
      </c>
      <c r="F1218" s="207">
        <f t="shared" si="154"/>
        <v>16116.56</v>
      </c>
      <c r="G1218" s="338">
        <f t="shared" si="155"/>
        <v>17884.7</v>
      </c>
      <c r="H1218" s="338">
        <f t="shared" si="156"/>
        <v>18923.62</v>
      </c>
    </row>
    <row r="1219" spans="1:8" x14ac:dyDescent="0.25">
      <c r="A1219" s="3">
        <v>36203</v>
      </c>
      <c r="B1219" s="118" t="s">
        <v>1190</v>
      </c>
      <c r="C1219" s="5">
        <v>1.45</v>
      </c>
      <c r="D1219" s="100">
        <v>1.27</v>
      </c>
      <c r="E1219" s="101">
        <f t="shared" si="150"/>
        <v>56066.657000000007</v>
      </c>
      <c r="F1219" s="207">
        <f t="shared" si="154"/>
        <v>53863.24</v>
      </c>
      <c r="G1219" s="338">
        <f t="shared" si="155"/>
        <v>59772.55</v>
      </c>
      <c r="H1219" s="338">
        <f t="shared" si="156"/>
        <v>63244.73</v>
      </c>
    </row>
    <row r="1220" spans="1:8" x14ac:dyDescent="0.25">
      <c r="A1220" s="3">
        <v>36204</v>
      </c>
      <c r="B1220" s="118" t="s">
        <v>1191</v>
      </c>
      <c r="C1220" s="5">
        <v>0.72</v>
      </c>
      <c r="D1220" s="100">
        <v>0.63</v>
      </c>
      <c r="E1220" s="101">
        <f t="shared" si="150"/>
        <v>27839.995200000001</v>
      </c>
      <c r="F1220" s="207">
        <f t="shared" si="154"/>
        <v>26719.56</v>
      </c>
      <c r="G1220" s="338">
        <f t="shared" si="155"/>
        <v>29650.95</v>
      </c>
      <c r="H1220" s="338">
        <f t="shared" si="156"/>
        <v>31373.37</v>
      </c>
    </row>
    <row r="1221" spans="1:8" x14ac:dyDescent="0.25">
      <c r="A1221" s="3">
        <v>36205</v>
      </c>
      <c r="B1221" s="118" t="s">
        <v>1192</v>
      </c>
      <c r="C1221" s="5">
        <v>1.07</v>
      </c>
      <c r="D1221" s="100">
        <v>0.94</v>
      </c>
      <c r="E1221" s="101">
        <f t="shared" si="150"/>
        <v>41373.326200000003</v>
      </c>
      <c r="F1221" s="207">
        <f t="shared" si="154"/>
        <v>39867.279999999999</v>
      </c>
      <c r="G1221" s="338">
        <f t="shared" si="155"/>
        <v>44241.1</v>
      </c>
      <c r="H1221" s="338">
        <f t="shared" si="156"/>
        <v>46811.06</v>
      </c>
    </row>
    <row r="1222" spans="1:8" x14ac:dyDescent="0.25">
      <c r="A1222" s="3">
        <v>36206</v>
      </c>
      <c r="B1222" s="118" t="s">
        <v>1193</v>
      </c>
      <c r="C1222" s="5">
        <v>0.53</v>
      </c>
      <c r="D1222" s="100">
        <v>0.47</v>
      </c>
      <c r="E1222" s="101">
        <f t="shared" si="150"/>
        <v>20493.329800000003</v>
      </c>
      <c r="F1222" s="207">
        <f t="shared" si="154"/>
        <v>19933.64</v>
      </c>
      <c r="G1222" s="338">
        <f t="shared" si="155"/>
        <v>22120.55</v>
      </c>
      <c r="H1222" s="338">
        <f t="shared" si="156"/>
        <v>23405.53</v>
      </c>
    </row>
    <row r="1223" spans="1:8" x14ac:dyDescent="0.25">
      <c r="A1223" s="3">
        <v>36207</v>
      </c>
      <c r="B1223" s="118" t="s">
        <v>1194</v>
      </c>
      <c r="C1223" s="5">
        <v>5.95</v>
      </c>
      <c r="D1223" s="100">
        <v>5.22</v>
      </c>
      <c r="E1223" s="101">
        <f t="shared" si="150"/>
        <v>230066.62700000004</v>
      </c>
      <c r="F1223" s="207">
        <f t="shared" si="154"/>
        <v>221390.63999999998</v>
      </c>
      <c r="G1223" s="338">
        <f t="shared" si="155"/>
        <v>245679.3</v>
      </c>
      <c r="H1223" s="338">
        <f t="shared" si="156"/>
        <v>259950.78</v>
      </c>
    </row>
    <row r="1224" spans="1:8" x14ac:dyDescent="0.25">
      <c r="A1224" s="3">
        <v>36208</v>
      </c>
      <c r="B1224" s="118" t="s">
        <v>1195</v>
      </c>
      <c r="C1224" s="5">
        <v>0.98</v>
      </c>
      <c r="D1224" s="100">
        <v>0.86</v>
      </c>
      <c r="E1224" s="101">
        <f t="shared" si="150"/>
        <v>37893.326800000003</v>
      </c>
      <c r="F1224" s="207">
        <f t="shared" si="154"/>
        <v>36474.32</v>
      </c>
      <c r="G1224" s="338">
        <f t="shared" si="155"/>
        <v>40475.9</v>
      </c>
      <c r="H1224" s="338">
        <f t="shared" si="156"/>
        <v>42827.14</v>
      </c>
    </row>
    <row r="1225" spans="1:8" x14ac:dyDescent="0.25">
      <c r="A1225" s="3">
        <v>36209</v>
      </c>
      <c r="B1225" s="118" t="s">
        <v>1196</v>
      </c>
      <c r="C1225" s="5">
        <v>3.67</v>
      </c>
      <c r="D1225" s="100">
        <v>3.22</v>
      </c>
      <c r="E1225" s="101">
        <f t="shared" si="150"/>
        <v>141906.6422</v>
      </c>
      <c r="F1225" s="207">
        <f t="shared" si="154"/>
        <v>136566.64000000001</v>
      </c>
      <c r="G1225" s="338">
        <f t="shared" si="155"/>
        <v>151549.30000000002</v>
      </c>
      <c r="H1225" s="338">
        <f t="shared" si="156"/>
        <v>160352.78</v>
      </c>
    </row>
    <row r="1226" spans="1:8" ht="14.4" thickBot="1" x14ac:dyDescent="0.3">
      <c r="A1226" s="8">
        <v>36210</v>
      </c>
      <c r="B1226" s="121" t="s">
        <v>1197</v>
      </c>
      <c r="C1226" s="10">
        <v>7.37</v>
      </c>
      <c r="D1226" s="100">
        <v>6.46</v>
      </c>
      <c r="E1226" s="101">
        <f t="shared" si="150"/>
        <v>284973.28420000005</v>
      </c>
      <c r="F1226" s="207">
        <f t="shared" si="154"/>
        <v>273981.52</v>
      </c>
      <c r="G1226" s="338">
        <f t="shared" si="155"/>
        <v>304039.90000000002</v>
      </c>
      <c r="H1226" s="338">
        <f t="shared" si="156"/>
        <v>321701.53999999998</v>
      </c>
    </row>
    <row r="1227" spans="1:8" ht="14.4" thickBot="1" x14ac:dyDescent="0.3">
      <c r="A1227" s="17" t="s">
        <v>1198</v>
      </c>
      <c r="B1227" s="21"/>
      <c r="C1227" s="35"/>
      <c r="D1227" s="354" t="s">
        <v>3476</v>
      </c>
      <c r="E1227" s="354"/>
      <c r="F1227" s="354" t="s">
        <v>3476</v>
      </c>
      <c r="G1227" s="355" t="s">
        <v>3476</v>
      </c>
      <c r="H1227" s="356" t="s">
        <v>3476</v>
      </c>
    </row>
    <row r="1228" spans="1:8" x14ac:dyDescent="0.25">
      <c r="A1228" s="3">
        <v>36301</v>
      </c>
      <c r="B1228" s="118" t="s">
        <v>1199</v>
      </c>
      <c r="C1228" s="5">
        <v>2.9</v>
      </c>
      <c r="D1228" s="5">
        <v>2.54</v>
      </c>
      <c r="E1228" s="101">
        <f t="shared" si="150"/>
        <v>112133.31400000001</v>
      </c>
      <c r="F1228" s="207">
        <f t="shared" ref="F1228:F1234" si="157">+$D1228*$F$2</f>
        <v>107726.48</v>
      </c>
      <c r="G1228" s="338">
        <f t="shared" ref="G1228:G1234" si="158">+$D1228*$G$2</f>
        <v>119545.1</v>
      </c>
      <c r="H1228" s="338">
        <f t="shared" ref="H1228:H1234" si="159">+$D1228*$H$2</f>
        <v>126489.46</v>
      </c>
    </row>
    <row r="1229" spans="1:8" x14ac:dyDescent="0.25">
      <c r="A1229" s="3">
        <v>36303</v>
      </c>
      <c r="B1229" s="118" t="s">
        <v>1200</v>
      </c>
      <c r="C1229" s="5">
        <v>3.33</v>
      </c>
      <c r="D1229" s="5">
        <v>2.92</v>
      </c>
      <c r="E1229" s="101">
        <f t="shared" si="150"/>
        <v>128759.97780000001</v>
      </c>
      <c r="F1229" s="207">
        <f t="shared" si="157"/>
        <v>123843.04</v>
      </c>
      <c r="G1229" s="338">
        <f t="shared" si="158"/>
        <v>137429.79999999999</v>
      </c>
      <c r="H1229" s="338">
        <f t="shared" si="159"/>
        <v>145413.07999999999</v>
      </c>
    </row>
    <row r="1230" spans="1:8" x14ac:dyDescent="0.25">
      <c r="A1230" s="3">
        <v>36304</v>
      </c>
      <c r="B1230" s="118" t="s">
        <v>1201</v>
      </c>
      <c r="C1230" s="5">
        <v>3.57</v>
      </c>
      <c r="D1230" s="5">
        <v>3.13</v>
      </c>
      <c r="E1230" s="101">
        <f t="shared" si="150"/>
        <v>138039.9762</v>
      </c>
      <c r="F1230" s="207">
        <f t="shared" si="157"/>
        <v>132749.56</v>
      </c>
      <c r="G1230" s="338">
        <f t="shared" si="158"/>
        <v>147313.44999999998</v>
      </c>
      <c r="H1230" s="338">
        <f t="shared" si="159"/>
        <v>155870.87</v>
      </c>
    </row>
    <row r="1231" spans="1:8" x14ac:dyDescent="0.25">
      <c r="A1231" s="3">
        <v>36305</v>
      </c>
      <c r="B1231" s="118" t="s">
        <v>1202</v>
      </c>
      <c r="C1231" s="5">
        <v>3.57</v>
      </c>
      <c r="D1231" s="5">
        <v>3.13</v>
      </c>
      <c r="E1231" s="101">
        <f t="shared" si="150"/>
        <v>138039.9762</v>
      </c>
      <c r="F1231" s="207">
        <f t="shared" si="157"/>
        <v>132749.56</v>
      </c>
      <c r="G1231" s="338">
        <f t="shared" si="158"/>
        <v>147313.44999999998</v>
      </c>
      <c r="H1231" s="338">
        <f t="shared" si="159"/>
        <v>155870.87</v>
      </c>
    </row>
    <row r="1232" spans="1:8" x14ac:dyDescent="0.25">
      <c r="A1232" s="3">
        <v>36306</v>
      </c>
      <c r="B1232" s="118" t="s">
        <v>1203</v>
      </c>
      <c r="C1232" s="5">
        <v>4.26</v>
      </c>
      <c r="D1232" s="5">
        <v>3.74</v>
      </c>
      <c r="E1232" s="101">
        <f t="shared" si="150"/>
        <v>164719.97160000002</v>
      </c>
      <c r="F1232" s="207">
        <f t="shared" si="157"/>
        <v>158620.88</v>
      </c>
      <c r="G1232" s="338">
        <f t="shared" si="158"/>
        <v>176023.1</v>
      </c>
      <c r="H1232" s="338">
        <f t="shared" si="159"/>
        <v>186248.26</v>
      </c>
    </row>
    <row r="1233" spans="1:8" x14ac:dyDescent="0.25">
      <c r="A1233" s="3">
        <v>36307</v>
      </c>
      <c r="B1233" s="118" t="s">
        <v>1204</v>
      </c>
      <c r="C1233" s="5">
        <v>3.57</v>
      </c>
      <c r="D1233" s="5">
        <v>3.13</v>
      </c>
      <c r="E1233" s="101">
        <f t="shared" si="150"/>
        <v>138039.9762</v>
      </c>
      <c r="F1233" s="207">
        <f t="shared" si="157"/>
        <v>132749.56</v>
      </c>
      <c r="G1233" s="338">
        <f t="shared" si="158"/>
        <v>147313.44999999998</v>
      </c>
      <c r="H1233" s="338">
        <f t="shared" si="159"/>
        <v>155870.87</v>
      </c>
    </row>
    <row r="1234" spans="1:8" ht="14.4" thickBot="1" x14ac:dyDescent="0.3">
      <c r="A1234" s="8">
        <v>36308</v>
      </c>
      <c r="B1234" s="121" t="s">
        <v>1205</v>
      </c>
      <c r="C1234" s="10">
        <v>4.26</v>
      </c>
      <c r="D1234" s="10">
        <v>3.74</v>
      </c>
      <c r="E1234" s="101">
        <f t="shared" si="150"/>
        <v>164719.97160000002</v>
      </c>
      <c r="F1234" s="207">
        <f t="shared" si="157"/>
        <v>158620.88</v>
      </c>
      <c r="G1234" s="338">
        <f t="shared" si="158"/>
        <v>176023.1</v>
      </c>
      <c r="H1234" s="338">
        <f t="shared" si="159"/>
        <v>186248.26</v>
      </c>
    </row>
    <row r="1235" spans="1:8" ht="14.4" thickBot="1" x14ac:dyDescent="0.3">
      <c r="A1235" s="17" t="s">
        <v>1206</v>
      </c>
      <c r="B1235" s="21"/>
      <c r="C1235" s="35"/>
      <c r="D1235" s="354" t="s">
        <v>3476</v>
      </c>
      <c r="E1235" s="354"/>
      <c r="F1235" s="354" t="s">
        <v>3476</v>
      </c>
      <c r="G1235" s="355" t="s">
        <v>3476</v>
      </c>
      <c r="H1235" s="356" t="s">
        <v>3476</v>
      </c>
    </row>
    <row r="1236" spans="1:8" x14ac:dyDescent="0.25">
      <c r="A1236" s="3">
        <v>36401</v>
      </c>
      <c r="B1236" s="98" t="s">
        <v>1207</v>
      </c>
      <c r="C1236" s="10">
        <v>2.81</v>
      </c>
      <c r="D1236" s="10">
        <v>2.46</v>
      </c>
      <c r="E1236" s="101">
        <f t="shared" si="150"/>
        <v>108653.31460000001</v>
      </c>
      <c r="F1236" s="207">
        <f>+$D1236*$F$2</f>
        <v>104333.52</v>
      </c>
      <c r="G1236" s="338">
        <f>+$D1236*$G$2</f>
        <v>115779.9</v>
      </c>
      <c r="H1236" s="338">
        <f>+$D1236*$H$2</f>
        <v>122505.54</v>
      </c>
    </row>
    <row r="1237" spans="1:8" x14ac:dyDescent="0.25">
      <c r="A1237" s="3">
        <v>36402</v>
      </c>
      <c r="B1237" s="119" t="s">
        <v>1543</v>
      </c>
      <c r="C1237" s="10">
        <v>3.52</v>
      </c>
      <c r="D1237" s="10">
        <v>3.09</v>
      </c>
      <c r="E1237" s="101">
        <f t="shared" si="150"/>
        <v>136106.64320000002</v>
      </c>
      <c r="F1237" s="207">
        <f>+$D1237*$F$2</f>
        <v>131053.07999999999</v>
      </c>
      <c r="G1237" s="338">
        <f>+$D1237*$G$2</f>
        <v>145430.85</v>
      </c>
      <c r="H1237" s="338">
        <f>+$D1237*$H$2</f>
        <v>153878.91</v>
      </c>
    </row>
    <row r="1238" spans="1:8" ht="14.4" thickBot="1" x14ac:dyDescent="0.3">
      <c r="A1238" s="8">
        <v>36403</v>
      </c>
      <c r="B1238" s="125" t="s">
        <v>1544</v>
      </c>
      <c r="C1238" s="10">
        <v>4.24</v>
      </c>
      <c r="D1238" s="10">
        <v>3.72</v>
      </c>
      <c r="E1238" s="101">
        <f t="shared" si="150"/>
        <v>163946.63840000003</v>
      </c>
      <c r="F1238" s="207">
        <f>+$D1238*$F$2</f>
        <v>157772.64000000001</v>
      </c>
      <c r="G1238" s="341">
        <f>+$D1238*$G$2</f>
        <v>175081.80000000002</v>
      </c>
      <c r="H1238" s="341">
        <f>+$D1238*$H$2</f>
        <v>185252.28</v>
      </c>
    </row>
    <row r="1239" spans="1:8" ht="14.4" thickBot="1" x14ac:dyDescent="0.3">
      <c r="A1239" s="66" t="s">
        <v>1208</v>
      </c>
      <c r="B1239" s="77"/>
      <c r="C1239" s="128"/>
      <c r="D1239" s="354" t="s">
        <v>3476</v>
      </c>
      <c r="E1239" s="354"/>
      <c r="F1239" s="354" t="s">
        <v>3476</v>
      </c>
      <c r="G1239" s="355" t="s">
        <v>3476</v>
      </c>
      <c r="H1239" s="356" t="s">
        <v>3476</v>
      </c>
    </row>
    <row r="1240" spans="1:8" x14ac:dyDescent="0.25">
      <c r="A1240" s="4">
        <v>36501</v>
      </c>
      <c r="B1240" s="122" t="s">
        <v>1209</v>
      </c>
      <c r="C1240" s="129">
        <v>2.9</v>
      </c>
      <c r="D1240" s="129">
        <v>2.54</v>
      </c>
      <c r="E1240" s="130">
        <f t="shared" si="150"/>
        <v>112133.31400000001</v>
      </c>
      <c r="F1240" s="329">
        <f t="shared" ref="F1240:F1254" si="160">+$D1240*$F$2</f>
        <v>107726.48</v>
      </c>
      <c r="G1240" s="338">
        <f t="shared" ref="G1240:G1254" si="161">+$D1240*$G$2</f>
        <v>119545.1</v>
      </c>
      <c r="H1240" s="338">
        <f t="shared" ref="H1240:H1254" si="162">+$D1240*$H$2</f>
        <v>126489.46</v>
      </c>
    </row>
    <row r="1241" spans="1:8" x14ac:dyDescent="0.25">
      <c r="A1241" s="3">
        <v>36502</v>
      </c>
      <c r="B1241" s="118" t="s">
        <v>1210</v>
      </c>
      <c r="C1241" s="10">
        <v>9.67</v>
      </c>
      <c r="D1241" s="10">
        <v>8.48</v>
      </c>
      <c r="E1241" s="101">
        <f t="shared" si="150"/>
        <v>373906.60220000002</v>
      </c>
      <c r="F1241" s="207">
        <f t="shared" si="160"/>
        <v>359653.76</v>
      </c>
      <c r="G1241" s="338">
        <f t="shared" si="161"/>
        <v>399111.2</v>
      </c>
      <c r="H1241" s="338">
        <f t="shared" si="162"/>
        <v>422295.52</v>
      </c>
    </row>
    <row r="1242" spans="1:8" x14ac:dyDescent="0.25">
      <c r="A1242" s="3">
        <v>36503</v>
      </c>
      <c r="B1242" s="118" t="s">
        <v>1211</v>
      </c>
      <c r="C1242" s="10">
        <v>13.53</v>
      </c>
      <c r="D1242" s="10">
        <v>11.87</v>
      </c>
      <c r="E1242" s="101">
        <f t="shared" si="150"/>
        <v>523159.90980000002</v>
      </c>
      <c r="F1242" s="207">
        <f t="shared" si="160"/>
        <v>503430.43999999994</v>
      </c>
      <c r="G1242" s="338">
        <f t="shared" si="161"/>
        <v>558661.54999999993</v>
      </c>
      <c r="H1242" s="338">
        <f t="shared" si="162"/>
        <v>591114.13</v>
      </c>
    </row>
    <row r="1243" spans="1:8" x14ac:dyDescent="0.25">
      <c r="A1243" s="3">
        <v>36504</v>
      </c>
      <c r="B1243" s="118" t="s">
        <v>1212</v>
      </c>
      <c r="C1243" s="10">
        <v>9.67</v>
      </c>
      <c r="D1243" s="10">
        <v>8.48</v>
      </c>
      <c r="E1243" s="101">
        <f t="shared" si="150"/>
        <v>373906.60220000002</v>
      </c>
      <c r="F1243" s="207">
        <f t="shared" si="160"/>
        <v>359653.76</v>
      </c>
      <c r="G1243" s="338">
        <f t="shared" si="161"/>
        <v>399111.2</v>
      </c>
      <c r="H1243" s="338">
        <f t="shared" si="162"/>
        <v>422295.52</v>
      </c>
    </row>
    <row r="1244" spans="1:8" x14ac:dyDescent="0.25">
      <c r="A1244" s="3">
        <v>36505</v>
      </c>
      <c r="B1244" s="118" t="s">
        <v>1213</v>
      </c>
      <c r="C1244" s="10">
        <v>9.67</v>
      </c>
      <c r="D1244" s="10">
        <v>8.48</v>
      </c>
      <c r="E1244" s="101">
        <f t="shared" si="150"/>
        <v>373906.60220000002</v>
      </c>
      <c r="F1244" s="207">
        <f t="shared" si="160"/>
        <v>359653.76</v>
      </c>
      <c r="G1244" s="338">
        <f t="shared" si="161"/>
        <v>399111.2</v>
      </c>
      <c r="H1244" s="338">
        <f t="shared" si="162"/>
        <v>422295.52</v>
      </c>
    </row>
    <row r="1245" spans="1:8" x14ac:dyDescent="0.25">
      <c r="A1245" s="3">
        <v>36506</v>
      </c>
      <c r="B1245" s="118" t="s">
        <v>1214</v>
      </c>
      <c r="C1245" s="10">
        <v>7.73</v>
      </c>
      <c r="D1245" s="10">
        <v>6.78</v>
      </c>
      <c r="E1245" s="101">
        <f t="shared" si="150"/>
        <v>298893.28180000006</v>
      </c>
      <c r="F1245" s="207">
        <f t="shared" si="160"/>
        <v>287553.36</v>
      </c>
      <c r="G1245" s="338">
        <f t="shared" si="161"/>
        <v>319100.7</v>
      </c>
      <c r="H1245" s="338">
        <f t="shared" si="162"/>
        <v>337637.22000000003</v>
      </c>
    </row>
    <row r="1246" spans="1:8" x14ac:dyDescent="0.25">
      <c r="A1246" s="3">
        <v>36507</v>
      </c>
      <c r="B1246" s="118" t="s">
        <v>1215</v>
      </c>
      <c r="C1246" s="10">
        <v>7.73</v>
      </c>
      <c r="D1246" s="10">
        <v>6.78</v>
      </c>
      <c r="E1246" s="101">
        <f t="shared" si="150"/>
        <v>298893.28180000006</v>
      </c>
      <c r="F1246" s="207">
        <f t="shared" si="160"/>
        <v>287553.36</v>
      </c>
      <c r="G1246" s="338">
        <f t="shared" si="161"/>
        <v>319100.7</v>
      </c>
      <c r="H1246" s="338">
        <f t="shared" si="162"/>
        <v>337637.22000000003</v>
      </c>
    </row>
    <row r="1247" spans="1:8" x14ac:dyDescent="0.25">
      <c r="A1247" s="3">
        <v>36508</v>
      </c>
      <c r="B1247" s="118" t="s">
        <v>1216</v>
      </c>
      <c r="C1247" s="10">
        <v>96.69</v>
      </c>
      <c r="D1247" s="10">
        <v>84.81</v>
      </c>
      <c r="E1247" s="101">
        <f t="shared" si="150"/>
        <v>3738679.3554000002</v>
      </c>
      <c r="F1247" s="207">
        <f t="shared" si="160"/>
        <v>3596961.72</v>
      </c>
      <c r="G1247" s="338">
        <f t="shared" si="161"/>
        <v>3991582.65</v>
      </c>
      <c r="H1247" s="338">
        <f t="shared" si="162"/>
        <v>4223453.1900000004</v>
      </c>
    </row>
    <row r="1248" spans="1:8" x14ac:dyDescent="0.25">
      <c r="A1248" s="3">
        <v>36509</v>
      </c>
      <c r="B1248" s="118" t="s">
        <v>1217</v>
      </c>
      <c r="C1248" s="10">
        <v>9.67</v>
      </c>
      <c r="D1248" s="10">
        <v>8.48</v>
      </c>
      <c r="E1248" s="101">
        <f t="shared" si="150"/>
        <v>373906.60220000002</v>
      </c>
      <c r="F1248" s="207">
        <f t="shared" si="160"/>
        <v>359653.76</v>
      </c>
      <c r="G1248" s="338">
        <f t="shared" si="161"/>
        <v>399111.2</v>
      </c>
      <c r="H1248" s="338">
        <f t="shared" si="162"/>
        <v>422295.52</v>
      </c>
    </row>
    <row r="1249" spans="1:8" x14ac:dyDescent="0.25">
      <c r="A1249" s="3">
        <v>36510</v>
      </c>
      <c r="B1249" s="118" t="s">
        <v>1218</v>
      </c>
      <c r="C1249" s="10">
        <v>7.73</v>
      </c>
      <c r="D1249" s="10">
        <v>6.78</v>
      </c>
      <c r="E1249" s="101">
        <f t="shared" si="150"/>
        <v>298893.28180000006</v>
      </c>
      <c r="F1249" s="207">
        <f t="shared" si="160"/>
        <v>287553.36</v>
      </c>
      <c r="G1249" s="338">
        <f t="shared" si="161"/>
        <v>319100.7</v>
      </c>
      <c r="H1249" s="338">
        <f t="shared" si="162"/>
        <v>337637.22000000003</v>
      </c>
    </row>
    <row r="1250" spans="1:8" x14ac:dyDescent="0.25">
      <c r="A1250" s="3">
        <v>36511</v>
      </c>
      <c r="B1250" s="118" t="s">
        <v>1219</v>
      </c>
      <c r="C1250" s="10">
        <v>0.98</v>
      </c>
      <c r="D1250" s="10">
        <v>0.86</v>
      </c>
      <c r="E1250" s="101">
        <f t="shared" si="150"/>
        <v>37893.326800000003</v>
      </c>
      <c r="F1250" s="207">
        <f t="shared" si="160"/>
        <v>36474.32</v>
      </c>
      <c r="G1250" s="338">
        <f t="shared" si="161"/>
        <v>40475.9</v>
      </c>
      <c r="H1250" s="338">
        <f t="shared" si="162"/>
        <v>42827.14</v>
      </c>
    </row>
    <row r="1251" spans="1:8" x14ac:dyDescent="0.25">
      <c r="A1251" s="3">
        <v>36513</v>
      </c>
      <c r="B1251" s="118" t="s">
        <v>1220</v>
      </c>
      <c r="C1251" s="10">
        <v>0.98</v>
      </c>
      <c r="D1251" s="10">
        <v>0.86</v>
      </c>
      <c r="E1251" s="101">
        <f t="shared" si="150"/>
        <v>37893.326800000003</v>
      </c>
      <c r="F1251" s="207">
        <f t="shared" si="160"/>
        <v>36474.32</v>
      </c>
      <c r="G1251" s="338">
        <f t="shared" si="161"/>
        <v>40475.9</v>
      </c>
      <c r="H1251" s="338">
        <f t="shared" si="162"/>
        <v>42827.14</v>
      </c>
    </row>
    <row r="1252" spans="1:8" x14ac:dyDescent="0.25">
      <c r="A1252" s="3">
        <v>36514</v>
      </c>
      <c r="B1252" s="118" t="s">
        <v>1221</v>
      </c>
      <c r="C1252" s="10">
        <v>7.73</v>
      </c>
      <c r="D1252" s="10">
        <v>6.78</v>
      </c>
      <c r="E1252" s="101">
        <f t="shared" si="150"/>
        <v>298893.28180000006</v>
      </c>
      <c r="F1252" s="207">
        <f t="shared" si="160"/>
        <v>287553.36</v>
      </c>
      <c r="G1252" s="338">
        <f t="shared" si="161"/>
        <v>319100.7</v>
      </c>
      <c r="H1252" s="338">
        <f t="shared" si="162"/>
        <v>337637.22000000003</v>
      </c>
    </row>
    <row r="1253" spans="1:8" x14ac:dyDescent="0.25">
      <c r="A1253" s="3">
        <v>36515</v>
      </c>
      <c r="B1253" s="118" t="s">
        <v>1222</v>
      </c>
      <c r="C1253" s="10">
        <v>11.49</v>
      </c>
      <c r="D1253" s="10">
        <v>10.08</v>
      </c>
      <c r="E1253" s="101">
        <f t="shared" si="150"/>
        <v>444279.92340000003</v>
      </c>
      <c r="F1253" s="207">
        <f t="shared" si="160"/>
        <v>427512.96</v>
      </c>
      <c r="G1253" s="338">
        <f t="shared" si="161"/>
        <v>474415.2</v>
      </c>
      <c r="H1253" s="338">
        <f t="shared" si="162"/>
        <v>501973.92</v>
      </c>
    </row>
    <row r="1254" spans="1:8" ht="14.4" thickBot="1" x14ac:dyDescent="0.3">
      <c r="A1254" s="8">
        <v>36516</v>
      </c>
      <c r="B1254" s="121" t="s">
        <v>1223</v>
      </c>
      <c r="C1254" s="10">
        <v>11.49</v>
      </c>
      <c r="D1254" s="10">
        <v>10.08</v>
      </c>
      <c r="E1254" s="101">
        <f t="shared" si="150"/>
        <v>444279.92340000003</v>
      </c>
      <c r="F1254" s="207">
        <f t="shared" si="160"/>
        <v>427512.96</v>
      </c>
      <c r="G1254" s="341">
        <f t="shared" si="161"/>
        <v>474415.2</v>
      </c>
      <c r="H1254" s="341">
        <f t="shared" si="162"/>
        <v>501973.92</v>
      </c>
    </row>
    <row r="1255" spans="1:8" ht="14.4" thickBot="1" x14ac:dyDescent="0.3">
      <c r="A1255" s="66" t="s">
        <v>1224</v>
      </c>
      <c r="B1255" s="77"/>
      <c r="C1255" s="128"/>
      <c r="D1255" s="354" t="s">
        <v>3476</v>
      </c>
      <c r="E1255" s="354"/>
      <c r="F1255" s="354" t="s">
        <v>3476</v>
      </c>
      <c r="G1255" s="355" t="s">
        <v>3476</v>
      </c>
      <c r="H1255" s="356" t="s">
        <v>3476</v>
      </c>
    </row>
    <row r="1256" spans="1:8" x14ac:dyDescent="0.25">
      <c r="A1256" s="4">
        <v>36601</v>
      </c>
      <c r="B1256" s="122" t="s">
        <v>1225</v>
      </c>
      <c r="C1256" s="129">
        <v>0.76</v>
      </c>
      <c r="D1256" s="129">
        <v>0.67</v>
      </c>
      <c r="E1256" s="130">
        <f t="shared" si="150"/>
        <v>29386.661600000003</v>
      </c>
      <c r="F1256" s="329">
        <f t="shared" ref="F1256:F1269" si="163">+$D1256*$F$2</f>
        <v>28416.04</v>
      </c>
      <c r="G1256" s="338">
        <f t="shared" ref="G1256:G1269" si="164">+$D1256*$G$2</f>
        <v>31533.550000000003</v>
      </c>
      <c r="H1256" s="338">
        <f t="shared" ref="H1256:H1269" si="165">+$D1256*$H$2</f>
        <v>33365.33</v>
      </c>
    </row>
    <row r="1257" spans="1:8" x14ac:dyDescent="0.25">
      <c r="A1257" s="3">
        <v>36602</v>
      </c>
      <c r="B1257" s="118" t="s">
        <v>1226</v>
      </c>
      <c r="C1257" s="10">
        <v>0.93</v>
      </c>
      <c r="D1257" s="10">
        <v>0.82</v>
      </c>
      <c r="E1257" s="101">
        <f t="shared" si="150"/>
        <v>35959.993800000004</v>
      </c>
      <c r="F1257" s="207">
        <f t="shared" si="163"/>
        <v>34777.839999999997</v>
      </c>
      <c r="G1257" s="338">
        <f t="shared" si="164"/>
        <v>38593.299999999996</v>
      </c>
      <c r="H1257" s="338">
        <f t="shared" si="165"/>
        <v>40835.18</v>
      </c>
    </row>
    <row r="1258" spans="1:8" x14ac:dyDescent="0.25">
      <c r="A1258" s="3">
        <v>36603</v>
      </c>
      <c r="B1258" s="118" t="s">
        <v>1227</v>
      </c>
      <c r="C1258" s="10">
        <v>2.12</v>
      </c>
      <c r="D1258" s="10">
        <v>1.86</v>
      </c>
      <c r="E1258" s="101">
        <f t="shared" si="150"/>
        <v>81973.319200000013</v>
      </c>
      <c r="F1258" s="207">
        <f t="shared" si="163"/>
        <v>78886.320000000007</v>
      </c>
      <c r="G1258" s="338">
        <f t="shared" si="164"/>
        <v>87540.900000000009</v>
      </c>
      <c r="H1258" s="338">
        <f t="shared" si="165"/>
        <v>92626.14</v>
      </c>
    </row>
    <row r="1259" spans="1:8" x14ac:dyDescent="0.25">
      <c r="A1259" s="3">
        <v>36604</v>
      </c>
      <c r="B1259" s="118" t="s">
        <v>1228</v>
      </c>
      <c r="C1259" s="10">
        <v>3.52</v>
      </c>
      <c r="D1259" s="10">
        <v>3.09</v>
      </c>
      <c r="E1259" s="101">
        <f t="shared" si="150"/>
        <v>136106.64320000002</v>
      </c>
      <c r="F1259" s="207">
        <f t="shared" si="163"/>
        <v>131053.07999999999</v>
      </c>
      <c r="G1259" s="338">
        <f t="shared" si="164"/>
        <v>145430.85</v>
      </c>
      <c r="H1259" s="338">
        <f t="shared" si="165"/>
        <v>153878.91</v>
      </c>
    </row>
    <row r="1260" spans="1:8" x14ac:dyDescent="0.25">
      <c r="A1260" s="3">
        <v>36605</v>
      </c>
      <c r="B1260" s="118" t="s">
        <v>1229</v>
      </c>
      <c r="C1260" s="10">
        <v>4.22</v>
      </c>
      <c r="D1260" s="10">
        <v>3.7</v>
      </c>
      <c r="E1260" s="101">
        <f t="shared" si="150"/>
        <v>163173.3052</v>
      </c>
      <c r="F1260" s="207">
        <f t="shared" si="163"/>
        <v>156924.4</v>
      </c>
      <c r="G1260" s="338">
        <f t="shared" si="164"/>
        <v>174140.5</v>
      </c>
      <c r="H1260" s="338">
        <f t="shared" si="165"/>
        <v>184256.30000000002</v>
      </c>
    </row>
    <row r="1261" spans="1:8" x14ac:dyDescent="0.25">
      <c r="A1261" s="3">
        <v>36606</v>
      </c>
      <c r="B1261" s="118" t="s">
        <v>1230</v>
      </c>
      <c r="C1261" s="10">
        <v>6.34</v>
      </c>
      <c r="D1261" s="10">
        <v>5.56</v>
      </c>
      <c r="E1261" s="101">
        <f t="shared" si="150"/>
        <v>245146.62440000003</v>
      </c>
      <c r="F1261" s="207">
        <f t="shared" si="163"/>
        <v>235810.71999999997</v>
      </c>
      <c r="G1261" s="338">
        <f t="shared" si="164"/>
        <v>261681.4</v>
      </c>
      <c r="H1261" s="338">
        <f t="shared" si="165"/>
        <v>276882.44</v>
      </c>
    </row>
    <row r="1262" spans="1:8" x14ac:dyDescent="0.25">
      <c r="A1262" s="3">
        <v>36607</v>
      </c>
      <c r="B1262" s="118" t="s">
        <v>1231</v>
      </c>
      <c r="C1262" s="10">
        <v>4.0599999999999996</v>
      </c>
      <c r="D1262" s="10">
        <v>3.56</v>
      </c>
      <c r="E1262" s="101">
        <f t="shared" si="150"/>
        <v>156986.63959999999</v>
      </c>
      <c r="F1262" s="207">
        <f t="shared" si="163"/>
        <v>150986.72</v>
      </c>
      <c r="G1262" s="338">
        <f t="shared" si="164"/>
        <v>167551.4</v>
      </c>
      <c r="H1262" s="338">
        <f t="shared" si="165"/>
        <v>177284.44</v>
      </c>
    </row>
    <row r="1263" spans="1:8" x14ac:dyDescent="0.25">
      <c r="A1263" s="3">
        <v>36608</v>
      </c>
      <c r="B1263" s="118" t="s">
        <v>1232</v>
      </c>
      <c r="C1263" s="10">
        <v>4.26</v>
      </c>
      <c r="D1263" s="10">
        <v>3.74</v>
      </c>
      <c r="E1263" s="101">
        <f t="shared" si="150"/>
        <v>164719.97160000002</v>
      </c>
      <c r="F1263" s="207">
        <f t="shared" si="163"/>
        <v>158620.88</v>
      </c>
      <c r="G1263" s="338">
        <f t="shared" si="164"/>
        <v>176023.1</v>
      </c>
      <c r="H1263" s="338">
        <f t="shared" si="165"/>
        <v>186248.26</v>
      </c>
    </row>
    <row r="1264" spans="1:8" x14ac:dyDescent="0.25">
      <c r="A1264" s="3">
        <v>36609</v>
      </c>
      <c r="B1264" s="118" t="s">
        <v>1233</v>
      </c>
      <c r="C1264" s="10">
        <v>6.4</v>
      </c>
      <c r="D1264" s="10">
        <v>5.61</v>
      </c>
      <c r="E1264" s="101">
        <f t="shared" si="150"/>
        <v>247466.62400000004</v>
      </c>
      <c r="F1264" s="207">
        <f t="shared" si="163"/>
        <v>237931.32</v>
      </c>
      <c r="G1264" s="338">
        <f t="shared" si="164"/>
        <v>264034.65000000002</v>
      </c>
      <c r="H1264" s="338">
        <f t="shared" si="165"/>
        <v>279372.39</v>
      </c>
    </row>
    <row r="1265" spans="1:8" x14ac:dyDescent="0.25">
      <c r="A1265" s="3">
        <v>36610</v>
      </c>
      <c r="B1265" s="118" t="s">
        <v>1234</v>
      </c>
      <c r="C1265" s="10">
        <v>4.26</v>
      </c>
      <c r="D1265" s="10">
        <v>3.74</v>
      </c>
      <c r="E1265" s="101">
        <f t="shared" si="150"/>
        <v>164719.97160000002</v>
      </c>
      <c r="F1265" s="207">
        <f t="shared" si="163"/>
        <v>158620.88</v>
      </c>
      <c r="G1265" s="338">
        <f t="shared" si="164"/>
        <v>176023.1</v>
      </c>
      <c r="H1265" s="338">
        <f t="shared" si="165"/>
        <v>186248.26</v>
      </c>
    </row>
    <row r="1266" spans="1:8" x14ac:dyDescent="0.25">
      <c r="A1266" s="3">
        <v>36611</v>
      </c>
      <c r="B1266" s="118" t="s">
        <v>1235</v>
      </c>
      <c r="C1266" s="10">
        <v>3.57</v>
      </c>
      <c r="D1266" s="10">
        <v>3.13</v>
      </c>
      <c r="E1266" s="101">
        <f t="shared" si="150"/>
        <v>138039.9762</v>
      </c>
      <c r="F1266" s="207">
        <f t="shared" si="163"/>
        <v>132749.56</v>
      </c>
      <c r="G1266" s="338">
        <f t="shared" si="164"/>
        <v>147313.44999999998</v>
      </c>
      <c r="H1266" s="338">
        <f t="shared" si="165"/>
        <v>155870.87</v>
      </c>
    </row>
    <row r="1267" spans="1:8" x14ac:dyDescent="0.25">
      <c r="A1267" s="3">
        <v>36613</v>
      </c>
      <c r="B1267" s="118" t="s">
        <v>1236</v>
      </c>
      <c r="C1267" s="10">
        <v>2.19</v>
      </c>
      <c r="D1267" s="10">
        <v>1.92</v>
      </c>
      <c r="E1267" s="101">
        <f t="shared" si="150"/>
        <v>84679.985400000005</v>
      </c>
      <c r="F1267" s="207">
        <f t="shared" si="163"/>
        <v>81431.039999999994</v>
      </c>
      <c r="G1267" s="338">
        <f t="shared" si="164"/>
        <v>90364.800000000003</v>
      </c>
      <c r="H1267" s="338">
        <f t="shared" si="165"/>
        <v>95614.080000000002</v>
      </c>
    </row>
    <row r="1268" spans="1:8" x14ac:dyDescent="0.25">
      <c r="A1268" s="3">
        <v>36614</v>
      </c>
      <c r="B1268" s="118" t="s">
        <v>1237</v>
      </c>
      <c r="C1268" s="10">
        <v>5.0199999999999996</v>
      </c>
      <c r="D1268" s="10">
        <v>4.4000000000000004</v>
      </c>
      <c r="E1268" s="101">
        <f t="shared" si="150"/>
        <v>194106.63320000001</v>
      </c>
      <c r="F1268" s="207">
        <f t="shared" si="163"/>
        <v>186612.80000000002</v>
      </c>
      <c r="G1268" s="338">
        <f t="shared" si="164"/>
        <v>207086.00000000003</v>
      </c>
      <c r="H1268" s="338">
        <f t="shared" si="165"/>
        <v>219115.6</v>
      </c>
    </row>
    <row r="1269" spans="1:8" ht="14.4" thickBot="1" x14ac:dyDescent="0.3">
      <c r="A1269" s="8">
        <v>36616</v>
      </c>
      <c r="B1269" s="121" t="s">
        <v>1238</v>
      </c>
      <c r="C1269" s="89">
        <v>2.68</v>
      </c>
      <c r="D1269" s="89">
        <v>2.35</v>
      </c>
      <c r="E1269" s="101">
        <f t="shared" si="150"/>
        <v>103626.64880000001</v>
      </c>
      <c r="F1269" s="207">
        <f t="shared" si="163"/>
        <v>99668.2</v>
      </c>
      <c r="G1269" s="341">
        <f t="shared" si="164"/>
        <v>110602.75</v>
      </c>
      <c r="H1269" s="341">
        <f t="shared" si="165"/>
        <v>117027.65000000001</v>
      </c>
    </row>
    <row r="1270" spans="1:8" ht="14.4" thickBot="1" x14ac:dyDescent="0.35">
      <c r="A1270" s="66" t="s">
        <v>1239</v>
      </c>
      <c r="B1270" s="77"/>
      <c r="C1270" s="13"/>
      <c r="D1270" s="354" t="s">
        <v>3476</v>
      </c>
      <c r="E1270" s="13"/>
      <c r="F1270" s="354" t="s">
        <v>3476</v>
      </c>
      <c r="G1270" s="355" t="s">
        <v>3476</v>
      </c>
      <c r="H1270" s="356" t="s">
        <v>3476</v>
      </c>
    </row>
    <row r="1271" spans="1:8" ht="14.4" thickBot="1" x14ac:dyDescent="0.35">
      <c r="A1271" s="66" t="s">
        <v>1240</v>
      </c>
      <c r="B1271" s="77"/>
      <c r="C1271" s="13"/>
      <c r="D1271" s="354" t="s">
        <v>3476</v>
      </c>
      <c r="E1271" s="13"/>
      <c r="F1271" s="354" t="s">
        <v>3476</v>
      </c>
      <c r="G1271" s="355" t="s">
        <v>3476</v>
      </c>
      <c r="H1271" s="356" t="s">
        <v>3476</v>
      </c>
    </row>
    <row r="1272" spans="1:8" x14ac:dyDescent="0.25">
      <c r="A1272" s="4">
        <v>36701</v>
      </c>
      <c r="B1272" s="122" t="s">
        <v>1241</v>
      </c>
      <c r="C1272" s="135">
        <v>7.12</v>
      </c>
      <c r="D1272" s="135">
        <v>6.24</v>
      </c>
      <c r="E1272" s="130">
        <f t="shared" ref="E1272:E1280" si="166">+$C1272*$E$2</f>
        <v>275306.61920000002</v>
      </c>
      <c r="F1272" s="329">
        <f t="shared" ref="F1272:F1280" si="167">+$D1272*$F$2</f>
        <v>264650.88</v>
      </c>
      <c r="G1272" s="338">
        <f t="shared" ref="G1272:G1280" si="168">+$D1272*$G$2</f>
        <v>293685.60000000003</v>
      </c>
      <c r="H1272" s="338">
        <f t="shared" ref="H1272:H1280" si="169">+$D1272*$H$2</f>
        <v>310745.76</v>
      </c>
    </row>
    <row r="1273" spans="1:8" x14ac:dyDescent="0.25">
      <c r="A1273" s="3">
        <v>36702</v>
      </c>
      <c r="B1273" s="118" t="s">
        <v>1242</v>
      </c>
      <c r="C1273" s="89">
        <v>5.69</v>
      </c>
      <c r="D1273" s="89">
        <v>4.99</v>
      </c>
      <c r="E1273" s="101">
        <f t="shared" si="166"/>
        <v>220013.29540000003</v>
      </c>
      <c r="F1273" s="207">
        <f t="shared" si="167"/>
        <v>211635.88</v>
      </c>
      <c r="G1273" s="338">
        <f t="shared" si="168"/>
        <v>234854.35</v>
      </c>
      <c r="H1273" s="338">
        <f t="shared" si="169"/>
        <v>248497.01</v>
      </c>
    </row>
    <row r="1274" spans="1:8" x14ac:dyDescent="0.25">
      <c r="A1274" s="3">
        <v>36703</v>
      </c>
      <c r="B1274" s="118" t="s">
        <v>1243</v>
      </c>
      <c r="C1274" s="89">
        <v>7.12</v>
      </c>
      <c r="D1274" s="89">
        <v>6.24</v>
      </c>
      <c r="E1274" s="101">
        <f t="shared" si="166"/>
        <v>275306.61920000002</v>
      </c>
      <c r="F1274" s="207">
        <f t="shared" si="167"/>
        <v>264650.88</v>
      </c>
      <c r="G1274" s="338">
        <f t="shared" si="168"/>
        <v>293685.60000000003</v>
      </c>
      <c r="H1274" s="338">
        <f t="shared" si="169"/>
        <v>310745.76</v>
      </c>
    </row>
    <row r="1275" spans="1:8" x14ac:dyDescent="0.25">
      <c r="A1275" s="3">
        <v>36704</v>
      </c>
      <c r="B1275" s="118" t="s">
        <v>1244</v>
      </c>
      <c r="C1275" s="89">
        <v>1.91</v>
      </c>
      <c r="D1275" s="89">
        <v>1.68</v>
      </c>
      <c r="E1275" s="101">
        <f t="shared" si="166"/>
        <v>73853.320600000006</v>
      </c>
      <c r="F1275" s="207">
        <f t="shared" si="167"/>
        <v>71252.160000000003</v>
      </c>
      <c r="G1275" s="338">
        <f t="shared" si="168"/>
        <v>79069.2</v>
      </c>
      <c r="H1275" s="338">
        <f t="shared" si="169"/>
        <v>83662.319999999992</v>
      </c>
    </row>
    <row r="1276" spans="1:8" x14ac:dyDescent="0.25">
      <c r="A1276" s="3">
        <v>36705</v>
      </c>
      <c r="B1276" s="118" t="s">
        <v>1245</v>
      </c>
      <c r="C1276" s="89">
        <v>2.83</v>
      </c>
      <c r="D1276" s="89">
        <v>2.48</v>
      </c>
      <c r="E1276" s="101">
        <f t="shared" si="166"/>
        <v>109426.64780000001</v>
      </c>
      <c r="F1276" s="207">
        <f t="shared" si="167"/>
        <v>105181.75999999999</v>
      </c>
      <c r="G1276" s="338">
        <f t="shared" si="168"/>
        <v>116721.2</v>
      </c>
      <c r="H1276" s="338">
        <f t="shared" si="169"/>
        <v>123501.52</v>
      </c>
    </row>
    <row r="1277" spans="1:8" x14ac:dyDescent="0.25">
      <c r="A1277" s="3">
        <v>36706</v>
      </c>
      <c r="B1277" s="118" t="s">
        <v>1246</v>
      </c>
      <c r="C1277" s="89">
        <v>2.9</v>
      </c>
      <c r="D1277" s="89">
        <v>2.54</v>
      </c>
      <c r="E1277" s="101">
        <f t="shared" si="166"/>
        <v>112133.31400000001</v>
      </c>
      <c r="F1277" s="207">
        <f t="shared" si="167"/>
        <v>107726.48</v>
      </c>
      <c r="G1277" s="338">
        <f t="shared" si="168"/>
        <v>119545.1</v>
      </c>
      <c r="H1277" s="338">
        <f t="shared" si="169"/>
        <v>126489.46</v>
      </c>
    </row>
    <row r="1278" spans="1:8" x14ac:dyDescent="0.25">
      <c r="A1278" s="3">
        <v>36707</v>
      </c>
      <c r="B1278" s="118" t="s">
        <v>1247</v>
      </c>
      <c r="C1278" s="89">
        <v>5.71</v>
      </c>
      <c r="D1278" s="89">
        <v>5.01</v>
      </c>
      <c r="E1278" s="101">
        <f t="shared" si="166"/>
        <v>220786.62860000003</v>
      </c>
      <c r="F1278" s="207">
        <f t="shared" si="167"/>
        <v>212484.12</v>
      </c>
      <c r="G1278" s="338">
        <f t="shared" si="168"/>
        <v>235795.65</v>
      </c>
      <c r="H1278" s="338">
        <f t="shared" si="169"/>
        <v>249492.99</v>
      </c>
    </row>
    <row r="1279" spans="1:8" x14ac:dyDescent="0.25">
      <c r="A1279" s="3">
        <v>36708</v>
      </c>
      <c r="B1279" s="118" t="s">
        <v>1248</v>
      </c>
      <c r="C1279" s="89">
        <v>7.12</v>
      </c>
      <c r="D1279" s="89">
        <v>6.24</v>
      </c>
      <c r="E1279" s="101">
        <f t="shared" si="166"/>
        <v>275306.61920000002</v>
      </c>
      <c r="F1279" s="207">
        <f t="shared" si="167"/>
        <v>264650.88</v>
      </c>
      <c r="G1279" s="338">
        <f t="shared" si="168"/>
        <v>293685.60000000003</v>
      </c>
      <c r="H1279" s="338">
        <f t="shared" si="169"/>
        <v>310745.76</v>
      </c>
    </row>
    <row r="1280" spans="1:8" ht="14.4" thickBot="1" x14ac:dyDescent="0.3">
      <c r="A1280" s="8">
        <v>36709</v>
      </c>
      <c r="B1280" s="121" t="s">
        <v>1249</v>
      </c>
      <c r="C1280" s="89">
        <v>7.73</v>
      </c>
      <c r="D1280" s="89">
        <v>6.78</v>
      </c>
      <c r="E1280" s="101">
        <f t="shared" si="166"/>
        <v>298893.28180000006</v>
      </c>
      <c r="F1280" s="207">
        <f t="shared" si="167"/>
        <v>287553.36</v>
      </c>
      <c r="G1280" s="338">
        <f t="shared" si="168"/>
        <v>319100.7</v>
      </c>
      <c r="H1280" s="338">
        <f t="shared" si="169"/>
        <v>337637.22000000003</v>
      </c>
    </row>
    <row r="1281" spans="1:8" ht="14.4" thickBot="1" x14ac:dyDescent="0.35">
      <c r="A1281" s="66" t="s">
        <v>1250</v>
      </c>
      <c r="B1281" s="77"/>
      <c r="C1281" s="128"/>
      <c r="D1281" s="354" t="s">
        <v>3476</v>
      </c>
      <c r="E1281" s="13"/>
      <c r="F1281" s="354" t="s">
        <v>3476</v>
      </c>
      <c r="G1281" s="355" t="s">
        <v>3476</v>
      </c>
      <c r="H1281" s="356" t="s">
        <v>3476</v>
      </c>
    </row>
    <row r="1282" spans="1:8" ht="14.4" thickBot="1" x14ac:dyDescent="0.3">
      <c r="A1282" s="136">
        <v>36710</v>
      </c>
      <c r="B1282" s="137" t="s">
        <v>1251</v>
      </c>
      <c r="C1282" s="135">
        <v>1.94</v>
      </c>
      <c r="D1282" s="135">
        <v>1.7</v>
      </c>
      <c r="E1282" s="130">
        <f t="shared" ref="E1282" si="170">+$C1282*$E$2</f>
        <v>75013.320400000011</v>
      </c>
      <c r="F1282" s="329">
        <f>+$D1282*$F$2</f>
        <v>72100.399999999994</v>
      </c>
      <c r="G1282" s="338">
        <f>+$D1282*$G$2</f>
        <v>80010.5</v>
      </c>
      <c r="H1282" s="338">
        <f>+$D1282*$H$2</f>
        <v>84658.3</v>
      </c>
    </row>
    <row r="1283" spans="1:8" ht="14.4" thickBot="1" x14ac:dyDescent="0.35">
      <c r="A1283" s="66" t="s">
        <v>1252</v>
      </c>
      <c r="B1283" s="77"/>
      <c r="C1283" s="128"/>
      <c r="D1283" s="354" t="s">
        <v>3476</v>
      </c>
      <c r="E1283" s="13"/>
      <c r="F1283" s="354" t="s">
        <v>3476</v>
      </c>
      <c r="G1283" s="355" t="s">
        <v>3476</v>
      </c>
      <c r="H1283" s="356" t="s">
        <v>3476</v>
      </c>
    </row>
    <row r="1284" spans="1:8" x14ac:dyDescent="0.25">
      <c r="A1284" s="4">
        <v>36801</v>
      </c>
      <c r="B1284" s="122" t="s">
        <v>1253</v>
      </c>
      <c r="C1284" s="135">
        <v>1.3</v>
      </c>
      <c r="D1284" s="135">
        <v>1.1399999999999999</v>
      </c>
      <c r="E1284" s="130">
        <f t="shared" ref="E1284:E1289" si="171">+$C1284*$E$2</f>
        <v>50266.658000000003</v>
      </c>
      <c r="F1284" s="329">
        <f t="shared" ref="F1284:F1289" si="172">+$D1284*$F$2</f>
        <v>48349.679999999993</v>
      </c>
      <c r="G1284" s="338">
        <f t="shared" ref="G1284:G1289" si="173">+$D1284*$G$2</f>
        <v>53654.1</v>
      </c>
      <c r="H1284" s="338">
        <f t="shared" ref="H1284:H1289" si="174">+$D1284*$H$2</f>
        <v>56770.859999999993</v>
      </c>
    </row>
    <row r="1285" spans="1:8" x14ac:dyDescent="0.25">
      <c r="A1285" s="3">
        <v>36802</v>
      </c>
      <c r="B1285" s="118" t="s">
        <v>1254</v>
      </c>
      <c r="C1285" s="89">
        <v>1.3</v>
      </c>
      <c r="D1285" s="89">
        <v>1.1399999999999999</v>
      </c>
      <c r="E1285" s="101">
        <f t="shared" si="171"/>
        <v>50266.658000000003</v>
      </c>
      <c r="F1285" s="207">
        <f t="shared" si="172"/>
        <v>48349.679999999993</v>
      </c>
      <c r="G1285" s="338">
        <f t="shared" si="173"/>
        <v>53654.1</v>
      </c>
      <c r="H1285" s="338">
        <f t="shared" si="174"/>
        <v>56770.859999999993</v>
      </c>
    </row>
    <row r="1286" spans="1:8" x14ac:dyDescent="0.25">
      <c r="A1286" s="3">
        <v>36803</v>
      </c>
      <c r="B1286" s="118" t="s">
        <v>1255</v>
      </c>
      <c r="C1286" s="89">
        <v>1.41</v>
      </c>
      <c r="D1286" s="89">
        <v>1.24</v>
      </c>
      <c r="E1286" s="101">
        <f t="shared" si="171"/>
        <v>54519.990600000005</v>
      </c>
      <c r="F1286" s="207">
        <f t="shared" si="172"/>
        <v>52590.879999999997</v>
      </c>
      <c r="G1286" s="338">
        <f t="shared" si="173"/>
        <v>58360.6</v>
      </c>
      <c r="H1286" s="338">
        <f t="shared" si="174"/>
        <v>61750.76</v>
      </c>
    </row>
    <row r="1287" spans="1:8" x14ac:dyDescent="0.25">
      <c r="A1287" s="3">
        <v>36804</v>
      </c>
      <c r="B1287" s="118" t="s">
        <v>1256</v>
      </c>
      <c r="C1287" s="89">
        <v>0.43</v>
      </c>
      <c r="D1287" s="89">
        <v>0.38</v>
      </c>
      <c r="E1287" s="101">
        <f t="shared" si="171"/>
        <v>16626.663800000002</v>
      </c>
      <c r="F1287" s="207">
        <f t="shared" si="172"/>
        <v>16116.56</v>
      </c>
      <c r="G1287" s="338">
        <f t="shared" si="173"/>
        <v>17884.7</v>
      </c>
      <c r="H1287" s="338">
        <f t="shared" si="174"/>
        <v>18923.62</v>
      </c>
    </row>
    <row r="1288" spans="1:8" x14ac:dyDescent="0.25">
      <c r="A1288" s="3">
        <v>36805</v>
      </c>
      <c r="B1288" s="118" t="s">
        <v>1257</v>
      </c>
      <c r="C1288" s="89">
        <v>2.68</v>
      </c>
      <c r="D1288" s="89">
        <v>2.35</v>
      </c>
      <c r="E1288" s="101">
        <f t="shared" si="171"/>
        <v>103626.64880000001</v>
      </c>
      <c r="F1288" s="207">
        <f t="shared" si="172"/>
        <v>99668.2</v>
      </c>
      <c r="G1288" s="338">
        <f t="shared" si="173"/>
        <v>110602.75</v>
      </c>
      <c r="H1288" s="338">
        <f t="shared" si="174"/>
        <v>117027.65000000001</v>
      </c>
    </row>
    <row r="1289" spans="1:8" ht="14.4" thickBot="1" x14ac:dyDescent="0.3">
      <c r="A1289" s="8">
        <v>36806</v>
      </c>
      <c r="B1289" s="121" t="s">
        <v>1258</v>
      </c>
      <c r="C1289" s="89">
        <v>0.43</v>
      </c>
      <c r="D1289" s="89">
        <v>0.38</v>
      </c>
      <c r="E1289" s="101">
        <f t="shared" si="171"/>
        <v>16626.663800000002</v>
      </c>
      <c r="F1289" s="207">
        <f t="shared" si="172"/>
        <v>16116.56</v>
      </c>
      <c r="G1289" s="338">
        <f t="shared" si="173"/>
        <v>17884.7</v>
      </c>
      <c r="H1289" s="338">
        <f t="shared" si="174"/>
        <v>18923.62</v>
      </c>
    </row>
    <row r="1290" spans="1:8" ht="14.4" thickBot="1" x14ac:dyDescent="0.35">
      <c r="A1290" s="66" t="s">
        <v>1259</v>
      </c>
      <c r="B1290" s="77"/>
      <c r="C1290" s="128"/>
      <c r="D1290" s="354" t="s">
        <v>3476</v>
      </c>
      <c r="E1290" s="13"/>
      <c r="F1290" s="354" t="s">
        <v>3476</v>
      </c>
      <c r="G1290" s="355" t="s">
        <v>3476</v>
      </c>
      <c r="H1290" s="356" t="s">
        <v>3476</v>
      </c>
    </row>
    <row r="1291" spans="1:8" x14ac:dyDescent="0.25">
      <c r="A1291" s="4">
        <v>36901</v>
      </c>
      <c r="B1291" s="122" t="s">
        <v>1260</v>
      </c>
      <c r="C1291" s="135">
        <v>0.56000000000000005</v>
      </c>
      <c r="D1291" s="135">
        <v>0.49</v>
      </c>
      <c r="E1291" s="130">
        <f t="shared" ref="E1291:E1298" si="175">+$C1291*$E$2</f>
        <v>21653.329600000005</v>
      </c>
      <c r="F1291" s="329">
        <f t="shared" ref="F1291:F1298" si="176">+$D1291*$F$2</f>
        <v>20781.88</v>
      </c>
      <c r="G1291" s="338">
        <f t="shared" ref="G1291:G1298" si="177">+$D1291*$G$2</f>
        <v>23061.85</v>
      </c>
      <c r="H1291" s="338">
        <f t="shared" ref="H1291:H1298" si="178">+$D1291*$H$2</f>
        <v>24401.51</v>
      </c>
    </row>
    <row r="1292" spans="1:8" x14ac:dyDescent="0.25">
      <c r="A1292" s="3">
        <v>36902</v>
      </c>
      <c r="B1292" s="118" t="s">
        <v>1261</v>
      </c>
      <c r="C1292" s="89">
        <v>0.56000000000000005</v>
      </c>
      <c r="D1292" s="89">
        <v>0.49</v>
      </c>
      <c r="E1292" s="101">
        <f t="shared" si="175"/>
        <v>21653.329600000005</v>
      </c>
      <c r="F1292" s="207">
        <f t="shared" si="176"/>
        <v>20781.88</v>
      </c>
      <c r="G1292" s="338">
        <f t="shared" si="177"/>
        <v>23061.85</v>
      </c>
      <c r="H1292" s="338">
        <f t="shared" si="178"/>
        <v>24401.51</v>
      </c>
    </row>
    <row r="1293" spans="1:8" x14ac:dyDescent="0.25">
      <c r="A1293" s="3">
        <v>36903</v>
      </c>
      <c r="B1293" s="118" t="s">
        <v>1262</v>
      </c>
      <c r="C1293" s="89">
        <v>0.56000000000000005</v>
      </c>
      <c r="D1293" s="89">
        <v>0.49</v>
      </c>
      <c r="E1293" s="101">
        <f t="shared" si="175"/>
        <v>21653.329600000005</v>
      </c>
      <c r="F1293" s="207">
        <f t="shared" si="176"/>
        <v>20781.88</v>
      </c>
      <c r="G1293" s="338">
        <f t="shared" si="177"/>
        <v>23061.85</v>
      </c>
      <c r="H1293" s="338">
        <f t="shared" si="178"/>
        <v>24401.51</v>
      </c>
    </row>
    <row r="1294" spans="1:8" x14ac:dyDescent="0.25">
      <c r="A1294" s="3">
        <v>36904</v>
      </c>
      <c r="B1294" s="118" t="s">
        <v>1263</v>
      </c>
      <c r="C1294" s="89">
        <v>0.82</v>
      </c>
      <c r="D1294" s="89">
        <v>0.72</v>
      </c>
      <c r="E1294" s="101">
        <f t="shared" si="175"/>
        <v>31706.661200000002</v>
      </c>
      <c r="F1294" s="207">
        <f t="shared" si="176"/>
        <v>30536.639999999999</v>
      </c>
      <c r="G1294" s="338">
        <f t="shared" si="177"/>
        <v>33886.799999999996</v>
      </c>
      <c r="H1294" s="338">
        <f t="shared" si="178"/>
        <v>35855.279999999999</v>
      </c>
    </row>
    <row r="1295" spans="1:8" x14ac:dyDescent="0.25">
      <c r="A1295" s="3">
        <v>36905</v>
      </c>
      <c r="B1295" s="118" t="s">
        <v>1264</v>
      </c>
      <c r="C1295" s="89">
        <v>0.82</v>
      </c>
      <c r="D1295" s="89">
        <v>0.72</v>
      </c>
      <c r="E1295" s="101">
        <f t="shared" si="175"/>
        <v>31706.661200000002</v>
      </c>
      <c r="F1295" s="207">
        <f t="shared" si="176"/>
        <v>30536.639999999999</v>
      </c>
      <c r="G1295" s="338">
        <f t="shared" si="177"/>
        <v>33886.799999999996</v>
      </c>
      <c r="H1295" s="338">
        <f t="shared" si="178"/>
        <v>35855.279999999999</v>
      </c>
    </row>
    <row r="1296" spans="1:8" x14ac:dyDescent="0.25">
      <c r="A1296" s="3">
        <v>36906</v>
      </c>
      <c r="B1296" s="118" t="s">
        <v>1265</v>
      </c>
      <c r="C1296" s="89">
        <v>0.71</v>
      </c>
      <c r="D1296" s="89">
        <v>0.62</v>
      </c>
      <c r="E1296" s="101">
        <f t="shared" si="175"/>
        <v>27453.328600000001</v>
      </c>
      <c r="F1296" s="207">
        <f t="shared" si="176"/>
        <v>26295.439999999999</v>
      </c>
      <c r="G1296" s="338">
        <f t="shared" si="177"/>
        <v>29180.3</v>
      </c>
      <c r="H1296" s="338">
        <f t="shared" si="178"/>
        <v>30875.38</v>
      </c>
    </row>
    <row r="1297" spans="1:8" x14ac:dyDescent="0.25">
      <c r="A1297" s="3">
        <v>36907</v>
      </c>
      <c r="B1297" s="118" t="s">
        <v>1266</v>
      </c>
      <c r="C1297" s="89">
        <v>0.28000000000000003</v>
      </c>
      <c r="D1297" s="89">
        <v>0.25</v>
      </c>
      <c r="E1297" s="101">
        <f t="shared" si="175"/>
        <v>10826.664800000002</v>
      </c>
      <c r="F1297" s="207">
        <f t="shared" si="176"/>
        <v>10603</v>
      </c>
      <c r="G1297" s="338">
        <f t="shared" si="177"/>
        <v>11766.25</v>
      </c>
      <c r="H1297" s="338">
        <f t="shared" si="178"/>
        <v>12449.75</v>
      </c>
    </row>
    <row r="1298" spans="1:8" ht="14.4" thickBot="1" x14ac:dyDescent="0.3">
      <c r="A1298" s="8">
        <v>36908</v>
      </c>
      <c r="B1298" s="121" t="s">
        <v>1267</v>
      </c>
      <c r="C1298" s="89">
        <v>0.72</v>
      </c>
      <c r="D1298" s="89">
        <v>0.63</v>
      </c>
      <c r="E1298" s="101">
        <f t="shared" si="175"/>
        <v>27839.995200000001</v>
      </c>
      <c r="F1298" s="207">
        <f t="shared" si="176"/>
        <v>26719.56</v>
      </c>
      <c r="G1298" s="338">
        <f t="shared" si="177"/>
        <v>29650.95</v>
      </c>
      <c r="H1298" s="338">
        <f t="shared" si="178"/>
        <v>31373.37</v>
      </c>
    </row>
    <row r="1299" spans="1:8" ht="28.2" thickBot="1" x14ac:dyDescent="0.35">
      <c r="A1299" s="232" t="s">
        <v>3489</v>
      </c>
      <c r="B1299" s="108"/>
      <c r="C1299" s="35"/>
      <c r="D1299" s="354" t="s">
        <v>3476</v>
      </c>
      <c r="E1299" s="13"/>
      <c r="F1299" s="354" t="s">
        <v>3476</v>
      </c>
      <c r="G1299" s="355" t="s">
        <v>3476</v>
      </c>
      <c r="H1299" s="356" t="s">
        <v>3476</v>
      </c>
    </row>
    <row r="1300" spans="1:8" ht="14.4" thickBot="1" x14ac:dyDescent="0.35">
      <c r="A1300" s="232" t="s">
        <v>3490</v>
      </c>
      <c r="B1300" s="108"/>
      <c r="C1300" s="35"/>
      <c r="D1300" s="354" t="s">
        <v>3476</v>
      </c>
      <c r="E1300" s="13"/>
      <c r="F1300" s="354" t="s">
        <v>3476</v>
      </c>
      <c r="G1300" s="355" t="s">
        <v>3476</v>
      </c>
      <c r="H1300" s="356" t="s">
        <v>3476</v>
      </c>
    </row>
    <row r="1301" spans="1:8" ht="14.4" thickBot="1" x14ac:dyDescent="0.35">
      <c r="A1301" s="232" t="s">
        <v>3491</v>
      </c>
      <c r="B1301" s="21"/>
      <c r="C1301" s="35"/>
      <c r="D1301" s="354" t="s">
        <v>3476</v>
      </c>
      <c r="E1301" s="13"/>
      <c r="F1301" s="354" t="s">
        <v>3476</v>
      </c>
      <c r="G1301" s="355" t="s">
        <v>3476</v>
      </c>
      <c r="H1301" s="356" t="s">
        <v>3476</v>
      </c>
    </row>
    <row r="1302" spans="1:8" ht="14.4" thickBot="1" x14ac:dyDescent="0.35">
      <c r="A1302" s="66" t="s">
        <v>1268</v>
      </c>
      <c r="B1302" s="21"/>
      <c r="C1302" s="35"/>
      <c r="D1302" s="354" t="s">
        <v>3476</v>
      </c>
      <c r="E1302" s="13"/>
      <c r="F1302" s="354" t="s">
        <v>3476</v>
      </c>
      <c r="G1302" s="355" t="s">
        <v>3476</v>
      </c>
      <c r="H1302" s="356" t="s">
        <v>3476</v>
      </c>
    </row>
    <row r="1303" spans="1:8" x14ac:dyDescent="0.25">
      <c r="A1303" s="3">
        <v>37100</v>
      </c>
      <c r="B1303" s="118" t="s">
        <v>1269</v>
      </c>
      <c r="C1303" s="89">
        <v>1.69</v>
      </c>
      <c r="D1303" s="89">
        <v>1.48</v>
      </c>
      <c r="E1303" s="101">
        <f t="shared" ref="E1303:E1358" si="179">+$C1303*$E$2</f>
        <v>65346.655400000003</v>
      </c>
      <c r="F1303" s="207">
        <f t="shared" ref="F1303:F1312" si="180">+$D1303*$F$2</f>
        <v>62769.760000000002</v>
      </c>
      <c r="G1303" s="338">
        <f t="shared" ref="G1303:G1312" si="181">+$D1303*$G$2</f>
        <v>69656.2</v>
      </c>
      <c r="H1303" s="338">
        <f t="shared" ref="H1303:H1312" si="182">+$D1303*$H$2</f>
        <v>73702.52</v>
      </c>
    </row>
    <row r="1304" spans="1:8" x14ac:dyDescent="0.25">
      <c r="A1304" s="3">
        <v>37101</v>
      </c>
      <c r="B1304" s="118" t="s">
        <v>1270</v>
      </c>
      <c r="C1304" s="89">
        <v>1.76</v>
      </c>
      <c r="D1304" s="89">
        <v>1.54</v>
      </c>
      <c r="E1304" s="101">
        <f t="shared" si="179"/>
        <v>68053.32160000001</v>
      </c>
      <c r="F1304" s="207">
        <f t="shared" si="180"/>
        <v>65314.48</v>
      </c>
      <c r="G1304" s="338">
        <f t="shared" si="181"/>
        <v>72480.100000000006</v>
      </c>
      <c r="H1304" s="338">
        <f t="shared" si="182"/>
        <v>76690.460000000006</v>
      </c>
    </row>
    <row r="1305" spans="1:8" x14ac:dyDescent="0.25">
      <c r="A1305" s="3">
        <v>37102</v>
      </c>
      <c r="B1305" s="190" t="s">
        <v>1271</v>
      </c>
      <c r="C1305" s="89">
        <v>2.12</v>
      </c>
      <c r="D1305" s="89">
        <v>1.86</v>
      </c>
      <c r="E1305" s="101">
        <f t="shared" si="179"/>
        <v>81973.319200000013</v>
      </c>
      <c r="F1305" s="207">
        <f t="shared" si="180"/>
        <v>78886.320000000007</v>
      </c>
      <c r="G1305" s="338">
        <f t="shared" si="181"/>
        <v>87540.900000000009</v>
      </c>
      <c r="H1305" s="338">
        <f t="shared" si="182"/>
        <v>92626.14</v>
      </c>
    </row>
    <row r="1306" spans="1:8" x14ac:dyDescent="0.25">
      <c r="A1306" s="3">
        <v>37103</v>
      </c>
      <c r="B1306" s="118" t="s">
        <v>1272</v>
      </c>
      <c r="C1306" s="89">
        <v>3.52</v>
      </c>
      <c r="D1306" s="89">
        <v>3.09</v>
      </c>
      <c r="E1306" s="101">
        <f t="shared" si="179"/>
        <v>136106.64320000002</v>
      </c>
      <c r="F1306" s="207">
        <f t="shared" si="180"/>
        <v>131053.07999999999</v>
      </c>
      <c r="G1306" s="338">
        <f t="shared" si="181"/>
        <v>145430.85</v>
      </c>
      <c r="H1306" s="338">
        <f t="shared" si="182"/>
        <v>153878.91</v>
      </c>
    </row>
    <row r="1307" spans="1:8" x14ac:dyDescent="0.25">
      <c r="A1307" s="3">
        <v>37104</v>
      </c>
      <c r="B1307" s="118" t="s">
        <v>1273</v>
      </c>
      <c r="C1307" s="89">
        <v>1.76</v>
      </c>
      <c r="D1307" s="89">
        <v>1.54</v>
      </c>
      <c r="E1307" s="101">
        <f t="shared" si="179"/>
        <v>68053.32160000001</v>
      </c>
      <c r="F1307" s="207">
        <f t="shared" si="180"/>
        <v>65314.48</v>
      </c>
      <c r="G1307" s="338">
        <f t="shared" si="181"/>
        <v>72480.100000000006</v>
      </c>
      <c r="H1307" s="338">
        <f t="shared" si="182"/>
        <v>76690.460000000006</v>
      </c>
    </row>
    <row r="1308" spans="1:8" x14ac:dyDescent="0.25">
      <c r="A1308" s="3">
        <v>37105</v>
      </c>
      <c r="B1308" s="118" t="s">
        <v>1274</v>
      </c>
      <c r="C1308" s="89">
        <v>0.9</v>
      </c>
      <c r="D1308" s="89">
        <v>0.79</v>
      </c>
      <c r="E1308" s="101">
        <f t="shared" si="179"/>
        <v>34799.994000000006</v>
      </c>
      <c r="F1308" s="207">
        <f t="shared" si="180"/>
        <v>33505.480000000003</v>
      </c>
      <c r="G1308" s="338">
        <f t="shared" si="181"/>
        <v>37181.35</v>
      </c>
      <c r="H1308" s="338">
        <f t="shared" si="182"/>
        <v>39341.21</v>
      </c>
    </row>
    <row r="1309" spans="1:8" x14ac:dyDescent="0.25">
      <c r="A1309" s="3">
        <v>37106</v>
      </c>
      <c r="B1309" s="118" t="s">
        <v>1275</v>
      </c>
      <c r="C1309" s="89">
        <v>3.88</v>
      </c>
      <c r="D1309" s="89">
        <v>3.4</v>
      </c>
      <c r="E1309" s="101">
        <f t="shared" si="179"/>
        <v>150026.64080000002</v>
      </c>
      <c r="F1309" s="207">
        <f t="shared" si="180"/>
        <v>144200.79999999999</v>
      </c>
      <c r="G1309" s="338">
        <f t="shared" si="181"/>
        <v>160021</v>
      </c>
      <c r="H1309" s="338">
        <f t="shared" si="182"/>
        <v>169316.6</v>
      </c>
    </row>
    <row r="1310" spans="1:8" x14ac:dyDescent="0.25">
      <c r="A1310" s="3">
        <v>37107</v>
      </c>
      <c r="B1310" s="118" t="s">
        <v>1276</v>
      </c>
      <c r="C1310" s="89">
        <v>1.91</v>
      </c>
      <c r="D1310" s="89">
        <v>1.68</v>
      </c>
      <c r="E1310" s="101">
        <f t="shared" si="179"/>
        <v>73853.320600000006</v>
      </c>
      <c r="F1310" s="207">
        <f t="shared" si="180"/>
        <v>71252.160000000003</v>
      </c>
      <c r="G1310" s="338">
        <f t="shared" si="181"/>
        <v>79069.2</v>
      </c>
      <c r="H1310" s="338">
        <f t="shared" si="182"/>
        <v>83662.319999999992</v>
      </c>
    </row>
    <row r="1311" spans="1:8" x14ac:dyDescent="0.25">
      <c r="A1311" s="3">
        <v>37108</v>
      </c>
      <c r="B1311" s="118" t="s">
        <v>1277</v>
      </c>
      <c r="C1311" s="89">
        <v>1.92</v>
      </c>
      <c r="D1311" s="89">
        <v>1.68</v>
      </c>
      <c r="E1311" s="101">
        <f t="shared" si="179"/>
        <v>74239.987200000003</v>
      </c>
      <c r="F1311" s="207">
        <f t="shared" si="180"/>
        <v>71252.160000000003</v>
      </c>
      <c r="G1311" s="338">
        <f t="shared" si="181"/>
        <v>79069.2</v>
      </c>
      <c r="H1311" s="338">
        <f t="shared" si="182"/>
        <v>83662.319999999992</v>
      </c>
    </row>
    <row r="1312" spans="1:8" ht="14.4" thickBot="1" x14ac:dyDescent="0.3">
      <c r="A1312" s="8">
        <v>37109</v>
      </c>
      <c r="B1312" s="121" t="s">
        <v>1278</v>
      </c>
      <c r="C1312" s="89">
        <v>2.4700000000000002</v>
      </c>
      <c r="D1312" s="89">
        <v>2.17</v>
      </c>
      <c r="E1312" s="101">
        <f t="shared" si="179"/>
        <v>95506.650200000018</v>
      </c>
      <c r="F1312" s="207">
        <f t="shared" si="180"/>
        <v>92034.04</v>
      </c>
      <c r="G1312" s="338">
        <f t="shared" si="181"/>
        <v>102131.05</v>
      </c>
      <c r="H1312" s="338">
        <f t="shared" si="182"/>
        <v>108063.83</v>
      </c>
    </row>
    <row r="1313" spans="1:8" ht="14.4" thickBot="1" x14ac:dyDescent="0.35">
      <c r="A1313" s="66" t="s">
        <v>1279</v>
      </c>
      <c r="B1313" s="21"/>
      <c r="C1313" s="35"/>
      <c r="D1313" s="354" t="s">
        <v>3476</v>
      </c>
      <c r="E1313" s="13"/>
      <c r="F1313" s="354" t="s">
        <v>3476</v>
      </c>
      <c r="G1313" s="355" t="s">
        <v>3476</v>
      </c>
      <c r="H1313" s="356" t="s">
        <v>3476</v>
      </c>
    </row>
    <row r="1314" spans="1:8" x14ac:dyDescent="0.25">
      <c r="A1314" s="3">
        <v>37201</v>
      </c>
      <c r="B1314" s="118" t="s">
        <v>1280</v>
      </c>
      <c r="C1314" s="89">
        <v>1.76</v>
      </c>
      <c r="D1314" s="89">
        <v>1.54</v>
      </c>
      <c r="E1314" s="101">
        <f t="shared" si="179"/>
        <v>68053.32160000001</v>
      </c>
      <c r="F1314" s="207">
        <f>+$D1314*$F$2</f>
        <v>65314.48</v>
      </c>
      <c r="G1314" s="338">
        <f>+$D1314*$G$2</f>
        <v>72480.100000000006</v>
      </c>
      <c r="H1314" s="338">
        <f>+$D1314*$H$2</f>
        <v>76690.460000000006</v>
      </c>
    </row>
    <row r="1315" spans="1:8" x14ac:dyDescent="0.25">
      <c r="A1315" s="3">
        <v>37202</v>
      </c>
      <c r="B1315" s="118" t="s">
        <v>1281</v>
      </c>
      <c r="C1315" s="89">
        <v>3.52</v>
      </c>
      <c r="D1315" s="89">
        <v>3.09</v>
      </c>
      <c r="E1315" s="101">
        <f t="shared" si="179"/>
        <v>136106.64320000002</v>
      </c>
      <c r="F1315" s="207">
        <f>+$D1315*$F$2</f>
        <v>131053.07999999999</v>
      </c>
      <c r="G1315" s="338">
        <f>+$D1315*$G$2</f>
        <v>145430.85</v>
      </c>
      <c r="H1315" s="338">
        <f>+$D1315*$H$2</f>
        <v>153878.91</v>
      </c>
    </row>
    <row r="1316" spans="1:8" x14ac:dyDescent="0.25">
      <c r="A1316" s="3">
        <v>37203</v>
      </c>
      <c r="B1316" s="118" t="s">
        <v>1282</v>
      </c>
      <c r="C1316" s="89">
        <v>0.65</v>
      </c>
      <c r="D1316" s="89">
        <v>0.56999999999999995</v>
      </c>
      <c r="E1316" s="101">
        <f t="shared" si="179"/>
        <v>25133.329000000002</v>
      </c>
      <c r="F1316" s="207">
        <f>+$D1316*$F$2</f>
        <v>24174.839999999997</v>
      </c>
      <c r="G1316" s="338">
        <f>+$D1316*$G$2</f>
        <v>26827.05</v>
      </c>
      <c r="H1316" s="338">
        <f>+$D1316*$H$2</f>
        <v>28385.429999999997</v>
      </c>
    </row>
    <row r="1317" spans="1:8" x14ac:dyDescent="0.25">
      <c r="A1317" s="3">
        <v>37205</v>
      </c>
      <c r="B1317" s="118" t="s">
        <v>1283</v>
      </c>
      <c r="C1317" s="89">
        <v>3.52</v>
      </c>
      <c r="D1317" s="89">
        <v>3.09</v>
      </c>
      <c r="E1317" s="101">
        <f t="shared" si="179"/>
        <v>136106.64320000002</v>
      </c>
      <c r="F1317" s="207">
        <f>+$D1317*$F$2</f>
        <v>131053.07999999999</v>
      </c>
      <c r="G1317" s="338">
        <f>+$D1317*$G$2</f>
        <v>145430.85</v>
      </c>
      <c r="H1317" s="338">
        <f>+$D1317*$H$2</f>
        <v>153878.91</v>
      </c>
    </row>
    <row r="1318" spans="1:8" ht="14.4" thickBot="1" x14ac:dyDescent="0.3">
      <c r="A1318" s="8">
        <v>37206</v>
      </c>
      <c r="B1318" s="121" t="s">
        <v>1284</v>
      </c>
      <c r="C1318" s="89">
        <v>1.88</v>
      </c>
      <c r="D1318" s="89">
        <v>1.65</v>
      </c>
      <c r="E1318" s="101">
        <f t="shared" si="179"/>
        <v>72693.320800000001</v>
      </c>
      <c r="F1318" s="207">
        <f>+$D1318*$F$2</f>
        <v>69979.8</v>
      </c>
      <c r="G1318" s="338">
        <f>+$D1318*$G$2</f>
        <v>77657.25</v>
      </c>
      <c r="H1318" s="338">
        <f>+$D1318*$H$2</f>
        <v>82168.349999999991</v>
      </c>
    </row>
    <row r="1319" spans="1:8" ht="14.4" thickBot="1" x14ac:dyDescent="0.35">
      <c r="A1319" s="66" t="s">
        <v>1285</v>
      </c>
      <c r="B1319" s="77"/>
      <c r="C1319" s="77"/>
      <c r="D1319" s="354" t="s">
        <v>3476</v>
      </c>
      <c r="E1319" s="13"/>
      <c r="F1319" s="354" t="s">
        <v>3476</v>
      </c>
      <c r="G1319" s="355" t="s">
        <v>3476</v>
      </c>
      <c r="H1319" s="356" t="s">
        <v>3476</v>
      </c>
    </row>
    <row r="1320" spans="1:8" x14ac:dyDescent="0.25">
      <c r="A1320" s="94">
        <v>37207</v>
      </c>
      <c r="B1320" s="123" t="s">
        <v>1286</v>
      </c>
      <c r="C1320" s="89">
        <v>1.88</v>
      </c>
      <c r="D1320" s="89">
        <v>1.65</v>
      </c>
      <c r="E1320" s="101">
        <f t="shared" si="179"/>
        <v>72693.320800000001</v>
      </c>
      <c r="F1320" s="207">
        <f>+$D1320*$F$2</f>
        <v>69979.8</v>
      </c>
      <c r="G1320" s="338">
        <f>+$D1320*$G$2</f>
        <v>77657.25</v>
      </c>
      <c r="H1320" s="338">
        <f>+$D1320*$H$2</f>
        <v>82168.349999999991</v>
      </c>
    </row>
    <row r="1321" spans="1:8" x14ac:dyDescent="0.25">
      <c r="A1321" s="94">
        <v>37208</v>
      </c>
      <c r="B1321" s="123" t="s">
        <v>1287</v>
      </c>
      <c r="C1321" s="89">
        <v>2.8</v>
      </c>
      <c r="D1321" s="89">
        <v>2.46</v>
      </c>
      <c r="E1321" s="101">
        <f t="shared" si="179"/>
        <v>108266.648</v>
      </c>
      <c r="F1321" s="207">
        <f>+$D1321*$F$2</f>
        <v>104333.52</v>
      </c>
      <c r="G1321" s="338">
        <f>+$D1321*$G$2</f>
        <v>115779.9</v>
      </c>
      <c r="H1321" s="338">
        <f>+$D1321*$H$2</f>
        <v>122505.54</v>
      </c>
    </row>
    <row r="1322" spans="1:8" ht="14.4" thickBot="1" x14ac:dyDescent="0.3">
      <c r="A1322" s="87">
        <v>37209</v>
      </c>
      <c r="B1322" s="138" t="s">
        <v>1288</v>
      </c>
      <c r="C1322" s="89">
        <v>3.73</v>
      </c>
      <c r="D1322" s="89">
        <v>3.27</v>
      </c>
      <c r="E1322" s="101">
        <f t="shared" si="179"/>
        <v>144226.64180000001</v>
      </c>
      <c r="F1322" s="207">
        <f>+$D1322*$F$2</f>
        <v>138687.24</v>
      </c>
      <c r="G1322" s="338">
        <f>+$D1322*$G$2</f>
        <v>153902.54999999999</v>
      </c>
      <c r="H1322" s="338">
        <f>+$D1322*$H$2</f>
        <v>162842.73000000001</v>
      </c>
    </row>
    <row r="1323" spans="1:8" ht="14.4" thickBot="1" x14ac:dyDescent="0.35">
      <c r="A1323" s="66" t="s">
        <v>1289</v>
      </c>
      <c r="B1323" s="77"/>
      <c r="C1323" s="77"/>
      <c r="D1323" s="354" t="s">
        <v>3476</v>
      </c>
      <c r="E1323" s="13"/>
      <c r="F1323" s="354" t="s">
        <v>3476</v>
      </c>
      <c r="G1323" s="355" t="s">
        <v>3476</v>
      </c>
      <c r="H1323" s="356" t="s">
        <v>3476</v>
      </c>
    </row>
    <row r="1324" spans="1:8" x14ac:dyDescent="0.25">
      <c r="A1324" s="4">
        <v>37301</v>
      </c>
      <c r="B1324" s="122" t="s">
        <v>1290</v>
      </c>
      <c r="C1324" s="12">
        <v>4.8</v>
      </c>
      <c r="D1324" s="89">
        <v>4.21</v>
      </c>
      <c r="E1324" s="101">
        <f t="shared" si="179"/>
        <v>185599.96800000002</v>
      </c>
      <c r="F1324" s="207">
        <f>+$D1324*$F$2</f>
        <v>178554.52</v>
      </c>
      <c r="G1324" s="338">
        <f>+$D1324*$G$2</f>
        <v>198143.65</v>
      </c>
      <c r="H1324" s="338">
        <f>+$D1324*$H$2</f>
        <v>209653.79</v>
      </c>
    </row>
    <row r="1325" spans="1:8" x14ac:dyDescent="0.25">
      <c r="A1325" s="3">
        <v>37302</v>
      </c>
      <c r="B1325" s="118" t="s">
        <v>1291</v>
      </c>
      <c r="C1325" s="5">
        <v>3.52</v>
      </c>
      <c r="D1325" s="89">
        <v>3.09</v>
      </c>
      <c r="E1325" s="101">
        <f t="shared" si="179"/>
        <v>136106.64320000002</v>
      </c>
      <c r="F1325" s="207">
        <f>+$D1325*$F$2</f>
        <v>131053.07999999999</v>
      </c>
      <c r="G1325" s="338">
        <f>+$D1325*$G$2</f>
        <v>145430.85</v>
      </c>
      <c r="H1325" s="338">
        <f>+$D1325*$H$2</f>
        <v>153878.91</v>
      </c>
    </row>
    <row r="1326" spans="1:8" x14ac:dyDescent="0.25">
      <c r="A1326" s="3">
        <v>37303</v>
      </c>
      <c r="B1326" s="118" t="s">
        <v>1292</v>
      </c>
      <c r="C1326" s="5">
        <v>4.8</v>
      </c>
      <c r="D1326" s="89">
        <v>4.21</v>
      </c>
      <c r="E1326" s="101">
        <f t="shared" si="179"/>
        <v>185599.96800000002</v>
      </c>
      <c r="F1326" s="207">
        <f>+$D1326*$F$2</f>
        <v>178554.52</v>
      </c>
      <c r="G1326" s="338">
        <f>+$D1326*$G$2</f>
        <v>198143.65</v>
      </c>
      <c r="H1326" s="338">
        <f>+$D1326*$H$2</f>
        <v>209653.79</v>
      </c>
    </row>
    <row r="1327" spans="1:8" x14ac:dyDescent="0.25">
      <c r="A1327" s="3">
        <v>37304</v>
      </c>
      <c r="B1327" s="118" t="s">
        <v>1293</v>
      </c>
      <c r="C1327" s="5">
        <v>3.52</v>
      </c>
      <c r="D1327" s="89">
        <v>3.09</v>
      </c>
      <c r="E1327" s="101">
        <f t="shared" si="179"/>
        <v>136106.64320000002</v>
      </c>
      <c r="F1327" s="207">
        <f>+$D1327*$F$2</f>
        <v>131053.07999999999</v>
      </c>
      <c r="G1327" s="338">
        <f>+$D1327*$G$2</f>
        <v>145430.85</v>
      </c>
      <c r="H1327" s="338">
        <f>+$D1327*$H$2</f>
        <v>153878.91</v>
      </c>
    </row>
    <row r="1328" spans="1:8" ht="14.4" thickBot="1" x14ac:dyDescent="0.3">
      <c r="A1328" s="8">
        <v>37305</v>
      </c>
      <c r="B1328" s="121" t="s">
        <v>1294</v>
      </c>
      <c r="C1328" s="10">
        <v>4.8</v>
      </c>
      <c r="D1328" s="89">
        <v>4.21</v>
      </c>
      <c r="E1328" s="101">
        <f t="shared" si="179"/>
        <v>185599.96800000002</v>
      </c>
      <c r="F1328" s="207">
        <f>+$D1328*$F$2</f>
        <v>178554.52</v>
      </c>
      <c r="G1328" s="338">
        <f>+$D1328*$G$2</f>
        <v>198143.65</v>
      </c>
      <c r="H1328" s="338">
        <f>+$D1328*$H$2</f>
        <v>209653.79</v>
      </c>
    </row>
    <row r="1329" spans="1:8" ht="14.4" thickBot="1" x14ac:dyDescent="0.35">
      <c r="A1329" s="68" t="s">
        <v>1295</v>
      </c>
      <c r="B1329" s="79"/>
      <c r="C1329" s="79"/>
      <c r="D1329" s="354" t="s">
        <v>3476</v>
      </c>
      <c r="E1329" s="13"/>
      <c r="F1329" s="354" t="s">
        <v>3476</v>
      </c>
      <c r="G1329" s="355" t="s">
        <v>3476</v>
      </c>
      <c r="H1329" s="356" t="s">
        <v>3476</v>
      </c>
    </row>
    <row r="1330" spans="1:8" x14ac:dyDescent="0.25">
      <c r="A1330" s="4">
        <v>37401</v>
      </c>
      <c r="B1330" s="122" t="s">
        <v>1296</v>
      </c>
      <c r="C1330" s="12">
        <v>1.76</v>
      </c>
      <c r="D1330" s="135">
        <v>1.54</v>
      </c>
      <c r="E1330" s="130">
        <f t="shared" si="179"/>
        <v>68053.32160000001</v>
      </c>
      <c r="F1330" s="329">
        <f>+$D1330*$F$2</f>
        <v>65314.48</v>
      </c>
      <c r="G1330" s="338">
        <f>+$D1330*$G$2</f>
        <v>72480.100000000006</v>
      </c>
      <c r="H1330" s="338">
        <f>+$D1330*$H$2</f>
        <v>76690.460000000006</v>
      </c>
    </row>
    <row r="1331" spans="1:8" x14ac:dyDescent="0.25">
      <c r="A1331" s="3">
        <v>37402</v>
      </c>
      <c r="B1331" s="118" t="s">
        <v>1297</v>
      </c>
      <c r="C1331" s="5">
        <v>5.25</v>
      </c>
      <c r="D1331" s="89">
        <v>4.5999999999999996</v>
      </c>
      <c r="E1331" s="101">
        <f t="shared" si="179"/>
        <v>202999.96500000003</v>
      </c>
      <c r="F1331" s="207">
        <f>+$D1331*$F$2</f>
        <v>195095.19999999998</v>
      </c>
      <c r="G1331" s="338">
        <f>+$D1331*$G$2</f>
        <v>216498.99999999997</v>
      </c>
      <c r="H1331" s="338">
        <f>+$D1331*$H$2</f>
        <v>229075.4</v>
      </c>
    </row>
    <row r="1332" spans="1:8" x14ac:dyDescent="0.25">
      <c r="A1332" s="3">
        <v>37403</v>
      </c>
      <c r="B1332" s="118" t="s">
        <v>1298</v>
      </c>
      <c r="C1332" s="5">
        <v>2.1800000000000002</v>
      </c>
      <c r="D1332" s="89">
        <v>1.91</v>
      </c>
      <c r="E1332" s="101">
        <f t="shared" si="179"/>
        <v>84293.318800000008</v>
      </c>
      <c r="F1332" s="207">
        <f>+$D1332*$F$2</f>
        <v>81006.92</v>
      </c>
      <c r="G1332" s="338">
        <f>+$D1332*$G$2</f>
        <v>89894.15</v>
      </c>
      <c r="H1332" s="338">
        <f>+$D1332*$H$2</f>
        <v>95116.09</v>
      </c>
    </row>
    <row r="1333" spans="1:8" ht="14.4" thickBot="1" x14ac:dyDescent="0.3">
      <c r="A1333" s="8">
        <v>37404</v>
      </c>
      <c r="B1333" s="121" t="s">
        <v>1299</v>
      </c>
      <c r="C1333" s="10">
        <v>2.1800000000000002</v>
      </c>
      <c r="D1333" s="89">
        <v>1.91</v>
      </c>
      <c r="E1333" s="101">
        <f t="shared" si="179"/>
        <v>84293.318800000008</v>
      </c>
      <c r="F1333" s="207">
        <f>+$D1333*$F$2</f>
        <v>81006.92</v>
      </c>
      <c r="G1333" s="338">
        <f>+$D1333*$G$2</f>
        <v>89894.15</v>
      </c>
      <c r="H1333" s="338">
        <f>+$D1333*$H$2</f>
        <v>95116.09</v>
      </c>
    </row>
    <row r="1334" spans="1:8" ht="14.4" thickBot="1" x14ac:dyDescent="0.35">
      <c r="A1334" s="66" t="s">
        <v>1300</v>
      </c>
      <c r="B1334" s="77"/>
      <c r="C1334" s="77"/>
      <c r="D1334" s="354" t="s">
        <v>3476</v>
      </c>
      <c r="E1334" s="13"/>
      <c r="F1334" s="354" t="s">
        <v>3476</v>
      </c>
      <c r="G1334" s="355" t="s">
        <v>3476</v>
      </c>
      <c r="H1334" s="356" t="s">
        <v>3476</v>
      </c>
    </row>
    <row r="1335" spans="1:8" x14ac:dyDescent="0.25">
      <c r="A1335" s="4">
        <v>37405</v>
      </c>
      <c r="B1335" s="122" t="s">
        <v>1301</v>
      </c>
      <c r="C1335" s="12">
        <v>1.76</v>
      </c>
      <c r="D1335" s="135">
        <v>1.54</v>
      </c>
      <c r="E1335" s="130">
        <f t="shared" si="179"/>
        <v>68053.32160000001</v>
      </c>
      <c r="F1335" s="329">
        <f>+$D1335*$F$2</f>
        <v>65314.48</v>
      </c>
      <c r="G1335" s="338">
        <f>+$D1335*$G$2</f>
        <v>72480.100000000006</v>
      </c>
      <c r="H1335" s="338">
        <f>+$D1335*$H$2</f>
        <v>76690.460000000006</v>
      </c>
    </row>
    <row r="1336" spans="1:8" x14ac:dyDescent="0.25">
      <c r="A1336" s="3">
        <v>37406</v>
      </c>
      <c r="B1336" s="118" t="s">
        <v>1302</v>
      </c>
      <c r="C1336" s="5">
        <v>3.17</v>
      </c>
      <c r="D1336" s="89">
        <v>2.78</v>
      </c>
      <c r="E1336" s="101">
        <f t="shared" si="179"/>
        <v>122573.31220000001</v>
      </c>
      <c r="F1336" s="207">
        <f>+$D1336*$F$2</f>
        <v>117905.35999999999</v>
      </c>
      <c r="G1336" s="338">
        <f>+$D1336*$G$2</f>
        <v>130840.7</v>
      </c>
      <c r="H1336" s="338">
        <f>+$D1336*$H$2</f>
        <v>138441.22</v>
      </c>
    </row>
    <row r="1337" spans="1:8" ht="14.4" thickBot="1" x14ac:dyDescent="0.3">
      <c r="A1337" s="8">
        <v>37407</v>
      </c>
      <c r="B1337" s="121" t="s">
        <v>1303</v>
      </c>
      <c r="C1337" s="10">
        <v>5.28</v>
      </c>
      <c r="D1337" s="89">
        <v>4.63</v>
      </c>
      <c r="E1337" s="101">
        <f t="shared" si="179"/>
        <v>204159.96480000002</v>
      </c>
      <c r="F1337" s="207">
        <f>+$D1337*$F$2</f>
        <v>196367.56</v>
      </c>
      <c r="G1337" s="338">
        <f>+$D1337*$G$2</f>
        <v>217910.94999999998</v>
      </c>
      <c r="H1337" s="338">
        <f>+$D1337*$H$2</f>
        <v>230569.37</v>
      </c>
    </row>
    <row r="1338" spans="1:8" ht="14.4" thickBot="1" x14ac:dyDescent="0.35">
      <c r="A1338" s="68" t="s">
        <v>1304</v>
      </c>
      <c r="B1338" s="79"/>
      <c r="C1338" s="79"/>
      <c r="D1338" s="354" t="s">
        <v>3476</v>
      </c>
      <c r="E1338" s="13"/>
      <c r="F1338" s="354" t="s">
        <v>3476</v>
      </c>
      <c r="G1338" s="355" t="s">
        <v>3476</v>
      </c>
      <c r="H1338" s="356" t="s">
        <v>3476</v>
      </c>
    </row>
    <row r="1339" spans="1:8" x14ac:dyDescent="0.25">
      <c r="A1339" s="4">
        <v>37501</v>
      </c>
      <c r="B1339" s="122" t="s">
        <v>1305</v>
      </c>
      <c r="C1339" s="12">
        <v>2.31</v>
      </c>
      <c r="D1339" s="135">
        <v>2.0299999999999998</v>
      </c>
      <c r="E1339" s="130">
        <f t="shared" si="179"/>
        <v>89319.984600000011</v>
      </c>
      <c r="F1339" s="329">
        <f t="shared" ref="F1339:F1346" si="183">+$D1339*$F$2</f>
        <v>86096.359999999986</v>
      </c>
      <c r="G1339" s="338">
        <f t="shared" ref="G1339:G1346" si="184">+$D1339*$G$2</f>
        <v>95541.95</v>
      </c>
      <c r="H1339" s="338">
        <f t="shared" ref="H1339:H1346" si="185">+$D1339*$H$2</f>
        <v>101091.96999999999</v>
      </c>
    </row>
    <row r="1340" spans="1:8" x14ac:dyDescent="0.25">
      <c r="A1340" s="3">
        <v>37502</v>
      </c>
      <c r="B1340" s="118" t="s">
        <v>1306</v>
      </c>
      <c r="C1340" s="5">
        <v>1.91</v>
      </c>
      <c r="D1340" s="89">
        <v>1.68</v>
      </c>
      <c r="E1340" s="101">
        <f t="shared" si="179"/>
        <v>73853.320600000006</v>
      </c>
      <c r="F1340" s="207">
        <f t="shared" si="183"/>
        <v>71252.160000000003</v>
      </c>
      <c r="G1340" s="338">
        <f t="shared" si="184"/>
        <v>79069.2</v>
      </c>
      <c r="H1340" s="338">
        <f t="shared" si="185"/>
        <v>83662.319999999992</v>
      </c>
    </row>
    <row r="1341" spans="1:8" x14ac:dyDescent="0.25">
      <c r="A1341" s="3">
        <v>37503</v>
      </c>
      <c r="B1341" s="118" t="s">
        <v>1307</v>
      </c>
      <c r="C1341" s="5">
        <v>1.02</v>
      </c>
      <c r="D1341" s="89">
        <v>0.9</v>
      </c>
      <c r="E1341" s="101">
        <f t="shared" si="179"/>
        <v>39439.993200000004</v>
      </c>
      <c r="F1341" s="207">
        <f t="shared" si="183"/>
        <v>38170.800000000003</v>
      </c>
      <c r="G1341" s="338">
        <f t="shared" si="184"/>
        <v>42358.5</v>
      </c>
      <c r="H1341" s="338">
        <f t="shared" si="185"/>
        <v>44819.1</v>
      </c>
    </row>
    <row r="1342" spans="1:8" x14ac:dyDescent="0.25">
      <c r="A1342" s="3">
        <v>37504</v>
      </c>
      <c r="B1342" s="118" t="s">
        <v>1308</v>
      </c>
      <c r="C1342" s="5">
        <v>4.2</v>
      </c>
      <c r="D1342" s="89">
        <v>3.68</v>
      </c>
      <c r="E1342" s="101">
        <f t="shared" si="179"/>
        <v>162399.97200000001</v>
      </c>
      <c r="F1342" s="207">
        <f t="shared" si="183"/>
        <v>156076.16</v>
      </c>
      <c r="G1342" s="338">
        <f t="shared" si="184"/>
        <v>173199.2</v>
      </c>
      <c r="H1342" s="338">
        <f t="shared" si="185"/>
        <v>183260.32</v>
      </c>
    </row>
    <row r="1343" spans="1:8" x14ac:dyDescent="0.25">
      <c r="A1343" s="3">
        <v>37506</v>
      </c>
      <c r="B1343" s="118" t="s">
        <v>1309</v>
      </c>
      <c r="C1343" s="5">
        <v>4.2</v>
      </c>
      <c r="D1343" s="89">
        <v>3.68</v>
      </c>
      <c r="E1343" s="101">
        <f t="shared" si="179"/>
        <v>162399.97200000001</v>
      </c>
      <c r="F1343" s="207">
        <f t="shared" si="183"/>
        <v>156076.16</v>
      </c>
      <c r="G1343" s="338">
        <f t="shared" si="184"/>
        <v>173199.2</v>
      </c>
      <c r="H1343" s="338">
        <f t="shared" si="185"/>
        <v>183260.32</v>
      </c>
    </row>
    <row r="1344" spans="1:8" x14ac:dyDescent="0.25">
      <c r="A1344" s="3">
        <v>37507</v>
      </c>
      <c r="B1344" s="118" t="s">
        <v>1310</v>
      </c>
      <c r="C1344" s="5">
        <v>4.2</v>
      </c>
      <c r="D1344" s="89">
        <v>3.68</v>
      </c>
      <c r="E1344" s="101">
        <f t="shared" si="179"/>
        <v>162399.97200000001</v>
      </c>
      <c r="F1344" s="207">
        <f t="shared" si="183"/>
        <v>156076.16</v>
      </c>
      <c r="G1344" s="338">
        <f t="shared" si="184"/>
        <v>173199.2</v>
      </c>
      <c r="H1344" s="338">
        <f t="shared" si="185"/>
        <v>183260.32</v>
      </c>
    </row>
    <row r="1345" spans="1:8" x14ac:dyDescent="0.25">
      <c r="A1345" s="3">
        <v>37508</v>
      </c>
      <c r="B1345" s="118" t="s">
        <v>1311</v>
      </c>
      <c r="C1345" s="5">
        <v>240.02</v>
      </c>
      <c r="D1345" s="89">
        <v>210.52</v>
      </c>
      <c r="E1345" s="101">
        <f t="shared" si="179"/>
        <v>9280771.7332000006</v>
      </c>
      <c r="F1345" s="207">
        <f t="shared" si="183"/>
        <v>8928574.2400000002</v>
      </c>
      <c r="G1345" s="338">
        <f t="shared" si="184"/>
        <v>9908123.8000000007</v>
      </c>
      <c r="H1345" s="338">
        <f t="shared" si="185"/>
        <v>10483685.48</v>
      </c>
    </row>
    <row r="1346" spans="1:8" ht="14.4" thickBot="1" x14ac:dyDescent="0.3">
      <c r="A1346" s="8">
        <v>37509</v>
      </c>
      <c r="B1346" s="125" t="s">
        <v>1545</v>
      </c>
      <c r="C1346" s="10">
        <v>30.99</v>
      </c>
      <c r="D1346" s="89">
        <v>27.18</v>
      </c>
      <c r="E1346" s="101">
        <f t="shared" si="179"/>
        <v>1198279.7934000001</v>
      </c>
      <c r="F1346" s="207">
        <f t="shared" si="183"/>
        <v>1152758.1599999999</v>
      </c>
      <c r="G1346" s="338">
        <f t="shared" si="184"/>
        <v>1279226.7</v>
      </c>
      <c r="H1346" s="338">
        <f t="shared" si="185"/>
        <v>1353536.82</v>
      </c>
    </row>
    <row r="1347" spans="1:8" ht="14.4" thickBot="1" x14ac:dyDescent="0.35">
      <c r="A1347" s="66" t="s">
        <v>1312</v>
      </c>
      <c r="B1347" s="77"/>
      <c r="C1347" s="77"/>
      <c r="D1347" s="354" t="s">
        <v>3476</v>
      </c>
      <c r="E1347" s="13"/>
      <c r="F1347" s="354" t="s">
        <v>3476</v>
      </c>
      <c r="G1347" s="355" t="s">
        <v>3476</v>
      </c>
      <c r="H1347" s="356" t="s">
        <v>3476</v>
      </c>
    </row>
    <row r="1348" spans="1:8" x14ac:dyDescent="0.25">
      <c r="A1348" s="4">
        <v>37601</v>
      </c>
      <c r="B1348" s="122" t="s">
        <v>1313</v>
      </c>
      <c r="C1348" s="12">
        <v>0.87</v>
      </c>
      <c r="D1348" s="135">
        <v>0.76</v>
      </c>
      <c r="E1348" s="130">
        <f t="shared" si="179"/>
        <v>33639.994200000001</v>
      </c>
      <c r="F1348" s="329">
        <f>+$D1348*$F$2</f>
        <v>32233.119999999999</v>
      </c>
      <c r="G1348" s="338">
        <f>+$D1348*$G$2</f>
        <v>35769.4</v>
      </c>
      <c r="H1348" s="338">
        <f>+$D1348*$H$2</f>
        <v>37847.24</v>
      </c>
    </row>
    <row r="1349" spans="1:8" ht="14.4" thickBot="1" x14ac:dyDescent="0.3">
      <c r="A1349" s="8">
        <v>37602</v>
      </c>
      <c r="B1349" s="125" t="s">
        <v>1546</v>
      </c>
      <c r="C1349" s="10">
        <v>0.84</v>
      </c>
      <c r="D1349" s="89">
        <v>0.74</v>
      </c>
      <c r="E1349" s="101">
        <f t="shared" si="179"/>
        <v>32479.994400000003</v>
      </c>
      <c r="F1349" s="207">
        <f>+$D1349*$F$2</f>
        <v>31384.880000000001</v>
      </c>
      <c r="G1349" s="338">
        <f>+$D1349*$G$2</f>
        <v>34828.1</v>
      </c>
      <c r="H1349" s="338">
        <f>+$D1349*$H$2</f>
        <v>36851.26</v>
      </c>
    </row>
    <row r="1350" spans="1:8" ht="14.4" thickBot="1" x14ac:dyDescent="0.35">
      <c r="A1350" s="66" t="s">
        <v>1314</v>
      </c>
      <c r="B1350" s="77"/>
      <c r="C1350" s="77"/>
      <c r="D1350" s="354" t="s">
        <v>3476</v>
      </c>
      <c r="E1350" s="13"/>
      <c r="F1350" s="354" t="s">
        <v>3476</v>
      </c>
      <c r="G1350" s="355" t="s">
        <v>3476</v>
      </c>
      <c r="H1350" s="356" t="s">
        <v>3476</v>
      </c>
    </row>
    <row r="1351" spans="1:8" x14ac:dyDescent="0.25">
      <c r="A1351" s="4">
        <v>37701</v>
      </c>
      <c r="B1351" s="122" t="s">
        <v>1315</v>
      </c>
      <c r="C1351" s="12">
        <v>0.62</v>
      </c>
      <c r="D1351" s="135">
        <v>0.54</v>
      </c>
      <c r="E1351" s="130">
        <f t="shared" si="179"/>
        <v>23973.329200000004</v>
      </c>
      <c r="F1351" s="329">
        <f>+$D1351*$F$2</f>
        <v>22902.480000000003</v>
      </c>
      <c r="G1351" s="338">
        <f>+$D1351*$G$2</f>
        <v>25415.100000000002</v>
      </c>
      <c r="H1351" s="338">
        <f>+$D1351*$H$2</f>
        <v>26891.460000000003</v>
      </c>
    </row>
    <row r="1352" spans="1:8" x14ac:dyDescent="0.25">
      <c r="A1352" s="3">
        <v>37702</v>
      </c>
      <c r="B1352" s="118" t="s">
        <v>1316</v>
      </c>
      <c r="C1352" s="5">
        <v>0.69</v>
      </c>
      <c r="D1352" s="89">
        <v>0.61</v>
      </c>
      <c r="E1352" s="101">
        <f t="shared" si="179"/>
        <v>26679.9954</v>
      </c>
      <c r="F1352" s="207">
        <f>+$D1352*$F$2</f>
        <v>25871.32</v>
      </c>
      <c r="G1352" s="338">
        <f>+$D1352*$G$2</f>
        <v>28709.649999999998</v>
      </c>
      <c r="H1352" s="338">
        <f>+$D1352*$H$2</f>
        <v>30377.39</v>
      </c>
    </row>
    <row r="1353" spans="1:8" x14ac:dyDescent="0.25">
      <c r="A1353" s="3">
        <v>37703</v>
      </c>
      <c r="B1353" s="118" t="s">
        <v>1317</v>
      </c>
      <c r="C1353" s="5">
        <v>0.92</v>
      </c>
      <c r="D1353" s="89">
        <v>0.81</v>
      </c>
      <c r="E1353" s="101">
        <f t="shared" si="179"/>
        <v>35573.327200000007</v>
      </c>
      <c r="F1353" s="207">
        <f>+$D1353*$F$2</f>
        <v>34353.72</v>
      </c>
      <c r="G1353" s="338">
        <f>+$D1353*$G$2</f>
        <v>38122.65</v>
      </c>
      <c r="H1353" s="338">
        <f>+$D1353*$H$2</f>
        <v>40337.19</v>
      </c>
    </row>
    <row r="1354" spans="1:8" ht="14.4" thickBot="1" x14ac:dyDescent="0.3">
      <c r="A1354" s="8">
        <v>37704</v>
      </c>
      <c r="B1354" s="121" t="s">
        <v>1318</v>
      </c>
      <c r="C1354" s="10">
        <v>0.55000000000000004</v>
      </c>
      <c r="D1354" s="89">
        <v>0.48</v>
      </c>
      <c r="E1354" s="101">
        <f t="shared" si="179"/>
        <v>21266.663000000004</v>
      </c>
      <c r="F1354" s="207">
        <f>+$D1354*$F$2</f>
        <v>20357.759999999998</v>
      </c>
      <c r="G1354" s="338">
        <f>+$D1354*$G$2</f>
        <v>22591.200000000001</v>
      </c>
      <c r="H1354" s="338">
        <f>+$D1354*$H$2</f>
        <v>23903.52</v>
      </c>
    </row>
    <row r="1355" spans="1:8" ht="14.4" thickBot="1" x14ac:dyDescent="0.35">
      <c r="A1355" s="66" t="s">
        <v>1319</v>
      </c>
      <c r="B1355" s="77"/>
      <c r="C1355" s="77"/>
      <c r="D1355" s="354" t="s">
        <v>3476</v>
      </c>
      <c r="E1355" s="13"/>
      <c r="F1355" s="354" t="s">
        <v>3476</v>
      </c>
      <c r="G1355" s="355" t="s">
        <v>3476</v>
      </c>
      <c r="H1355" s="356" t="s">
        <v>3476</v>
      </c>
    </row>
    <row r="1356" spans="1:8" x14ac:dyDescent="0.25">
      <c r="A1356" s="4">
        <v>37801</v>
      </c>
      <c r="B1356" s="122" t="s">
        <v>1320</v>
      </c>
      <c r="C1356" s="12">
        <v>1.04</v>
      </c>
      <c r="D1356" s="135">
        <v>0.91</v>
      </c>
      <c r="E1356" s="130">
        <f t="shared" si="179"/>
        <v>40213.326400000005</v>
      </c>
      <c r="F1356" s="329">
        <f>+$D1356*$F$2</f>
        <v>38594.92</v>
      </c>
      <c r="G1356" s="338">
        <f>+$D1356*$G$2</f>
        <v>42829.15</v>
      </c>
      <c r="H1356" s="338">
        <f>+$D1356*$H$2</f>
        <v>45317.090000000004</v>
      </c>
    </row>
    <row r="1357" spans="1:8" x14ac:dyDescent="0.25">
      <c r="A1357" s="3">
        <v>37804</v>
      </c>
      <c r="B1357" s="118" t="s">
        <v>1321</v>
      </c>
      <c r="C1357" s="5">
        <v>14.24</v>
      </c>
      <c r="D1357" s="89">
        <v>12.49</v>
      </c>
      <c r="E1357" s="101">
        <f t="shared" si="179"/>
        <v>550613.23840000003</v>
      </c>
      <c r="F1357" s="207">
        <f>+$D1357*$F$2</f>
        <v>529725.88</v>
      </c>
      <c r="G1357" s="338">
        <f>+$D1357*$G$2</f>
        <v>587841.85</v>
      </c>
      <c r="H1357" s="338">
        <f>+$D1357*$H$2</f>
        <v>621989.51</v>
      </c>
    </row>
    <row r="1358" spans="1:8" ht="14.4" thickBot="1" x14ac:dyDescent="0.3">
      <c r="A1358" s="8">
        <v>37805</v>
      </c>
      <c r="B1358" s="121" t="s">
        <v>1322</v>
      </c>
      <c r="C1358" s="10">
        <v>14.48</v>
      </c>
      <c r="D1358" s="89">
        <v>12.7</v>
      </c>
      <c r="E1358" s="101">
        <f t="shared" si="179"/>
        <v>559893.23680000007</v>
      </c>
      <c r="F1358" s="207">
        <f>+$D1358*$F$2</f>
        <v>538632.4</v>
      </c>
      <c r="G1358" s="338">
        <f>+$D1358*$G$2</f>
        <v>597725.5</v>
      </c>
      <c r="H1358" s="338">
        <f>+$D1358*$H$2</f>
        <v>632447.29999999993</v>
      </c>
    </row>
    <row r="1359" spans="1:8" ht="135" customHeight="1" thickBot="1" x14ac:dyDescent="0.3">
      <c r="A1359" s="232" t="s">
        <v>3492</v>
      </c>
      <c r="B1359" s="108"/>
      <c r="C1359" s="35"/>
      <c r="D1359" s="354" t="s">
        <v>3476</v>
      </c>
      <c r="E1359" s="35"/>
      <c r="F1359" s="354" t="s">
        <v>3476</v>
      </c>
      <c r="G1359" s="355" t="s">
        <v>3476</v>
      </c>
      <c r="H1359" s="356" t="s">
        <v>3476</v>
      </c>
    </row>
    <row r="1360" spans="1:8" ht="14.4" thickBot="1" x14ac:dyDescent="0.3">
      <c r="A1360" s="232" t="s">
        <v>1323</v>
      </c>
      <c r="B1360" s="92"/>
      <c r="C1360" s="35"/>
      <c r="D1360" s="354" t="s">
        <v>3476</v>
      </c>
      <c r="E1360" s="35"/>
      <c r="F1360" s="354" t="s">
        <v>3476</v>
      </c>
      <c r="G1360" s="355" t="s">
        <v>3476</v>
      </c>
      <c r="H1360" s="356" t="s">
        <v>3476</v>
      </c>
    </row>
    <row r="1361" spans="1:8" ht="14.4" thickBot="1" x14ac:dyDescent="0.3">
      <c r="A1361" s="77" t="s">
        <v>1558</v>
      </c>
      <c r="B1361" s="19"/>
      <c r="C1361" s="35"/>
      <c r="D1361" s="354"/>
      <c r="E1361" s="35"/>
      <c r="F1361" s="354"/>
      <c r="G1361" s="355" t="s">
        <v>3476</v>
      </c>
      <c r="H1361" s="356" t="s">
        <v>3476</v>
      </c>
    </row>
    <row r="1362" spans="1:8" ht="14.4" thickBot="1" x14ac:dyDescent="0.3">
      <c r="A1362" s="232" t="s">
        <v>3493</v>
      </c>
      <c r="B1362" s="82"/>
      <c r="C1362" s="90"/>
      <c r="D1362" s="354" t="s">
        <v>3476</v>
      </c>
      <c r="E1362" s="354" t="s">
        <v>3476</v>
      </c>
      <c r="F1362" s="354" t="s">
        <v>3476</v>
      </c>
      <c r="G1362" s="355" t="s">
        <v>3476</v>
      </c>
      <c r="H1362" s="356" t="s">
        <v>3476</v>
      </c>
    </row>
    <row r="1363" spans="1:8" x14ac:dyDescent="0.25">
      <c r="A1363" s="144" t="s">
        <v>1324</v>
      </c>
      <c r="B1363" s="147"/>
      <c r="C1363" s="153"/>
      <c r="D1363" s="154"/>
      <c r="E1363" s="153"/>
      <c r="F1363" s="154"/>
      <c r="G1363" s="338"/>
      <c r="H1363" s="338"/>
    </row>
    <row r="1364" spans="1:8" x14ac:dyDescent="0.25">
      <c r="A1364" s="145" t="s">
        <v>1325</v>
      </c>
      <c r="B1364" s="148"/>
      <c r="C1364" s="150"/>
      <c r="D1364" s="151"/>
      <c r="E1364" s="150"/>
      <c r="F1364" s="151"/>
      <c r="G1364" s="338"/>
      <c r="H1364" s="338"/>
    </row>
    <row r="1365" spans="1:8" x14ac:dyDescent="0.25">
      <c r="A1365" s="145" t="s">
        <v>1326</v>
      </c>
      <c r="B1365" s="148"/>
      <c r="C1365" s="150"/>
      <c r="D1365" s="151"/>
      <c r="E1365" s="150"/>
      <c r="F1365" s="151"/>
      <c r="G1365" s="338"/>
      <c r="H1365" s="338"/>
    </row>
    <row r="1366" spans="1:8" x14ac:dyDescent="0.25">
      <c r="A1366" s="145" t="s">
        <v>1327</v>
      </c>
      <c r="B1366" s="148"/>
      <c r="C1366" s="150"/>
      <c r="D1366" s="151"/>
      <c r="E1366" s="150"/>
      <c r="F1366" s="151"/>
      <c r="G1366" s="338"/>
      <c r="H1366" s="338"/>
    </row>
    <row r="1367" spans="1:8" x14ac:dyDescent="0.25">
      <c r="A1367" s="145" t="s">
        <v>1328</v>
      </c>
      <c r="B1367" s="148"/>
      <c r="C1367" s="150"/>
      <c r="D1367" s="151"/>
      <c r="E1367" s="150"/>
      <c r="F1367" s="151"/>
      <c r="G1367" s="338"/>
      <c r="H1367" s="338"/>
    </row>
    <row r="1368" spans="1:8" x14ac:dyDescent="0.25">
      <c r="A1368" s="145" t="s">
        <v>1329</v>
      </c>
      <c r="B1368" s="148"/>
      <c r="C1368" s="150"/>
      <c r="D1368" s="151"/>
      <c r="E1368" s="150"/>
      <c r="F1368" s="151"/>
      <c r="G1368" s="338"/>
      <c r="H1368" s="338"/>
    </row>
    <row r="1369" spans="1:8" x14ac:dyDescent="0.25">
      <c r="A1369" s="145" t="s">
        <v>1330</v>
      </c>
      <c r="B1369" s="148"/>
      <c r="C1369" s="150"/>
      <c r="D1369" s="151"/>
      <c r="E1369" s="150"/>
      <c r="F1369" s="151"/>
      <c r="G1369" s="338"/>
      <c r="H1369" s="338"/>
    </row>
    <row r="1370" spans="1:8" x14ac:dyDescent="0.3">
      <c r="A1370" s="146" t="s">
        <v>1331</v>
      </c>
      <c r="B1370" s="149"/>
      <c r="C1370" s="152"/>
      <c r="D1370" s="151"/>
      <c r="E1370" s="152"/>
      <c r="F1370" s="151"/>
      <c r="G1370" s="338"/>
      <c r="H1370" s="338"/>
    </row>
    <row r="1371" spans="1:8" x14ac:dyDescent="0.25">
      <c r="A1371" s="145" t="s">
        <v>1332</v>
      </c>
      <c r="B1371" s="148"/>
      <c r="C1371" s="150"/>
      <c r="D1371" s="151"/>
      <c r="E1371" s="150"/>
      <c r="F1371" s="151"/>
      <c r="G1371" s="338"/>
      <c r="H1371" s="338"/>
    </row>
    <row r="1372" spans="1:8" ht="14.4" thickBot="1" x14ac:dyDescent="0.3">
      <c r="A1372" s="155" t="s">
        <v>1547</v>
      </c>
      <c r="B1372" s="156"/>
      <c r="C1372" s="157"/>
      <c r="D1372" s="157"/>
      <c r="E1372" s="157"/>
      <c r="F1372" s="157"/>
      <c r="G1372" s="338"/>
      <c r="H1372" s="338"/>
    </row>
    <row r="1373" spans="1:8" ht="28.2" thickBot="1" x14ac:dyDescent="0.3">
      <c r="A1373" s="232" t="s">
        <v>3494</v>
      </c>
      <c r="B1373" s="108"/>
      <c r="C1373" s="35"/>
      <c r="D1373" s="354" t="s">
        <v>3476</v>
      </c>
      <c r="E1373" s="354" t="s">
        <v>3476</v>
      </c>
      <c r="F1373" s="354" t="s">
        <v>3476</v>
      </c>
      <c r="G1373" s="355" t="s">
        <v>3476</v>
      </c>
      <c r="H1373" s="356" t="s">
        <v>3476</v>
      </c>
    </row>
    <row r="1374" spans="1:8" ht="14.4" thickBot="1" x14ac:dyDescent="0.3">
      <c r="A1374" s="158" t="s">
        <v>1559</v>
      </c>
      <c r="B1374" s="158"/>
      <c r="C1374" s="140"/>
      <c r="D1374" s="140"/>
      <c r="E1374" s="140"/>
      <c r="F1374" s="140"/>
      <c r="G1374" s="338"/>
      <c r="H1374" s="338"/>
    </row>
    <row r="1375" spans="1:8" ht="14.4" thickBot="1" x14ac:dyDescent="0.3">
      <c r="A1375" s="232" t="s">
        <v>3495</v>
      </c>
      <c r="B1375" s="160"/>
      <c r="C1375" s="35"/>
      <c r="D1375" s="354" t="s">
        <v>3476</v>
      </c>
      <c r="E1375" s="354" t="s">
        <v>3476</v>
      </c>
      <c r="F1375" s="354" t="s">
        <v>3476</v>
      </c>
      <c r="G1375" s="355" t="s">
        <v>3476</v>
      </c>
      <c r="H1375" s="356" t="s">
        <v>3476</v>
      </c>
    </row>
    <row r="1376" spans="1:8" ht="14.4" thickBot="1" x14ac:dyDescent="0.3">
      <c r="A1376" s="232" t="s">
        <v>3496</v>
      </c>
      <c r="B1376" s="167"/>
      <c r="C1376" s="35"/>
      <c r="D1376" s="354" t="s">
        <v>3476</v>
      </c>
      <c r="E1376" s="354" t="s">
        <v>3476</v>
      </c>
      <c r="F1376" s="354" t="s">
        <v>3476</v>
      </c>
      <c r="G1376" s="355" t="s">
        <v>3476</v>
      </c>
      <c r="H1376" s="356" t="s">
        <v>3476</v>
      </c>
    </row>
    <row r="1377" spans="1:8" x14ac:dyDescent="0.25">
      <c r="A1377" s="169">
        <v>39300</v>
      </c>
      <c r="B1377" s="168" t="s">
        <v>1333</v>
      </c>
      <c r="C1377" s="135">
        <v>1.58</v>
      </c>
      <c r="D1377" s="135">
        <v>1.39</v>
      </c>
      <c r="E1377" s="130">
        <f t="shared" ref="E1377" si="186">+$C1377*$E$2</f>
        <v>61093.322800000009</v>
      </c>
      <c r="F1377" s="329">
        <f>+$D1377*$F$2</f>
        <v>58952.679999999993</v>
      </c>
      <c r="G1377" s="338">
        <f>+$D1377*$G$2</f>
        <v>65420.35</v>
      </c>
      <c r="H1377" s="338">
        <f>+$D1377*$H$2</f>
        <v>69220.61</v>
      </c>
    </row>
    <row r="1378" spans="1:8" ht="14.4" thickBot="1" x14ac:dyDescent="0.3">
      <c r="A1378" s="232" t="s">
        <v>1334</v>
      </c>
      <c r="B1378" s="163" t="s">
        <v>1334</v>
      </c>
      <c r="C1378" s="164"/>
      <c r="D1378" s="164"/>
      <c r="E1378" s="164"/>
      <c r="F1378" s="164"/>
      <c r="G1378" s="338"/>
      <c r="H1378" s="338"/>
    </row>
    <row r="1379" spans="1:8" x14ac:dyDescent="0.25">
      <c r="A1379" s="170" t="s">
        <v>1548</v>
      </c>
      <c r="B1379" s="158"/>
      <c r="C1379" s="140"/>
      <c r="D1379" s="140"/>
      <c r="E1379" s="140"/>
      <c r="F1379" s="140"/>
      <c r="G1379" s="338"/>
      <c r="H1379" s="338"/>
    </row>
    <row r="1380" spans="1:8" x14ac:dyDescent="0.25">
      <c r="A1380" s="171" t="s">
        <v>1335</v>
      </c>
      <c r="B1380" s="163"/>
      <c r="C1380" s="164"/>
      <c r="D1380" s="164"/>
      <c r="E1380" s="164"/>
      <c r="F1380" s="164"/>
      <c r="G1380" s="338"/>
      <c r="H1380" s="338"/>
    </row>
    <row r="1381" spans="1:8" ht="14.4" thickBot="1" x14ac:dyDescent="0.3">
      <c r="A1381" s="172" t="s">
        <v>1336</v>
      </c>
      <c r="B1381" s="173"/>
      <c r="C1381" s="157"/>
      <c r="D1381" s="157"/>
      <c r="E1381" s="157"/>
      <c r="F1381" s="157"/>
      <c r="G1381" s="338"/>
      <c r="H1381" s="338"/>
    </row>
    <row r="1382" spans="1:8" ht="28.2" thickBot="1" x14ac:dyDescent="0.3">
      <c r="A1382" s="232" t="s">
        <v>3497</v>
      </c>
      <c r="B1382" s="167"/>
      <c r="C1382" s="35"/>
      <c r="D1382" s="354" t="s">
        <v>3476</v>
      </c>
      <c r="E1382" s="354" t="s">
        <v>3476</v>
      </c>
      <c r="F1382" s="354" t="s">
        <v>3476</v>
      </c>
      <c r="G1382" s="355" t="s">
        <v>3476</v>
      </c>
      <c r="H1382" s="356" t="s">
        <v>3476</v>
      </c>
    </row>
    <row r="1383" spans="1:8" ht="14.4" thickBot="1" x14ac:dyDescent="0.3">
      <c r="A1383" s="232" t="s">
        <v>3498</v>
      </c>
      <c r="B1383" s="167"/>
      <c r="C1383" s="35"/>
      <c r="D1383" s="354" t="s">
        <v>3476</v>
      </c>
      <c r="E1383" s="354" t="s">
        <v>3476</v>
      </c>
      <c r="F1383" s="354" t="s">
        <v>3476</v>
      </c>
      <c r="G1383" s="355" t="s">
        <v>3476</v>
      </c>
      <c r="H1383" s="356" t="s">
        <v>3476</v>
      </c>
    </row>
    <row r="1384" spans="1:8" ht="28.2" thickBot="1" x14ac:dyDescent="0.3">
      <c r="A1384" s="232" t="s">
        <v>3499</v>
      </c>
      <c r="B1384" s="167"/>
      <c r="C1384" s="35"/>
      <c r="D1384" s="354" t="s">
        <v>3476</v>
      </c>
      <c r="E1384" s="354" t="s">
        <v>3476</v>
      </c>
      <c r="F1384" s="354" t="s">
        <v>3476</v>
      </c>
      <c r="G1384" s="355" t="s">
        <v>3476</v>
      </c>
      <c r="H1384" s="356" t="s">
        <v>3476</v>
      </c>
    </row>
    <row r="1385" spans="1:8" ht="28.2" thickBot="1" x14ac:dyDescent="0.35">
      <c r="A1385" s="232" t="s">
        <v>3500</v>
      </c>
      <c r="B1385" s="174"/>
      <c r="C1385" s="35"/>
      <c r="D1385" s="354" t="s">
        <v>3476</v>
      </c>
      <c r="E1385" s="354" t="s">
        <v>3476</v>
      </c>
      <c r="F1385" s="354" t="s">
        <v>3476</v>
      </c>
      <c r="G1385" s="355" t="s">
        <v>3476</v>
      </c>
      <c r="H1385" s="356" t="s">
        <v>3476</v>
      </c>
    </row>
    <row r="1386" spans="1:8" ht="14.4" thickBot="1" x14ac:dyDescent="0.3">
      <c r="A1386" s="232" t="s">
        <v>3501</v>
      </c>
      <c r="B1386" s="167"/>
      <c r="C1386" s="35"/>
      <c r="D1386" s="354" t="s">
        <v>3476</v>
      </c>
      <c r="E1386" s="354" t="s">
        <v>3476</v>
      </c>
      <c r="F1386" s="354" t="s">
        <v>3476</v>
      </c>
      <c r="G1386" s="355" t="s">
        <v>3476</v>
      </c>
      <c r="H1386" s="356" t="s">
        <v>3476</v>
      </c>
    </row>
    <row r="1387" spans="1:8" ht="28.2" thickBot="1" x14ac:dyDescent="0.3">
      <c r="A1387" s="232" t="s">
        <v>3502</v>
      </c>
      <c r="B1387" s="175"/>
      <c r="C1387" s="35"/>
      <c r="D1387" s="354" t="s">
        <v>3476</v>
      </c>
      <c r="E1387" s="354" t="s">
        <v>3476</v>
      </c>
      <c r="F1387" s="354" t="s">
        <v>3476</v>
      </c>
      <c r="G1387" s="355" t="s">
        <v>3476</v>
      </c>
      <c r="H1387" s="356" t="s">
        <v>3476</v>
      </c>
    </row>
    <row r="1388" spans="1:8" ht="14.4" thickBot="1" x14ac:dyDescent="0.3">
      <c r="A1388" s="232" t="s">
        <v>3503</v>
      </c>
      <c r="B1388" s="175"/>
      <c r="C1388" s="35"/>
      <c r="D1388" s="354" t="s">
        <v>3476</v>
      </c>
      <c r="E1388" s="354" t="s">
        <v>3476</v>
      </c>
      <c r="F1388" s="354" t="s">
        <v>3476</v>
      </c>
      <c r="G1388" s="355" t="s">
        <v>3476</v>
      </c>
      <c r="H1388" s="356" t="s">
        <v>3476</v>
      </c>
    </row>
    <row r="1389" spans="1:8" ht="14.4" thickBot="1" x14ac:dyDescent="0.3">
      <c r="A1389" s="232" t="s">
        <v>3504</v>
      </c>
      <c r="B1389" s="176"/>
      <c r="C1389" s="90"/>
      <c r="D1389" s="354" t="s">
        <v>3476</v>
      </c>
      <c r="E1389" s="354" t="s">
        <v>3476</v>
      </c>
      <c r="F1389" s="354" t="s">
        <v>3476</v>
      </c>
      <c r="G1389" s="355" t="s">
        <v>3476</v>
      </c>
      <c r="H1389" s="356" t="s">
        <v>3476</v>
      </c>
    </row>
    <row r="1390" spans="1:8" x14ac:dyDescent="0.25">
      <c r="A1390" s="177" t="s">
        <v>1337</v>
      </c>
      <c r="B1390" s="178"/>
      <c r="C1390" s="154"/>
      <c r="D1390" s="154"/>
      <c r="E1390" s="154"/>
      <c r="F1390" s="154"/>
      <c r="G1390" s="338"/>
      <c r="H1390" s="338"/>
    </row>
    <row r="1391" spans="1:8" x14ac:dyDescent="0.25">
      <c r="A1391" s="179" t="s">
        <v>1338</v>
      </c>
      <c r="B1391" s="162"/>
      <c r="C1391" s="151"/>
      <c r="D1391" s="151"/>
      <c r="E1391" s="151"/>
      <c r="F1391" s="151"/>
      <c r="G1391" s="338"/>
      <c r="H1391" s="338"/>
    </row>
    <row r="1392" spans="1:8" ht="14.4" thickBot="1" x14ac:dyDescent="0.3">
      <c r="A1392" s="141" t="s">
        <v>1339</v>
      </c>
      <c r="B1392" s="142"/>
      <c r="C1392" s="143"/>
      <c r="D1392" s="143"/>
      <c r="E1392" s="143"/>
      <c r="F1392" s="143"/>
      <c r="G1392" s="338"/>
      <c r="H1392" s="338"/>
    </row>
    <row r="1393" spans="1:8" ht="14.4" thickBot="1" x14ac:dyDescent="0.3">
      <c r="A1393" s="232" t="s">
        <v>3505</v>
      </c>
      <c r="B1393" s="90"/>
      <c r="C1393" s="90"/>
      <c r="D1393" s="354" t="s">
        <v>3476</v>
      </c>
      <c r="E1393" s="354" t="s">
        <v>3476</v>
      </c>
      <c r="F1393" s="354" t="s">
        <v>3476</v>
      </c>
      <c r="G1393" s="355" t="s">
        <v>3476</v>
      </c>
      <c r="H1393" s="356" t="s">
        <v>3476</v>
      </c>
    </row>
    <row r="1394" spans="1:8" x14ac:dyDescent="0.25">
      <c r="A1394" s="180" t="s">
        <v>1340</v>
      </c>
      <c r="B1394" s="178"/>
      <c r="C1394" s="154"/>
      <c r="D1394" s="154"/>
      <c r="E1394" s="154"/>
      <c r="F1394" s="154"/>
      <c r="G1394" s="338"/>
      <c r="H1394" s="338"/>
    </row>
    <row r="1395" spans="1:8" ht="14.4" thickBot="1" x14ac:dyDescent="0.3">
      <c r="A1395" s="191" t="s">
        <v>1341</v>
      </c>
      <c r="B1395" s="165"/>
      <c r="C1395" s="164"/>
      <c r="D1395" s="164"/>
      <c r="E1395" s="164"/>
      <c r="F1395" s="164"/>
      <c r="G1395" s="338"/>
      <c r="H1395" s="338"/>
    </row>
    <row r="1396" spans="1:8" ht="14.4" thickBot="1" x14ac:dyDescent="0.3">
      <c r="A1396" s="17" t="s">
        <v>1342</v>
      </c>
      <c r="B1396" s="21"/>
      <c r="C1396" s="35"/>
      <c r="D1396" s="354" t="s">
        <v>3476</v>
      </c>
      <c r="E1396" s="354" t="s">
        <v>3476</v>
      </c>
      <c r="F1396" s="354" t="s">
        <v>3476</v>
      </c>
      <c r="G1396" s="355" t="s">
        <v>3476</v>
      </c>
      <c r="H1396" s="356" t="s">
        <v>3476</v>
      </c>
    </row>
    <row r="1397" spans="1:8" x14ac:dyDescent="0.25">
      <c r="A1397" s="181">
        <v>38111</v>
      </c>
      <c r="B1397" s="182" t="s">
        <v>1343</v>
      </c>
      <c r="C1397" s="183">
        <v>6.52</v>
      </c>
      <c r="D1397" s="183">
        <v>5.72</v>
      </c>
      <c r="E1397" s="184">
        <f t="shared" ref="E1397:E1410" si="187">+$C1397*$E$2</f>
        <v>252106.6232</v>
      </c>
      <c r="F1397" s="330">
        <f>+$D1397*$F$2</f>
        <v>242596.63999999998</v>
      </c>
      <c r="G1397" s="338">
        <f>+$D1397*$G$2</f>
        <v>269211.8</v>
      </c>
      <c r="H1397" s="338">
        <f>+$D1397*$H$2</f>
        <v>284850.27999999997</v>
      </c>
    </row>
    <row r="1398" spans="1:8" x14ac:dyDescent="0.25">
      <c r="A1398" s="185">
        <v>38112</v>
      </c>
      <c r="B1398" s="118" t="s">
        <v>1344</v>
      </c>
      <c r="C1398" s="95">
        <v>6.12</v>
      </c>
      <c r="D1398" s="95">
        <v>5.37</v>
      </c>
      <c r="E1398" s="101">
        <f t="shared" si="187"/>
        <v>236639.95920000001</v>
      </c>
      <c r="F1398" s="331">
        <f>+$D1398*$F$2</f>
        <v>227752.44</v>
      </c>
      <c r="G1398" s="338">
        <f>+$D1398*$G$2</f>
        <v>252739.05000000002</v>
      </c>
      <c r="H1398" s="338">
        <f>+$D1398*$H$2</f>
        <v>267420.63</v>
      </c>
    </row>
    <row r="1399" spans="1:8" x14ac:dyDescent="0.25">
      <c r="A1399" s="185">
        <v>38113</v>
      </c>
      <c r="B1399" s="118" t="s">
        <v>1345</v>
      </c>
      <c r="C1399" s="95">
        <v>4.96</v>
      </c>
      <c r="D1399" s="95">
        <v>4.3499999999999996</v>
      </c>
      <c r="E1399" s="101">
        <f t="shared" si="187"/>
        <v>191786.63360000003</v>
      </c>
      <c r="F1399" s="331">
        <f>+$D1399*$F$2</f>
        <v>184492.19999999998</v>
      </c>
      <c r="G1399" s="338">
        <f>+$D1399*$G$2</f>
        <v>204732.74999999997</v>
      </c>
      <c r="H1399" s="338">
        <f>+$D1399*$H$2</f>
        <v>216625.65</v>
      </c>
    </row>
    <row r="1400" spans="1:8" ht="14.4" thickBot="1" x14ac:dyDescent="0.3">
      <c r="A1400" s="186">
        <v>38114</v>
      </c>
      <c r="B1400" s="121" t="s">
        <v>1346</v>
      </c>
      <c r="C1400" s="89">
        <v>4.5599999999999996</v>
      </c>
      <c r="D1400" s="89">
        <v>4</v>
      </c>
      <c r="E1400" s="101">
        <f t="shared" si="187"/>
        <v>176319.96960000001</v>
      </c>
      <c r="F1400" s="207">
        <f>+$D1400*$F$2</f>
        <v>169648</v>
      </c>
      <c r="G1400" s="338">
        <f>+$D1400*$G$2</f>
        <v>188260</v>
      </c>
      <c r="H1400" s="338">
        <f>+$D1400*$H$2</f>
        <v>199196</v>
      </c>
    </row>
    <row r="1401" spans="1:8" ht="14.4" thickBot="1" x14ac:dyDescent="0.3">
      <c r="A1401" s="66" t="s">
        <v>1347</v>
      </c>
      <c r="B1401" s="77"/>
      <c r="C1401" s="139"/>
      <c r="D1401" s="354" t="s">
        <v>3476</v>
      </c>
      <c r="E1401" s="354" t="s">
        <v>3476</v>
      </c>
      <c r="F1401" s="354" t="s">
        <v>3476</v>
      </c>
      <c r="G1401" s="355" t="s">
        <v>3476</v>
      </c>
      <c r="H1401" s="356" t="s">
        <v>3476</v>
      </c>
    </row>
    <row r="1402" spans="1:8" x14ac:dyDescent="0.25">
      <c r="A1402" s="187">
        <v>38121</v>
      </c>
      <c r="B1402" s="122" t="s">
        <v>1343</v>
      </c>
      <c r="C1402" s="188">
        <v>9.23</v>
      </c>
      <c r="D1402" s="188">
        <v>8.1</v>
      </c>
      <c r="E1402" s="130">
        <f t="shared" si="187"/>
        <v>356893.27180000005</v>
      </c>
      <c r="F1402" s="332">
        <f>+$D1402*$F$2</f>
        <v>343537.2</v>
      </c>
      <c r="G1402" s="338">
        <f>+$D1402*$G$2</f>
        <v>381226.5</v>
      </c>
      <c r="H1402" s="338">
        <f>+$D1402*$H$2</f>
        <v>403371.89999999997</v>
      </c>
    </row>
    <row r="1403" spans="1:8" x14ac:dyDescent="0.25">
      <c r="A1403" s="185">
        <v>38122</v>
      </c>
      <c r="B1403" s="118" t="s">
        <v>1344</v>
      </c>
      <c r="C1403" s="95">
        <v>8.4</v>
      </c>
      <c r="D1403" s="95">
        <v>7.37</v>
      </c>
      <c r="E1403" s="101">
        <f t="shared" si="187"/>
        <v>324799.94400000002</v>
      </c>
      <c r="F1403" s="331">
        <f>+$D1403*$F$2</f>
        <v>312576.44</v>
      </c>
      <c r="G1403" s="338">
        <f>+$D1403*$G$2</f>
        <v>346869.05</v>
      </c>
      <c r="H1403" s="338">
        <f>+$D1403*$H$2</f>
        <v>367018.63</v>
      </c>
    </row>
    <row r="1404" spans="1:8" x14ac:dyDescent="0.25">
      <c r="A1404" s="185">
        <v>38123</v>
      </c>
      <c r="B1404" s="118" t="s">
        <v>1345</v>
      </c>
      <c r="C1404" s="95">
        <v>7.14</v>
      </c>
      <c r="D1404" s="95">
        <v>6.26</v>
      </c>
      <c r="E1404" s="101">
        <f t="shared" si="187"/>
        <v>276079.95240000001</v>
      </c>
      <c r="F1404" s="331">
        <f>+$D1404*$F$2</f>
        <v>265499.12</v>
      </c>
      <c r="G1404" s="338">
        <f>+$D1404*$G$2</f>
        <v>294626.89999999997</v>
      </c>
      <c r="H1404" s="338">
        <f>+$D1404*$H$2</f>
        <v>311741.74</v>
      </c>
    </row>
    <row r="1405" spans="1:8" ht="14.4" thickBot="1" x14ac:dyDescent="0.3">
      <c r="A1405" s="186">
        <v>38124</v>
      </c>
      <c r="B1405" s="121" t="s">
        <v>1346</v>
      </c>
      <c r="C1405" s="89">
        <v>5.87</v>
      </c>
      <c r="D1405" s="89">
        <v>5.15</v>
      </c>
      <c r="E1405" s="101">
        <f t="shared" si="187"/>
        <v>226973.29420000003</v>
      </c>
      <c r="F1405" s="207">
        <f>+$D1405*$F$2</f>
        <v>218421.80000000002</v>
      </c>
      <c r="G1405" s="338">
        <f>+$D1405*$G$2</f>
        <v>242384.75000000003</v>
      </c>
      <c r="H1405" s="338">
        <f>+$D1405*$H$2</f>
        <v>256464.85</v>
      </c>
    </row>
    <row r="1406" spans="1:8" ht="14.4" thickBot="1" x14ac:dyDescent="0.3">
      <c r="A1406" s="66" t="s">
        <v>1348</v>
      </c>
      <c r="B1406" s="77"/>
      <c r="C1406" s="139"/>
      <c r="D1406" s="354" t="s">
        <v>3476</v>
      </c>
      <c r="E1406" s="354" t="s">
        <v>3476</v>
      </c>
      <c r="F1406" s="354" t="s">
        <v>3476</v>
      </c>
      <c r="G1406" s="355" t="s">
        <v>3476</v>
      </c>
      <c r="H1406" s="356" t="s">
        <v>3476</v>
      </c>
    </row>
    <row r="1407" spans="1:8" x14ac:dyDescent="0.25">
      <c r="A1407" s="187">
        <v>38131</v>
      </c>
      <c r="B1407" s="122" t="s">
        <v>1343</v>
      </c>
      <c r="C1407" s="188">
        <v>12.89</v>
      </c>
      <c r="D1407" s="188">
        <v>11.31</v>
      </c>
      <c r="E1407" s="130">
        <f t="shared" si="187"/>
        <v>498413.24740000005</v>
      </c>
      <c r="F1407" s="332">
        <f>+$D1407*$F$2</f>
        <v>479679.72000000003</v>
      </c>
      <c r="G1407" s="338">
        <f>+$D1407*$G$2</f>
        <v>532305.15</v>
      </c>
      <c r="H1407" s="338">
        <f>+$D1407*$H$2</f>
        <v>563226.69000000006</v>
      </c>
    </row>
    <row r="1408" spans="1:8" x14ac:dyDescent="0.25">
      <c r="A1408" s="185">
        <v>38132</v>
      </c>
      <c r="B1408" s="118" t="s">
        <v>1344</v>
      </c>
      <c r="C1408" s="95">
        <v>11.03</v>
      </c>
      <c r="D1408" s="95">
        <v>9.67</v>
      </c>
      <c r="E1408" s="101">
        <f t="shared" si="187"/>
        <v>426493.2598</v>
      </c>
      <c r="F1408" s="331">
        <f>+$D1408*$F$2</f>
        <v>410124.04</v>
      </c>
      <c r="G1408" s="338">
        <f>+$D1408*$G$2</f>
        <v>455118.55</v>
      </c>
      <c r="H1408" s="338">
        <f>+$D1408*$H$2</f>
        <v>481556.33</v>
      </c>
    </row>
    <row r="1409" spans="1:8" x14ac:dyDescent="0.25">
      <c r="A1409" s="185">
        <v>38133</v>
      </c>
      <c r="B1409" s="118" t="s">
        <v>1345</v>
      </c>
      <c r="C1409" s="95">
        <v>9.17</v>
      </c>
      <c r="D1409" s="95">
        <v>8.0399999999999991</v>
      </c>
      <c r="E1409" s="101">
        <f t="shared" si="187"/>
        <v>354573.27220000001</v>
      </c>
      <c r="F1409" s="331">
        <f>+$D1409*$F$2</f>
        <v>340992.48</v>
      </c>
      <c r="G1409" s="338">
        <f>+$D1409*$G$2</f>
        <v>378402.6</v>
      </c>
      <c r="H1409" s="338">
        <f>+$D1409*$H$2</f>
        <v>400383.95999999996</v>
      </c>
    </row>
    <row r="1410" spans="1:8" ht="14.4" thickBot="1" x14ac:dyDescent="0.3">
      <c r="A1410" s="186">
        <v>38134</v>
      </c>
      <c r="B1410" s="121" t="s">
        <v>1346</v>
      </c>
      <c r="C1410" s="89">
        <v>8.26</v>
      </c>
      <c r="D1410" s="89">
        <v>7.24</v>
      </c>
      <c r="E1410" s="101">
        <f t="shared" si="187"/>
        <v>319386.6116</v>
      </c>
      <c r="F1410" s="207">
        <f>+$D1410*$F$2</f>
        <v>307062.88</v>
      </c>
      <c r="G1410" s="338">
        <f>+$D1410*$G$2</f>
        <v>340750.60000000003</v>
      </c>
      <c r="H1410" s="338">
        <f>+$D1410*$H$2</f>
        <v>360544.76</v>
      </c>
    </row>
    <row r="1411" spans="1:8" ht="14.4" thickBot="1" x14ac:dyDescent="0.3">
      <c r="A1411" s="66" t="s">
        <v>1349</v>
      </c>
      <c r="B1411" s="77"/>
      <c r="C1411" s="128"/>
      <c r="D1411" s="354" t="s">
        <v>3476</v>
      </c>
      <c r="E1411" s="354" t="s">
        <v>3476</v>
      </c>
      <c r="F1411" s="354" t="s">
        <v>3476</v>
      </c>
      <c r="G1411" s="355" t="s">
        <v>3476</v>
      </c>
      <c r="H1411" s="356" t="s">
        <v>3476</v>
      </c>
    </row>
    <row r="1412" spans="1:8" ht="14.4" thickBot="1" x14ac:dyDescent="0.3">
      <c r="A1412" s="68" t="s">
        <v>1350</v>
      </c>
      <c r="B1412" s="79"/>
      <c r="C1412" s="128"/>
      <c r="D1412" s="354" t="s">
        <v>3476</v>
      </c>
      <c r="E1412" s="354" t="s">
        <v>3476</v>
      </c>
      <c r="F1412" s="354" t="s">
        <v>3476</v>
      </c>
      <c r="G1412" s="355" t="s">
        <v>3476</v>
      </c>
      <c r="H1412" s="356" t="s">
        <v>3476</v>
      </c>
    </row>
    <row r="1413" spans="1:8" x14ac:dyDescent="0.25">
      <c r="A1413" s="187">
        <v>38221</v>
      </c>
      <c r="B1413" s="122" t="s">
        <v>1343</v>
      </c>
      <c r="C1413" s="188">
        <v>9.23</v>
      </c>
      <c r="D1413" s="188">
        <v>8.1</v>
      </c>
      <c r="E1413" s="130">
        <f t="shared" ref="E1413:E1461" si="188">+$C1413*$E$2</f>
        <v>356893.27180000005</v>
      </c>
      <c r="F1413" s="332">
        <f>+$D1413*$F$2</f>
        <v>343537.2</v>
      </c>
      <c r="G1413" s="338">
        <f>+$D1413*$G$2</f>
        <v>381226.5</v>
      </c>
      <c r="H1413" s="338">
        <f>+$D1413*$H$2</f>
        <v>403371.89999999997</v>
      </c>
    </row>
    <row r="1414" spans="1:8" x14ac:dyDescent="0.25">
      <c r="A1414" s="185">
        <v>38222</v>
      </c>
      <c r="B1414" s="118" t="s">
        <v>1344</v>
      </c>
      <c r="C1414" s="95">
        <v>8.4</v>
      </c>
      <c r="D1414" s="95">
        <v>7.37</v>
      </c>
      <c r="E1414" s="101">
        <f t="shared" si="188"/>
        <v>324799.94400000002</v>
      </c>
      <c r="F1414" s="331">
        <f>+$D1414*$F$2</f>
        <v>312576.44</v>
      </c>
      <c r="G1414" s="338">
        <f>+$D1414*$G$2</f>
        <v>346869.05</v>
      </c>
      <c r="H1414" s="338">
        <f>+$D1414*$H$2</f>
        <v>367018.63</v>
      </c>
    </row>
    <row r="1415" spans="1:8" x14ac:dyDescent="0.25">
      <c r="A1415" s="185">
        <v>38223</v>
      </c>
      <c r="B1415" s="118" t="s">
        <v>1345</v>
      </c>
      <c r="C1415" s="95">
        <v>7.14</v>
      </c>
      <c r="D1415" s="95">
        <v>6.26</v>
      </c>
      <c r="E1415" s="101">
        <f t="shared" si="188"/>
        <v>276079.95240000001</v>
      </c>
      <c r="F1415" s="331">
        <f>+$D1415*$F$2</f>
        <v>265499.12</v>
      </c>
      <c r="G1415" s="338">
        <f>+$D1415*$G$2</f>
        <v>294626.89999999997</v>
      </c>
      <c r="H1415" s="338">
        <f>+$D1415*$H$2</f>
        <v>311741.74</v>
      </c>
    </row>
    <row r="1416" spans="1:8" ht="14.4" thickBot="1" x14ac:dyDescent="0.3">
      <c r="A1416" s="186">
        <v>38224</v>
      </c>
      <c r="B1416" s="121" t="s">
        <v>1346</v>
      </c>
      <c r="C1416" s="89">
        <v>5.87</v>
      </c>
      <c r="D1416" s="89">
        <v>5.15</v>
      </c>
      <c r="E1416" s="101">
        <f t="shared" si="188"/>
        <v>226973.29420000003</v>
      </c>
      <c r="F1416" s="207">
        <f>+$D1416*$F$2</f>
        <v>218421.80000000002</v>
      </c>
      <c r="G1416" s="338">
        <f>+$D1416*$G$2</f>
        <v>242384.75000000003</v>
      </c>
      <c r="H1416" s="338">
        <f>+$D1416*$H$2</f>
        <v>256464.85</v>
      </c>
    </row>
    <row r="1417" spans="1:8" ht="14.4" thickBot="1" x14ac:dyDescent="0.3">
      <c r="A1417" s="68" t="s">
        <v>1351</v>
      </c>
      <c r="B1417" s="79"/>
      <c r="C1417" s="139"/>
      <c r="D1417" s="354" t="s">
        <v>3476</v>
      </c>
      <c r="E1417" s="354" t="s">
        <v>3476</v>
      </c>
      <c r="F1417" s="354" t="s">
        <v>3476</v>
      </c>
      <c r="G1417" s="355" t="s">
        <v>3476</v>
      </c>
      <c r="H1417" s="356" t="s">
        <v>3476</v>
      </c>
    </row>
    <row r="1418" spans="1:8" x14ac:dyDescent="0.25">
      <c r="A1418" s="187">
        <v>38231</v>
      </c>
      <c r="B1418" s="122" t="s">
        <v>1343</v>
      </c>
      <c r="C1418" s="188">
        <v>12.89</v>
      </c>
      <c r="D1418" s="188">
        <v>11.31</v>
      </c>
      <c r="E1418" s="130">
        <f t="shared" si="188"/>
        <v>498413.24740000005</v>
      </c>
      <c r="F1418" s="332">
        <f>+$D1418*$F$2</f>
        <v>479679.72000000003</v>
      </c>
      <c r="G1418" s="338">
        <f>+$D1418*$G$2</f>
        <v>532305.15</v>
      </c>
      <c r="H1418" s="338">
        <f>+$D1418*$H$2</f>
        <v>563226.69000000006</v>
      </c>
    </row>
    <row r="1419" spans="1:8" x14ac:dyDescent="0.25">
      <c r="A1419" s="185">
        <v>38232</v>
      </c>
      <c r="B1419" s="118" t="s">
        <v>1344</v>
      </c>
      <c r="C1419" s="95">
        <v>11.03</v>
      </c>
      <c r="D1419" s="95">
        <v>9.67</v>
      </c>
      <c r="E1419" s="101">
        <f t="shared" si="188"/>
        <v>426493.2598</v>
      </c>
      <c r="F1419" s="331">
        <f>+$D1419*$F$2</f>
        <v>410124.04</v>
      </c>
      <c r="G1419" s="338">
        <f>+$D1419*$G$2</f>
        <v>455118.55</v>
      </c>
      <c r="H1419" s="338">
        <f>+$D1419*$H$2</f>
        <v>481556.33</v>
      </c>
    </row>
    <row r="1420" spans="1:8" x14ac:dyDescent="0.25">
      <c r="A1420" s="185">
        <v>38233</v>
      </c>
      <c r="B1420" s="118" t="s">
        <v>1345</v>
      </c>
      <c r="C1420" s="95">
        <v>9.17</v>
      </c>
      <c r="D1420" s="95">
        <v>8.0399999999999991</v>
      </c>
      <c r="E1420" s="101">
        <f t="shared" si="188"/>
        <v>354573.27220000001</v>
      </c>
      <c r="F1420" s="331">
        <f>+$D1420*$F$2</f>
        <v>340992.48</v>
      </c>
      <c r="G1420" s="338">
        <f>+$D1420*$G$2</f>
        <v>378402.6</v>
      </c>
      <c r="H1420" s="338">
        <f>+$D1420*$H$2</f>
        <v>400383.95999999996</v>
      </c>
    </row>
    <row r="1421" spans="1:8" ht="14.4" thickBot="1" x14ac:dyDescent="0.3">
      <c r="A1421" s="186">
        <v>38234</v>
      </c>
      <c r="B1421" s="121" t="s">
        <v>1346</v>
      </c>
      <c r="C1421" s="89">
        <v>8.26</v>
      </c>
      <c r="D1421" s="89">
        <v>7.24</v>
      </c>
      <c r="E1421" s="101">
        <f t="shared" si="188"/>
        <v>319386.6116</v>
      </c>
      <c r="F1421" s="207">
        <f>+$D1421*$F$2</f>
        <v>307062.88</v>
      </c>
      <c r="G1421" s="338">
        <f>+$D1421*$G$2</f>
        <v>340750.60000000003</v>
      </c>
      <c r="H1421" s="338">
        <f>+$D1421*$H$2</f>
        <v>360544.76</v>
      </c>
    </row>
    <row r="1422" spans="1:8" ht="14.4" thickBot="1" x14ac:dyDescent="0.3">
      <c r="A1422" s="78" t="s">
        <v>1560</v>
      </c>
      <c r="B1422" s="79"/>
      <c r="C1422" s="139"/>
      <c r="D1422" s="354" t="s">
        <v>3476</v>
      </c>
      <c r="E1422" s="354" t="s">
        <v>3476</v>
      </c>
      <c r="F1422" s="354" t="s">
        <v>3476</v>
      </c>
      <c r="G1422" s="355" t="s">
        <v>3476</v>
      </c>
      <c r="H1422" s="356" t="s">
        <v>3476</v>
      </c>
    </row>
    <row r="1423" spans="1:8" x14ac:dyDescent="0.25">
      <c r="A1423" s="187">
        <v>38261</v>
      </c>
      <c r="B1423" s="122" t="s">
        <v>1343</v>
      </c>
      <c r="C1423" s="188">
        <v>9.23</v>
      </c>
      <c r="D1423" s="188">
        <v>8.1</v>
      </c>
      <c r="E1423" s="130">
        <f t="shared" si="188"/>
        <v>356893.27180000005</v>
      </c>
      <c r="F1423" s="332">
        <f>+$D1423*$F$2</f>
        <v>343537.2</v>
      </c>
      <c r="G1423" s="338">
        <f>+$D1423*$G$2</f>
        <v>381226.5</v>
      </c>
      <c r="H1423" s="338">
        <f>+$D1423*$H$2</f>
        <v>403371.89999999997</v>
      </c>
    </row>
    <row r="1424" spans="1:8" x14ac:dyDescent="0.25">
      <c r="A1424" s="185">
        <v>38262</v>
      </c>
      <c r="B1424" s="118" t="s">
        <v>1344</v>
      </c>
      <c r="C1424" s="95">
        <v>8.4</v>
      </c>
      <c r="D1424" s="95">
        <v>7.37</v>
      </c>
      <c r="E1424" s="101">
        <f t="shared" si="188"/>
        <v>324799.94400000002</v>
      </c>
      <c r="F1424" s="331">
        <f>+$D1424*$F$2</f>
        <v>312576.44</v>
      </c>
      <c r="G1424" s="338">
        <f>+$D1424*$G$2</f>
        <v>346869.05</v>
      </c>
      <c r="H1424" s="338">
        <f>+$D1424*$H$2</f>
        <v>367018.63</v>
      </c>
    </row>
    <row r="1425" spans="1:8" x14ac:dyDescent="0.25">
      <c r="A1425" s="185">
        <v>38263</v>
      </c>
      <c r="B1425" s="118" t="s">
        <v>1345</v>
      </c>
      <c r="C1425" s="95">
        <v>7.14</v>
      </c>
      <c r="D1425" s="95">
        <v>6.26</v>
      </c>
      <c r="E1425" s="101">
        <f t="shared" si="188"/>
        <v>276079.95240000001</v>
      </c>
      <c r="F1425" s="331">
        <f>+$D1425*$F$2</f>
        <v>265499.12</v>
      </c>
      <c r="G1425" s="338">
        <f>+$D1425*$G$2</f>
        <v>294626.89999999997</v>
      </c>
      <c r="H1425" s="338">
        <f>+$D1425*$H$2</f>
        <v>311741.74</v>
      </c>
    </row>
    <row r="1426" spans="1:8" ht="14.4" thickBot="1" x14ac:dyDescent="0.3">
      <c r="A1426" s="186">
        <v>38264</v>
      </c>
      <c r="B1426" s="121" t="s">
        <v>1346</v>
      </c>
      <c r="C1426" s="89">
        <v>5.87</v>
      </c>
      <c r="D1426" s="89">
        <v>5.15</v>
      </c>
      <c r="E1426" s="101">
        <f t="shared" si="188"/>
        <v>226973.29420000003</v>
      </c>
      <c r="F1426" s="207">
        <f>+$D1426*$F$2</f>
        <v>218421.80000000002</v>
      </c>
      <c r="G1426" s="338">
        <f>+$D1426*$G$2</f>
        <v>242384.75000000003</v>
      </c>
      <c r="H1426" s="338">
        <f>+$D1426*$H$2</f>
        <v>256464.85</v>
      </c>
    </row>
    <row r="1427" spans="1:8" ht="14.4" thickBot="1" x14ac:dyDescent="0.3">
      <c r="A1427" s="68" t="s">
        <v>1352</v>
      </c>
      <c r="B1427" s="79"/>
      <c r="C1427" s="139"/>
      <c r="D1427" s="354" t="s">
        <v>3476</v>
      </c>
      <c r="E1427" s="354" t="s">
        <v>3476</v>
      </c>
      <c r="F1427" s="354" t="s">
        <v>3476</v>
      </c>
      <c r="G1427" s="355" t="s">
        <v>3476</v>
      </c>
      <c r="H1427" s="356" t="s">
        <v>3476</v>
      </c>
    </row>
    <row r="1428" spans="1:8" x14ac:dyDescent="0.25">
      <c r="A1428" s="187">
        <v>38271</v>
      </c>
      <c r="B1428" s="122" t="s">
        <v>1343</v>
      </c>
      <c r="C1428" s="188">
        <v>12.89</v>
      </c>
      <c r="D1428" s="188">
        <v>11.31</v>
      </c>
      <c r="E1428" s="130">
        <f t="shared" si="188"/>
        <v>498413.24740000005</v>
      </c>
      <c r="F1428" s="332">
        <f>+$D1428*$F$2</f>
        <v>479679.72000000003</v>
      </c>
      <c r="G1428" s="338">
        <f>+$D1428*$G$2</f>
        <v>532305.15</v>
      </c>
      <c r="H1428" s="338">
        <f>+$D1428*$H$2</f>
        <v>563226.69000000006</v>
      </c>
    </row>
    <row r="1429" spans="1:8" x14ac:dyDescent="0.25">
      <c r="A1429" s="185">
        <v>38272</v>
      </c>
      <c r="B1429" s="118" t="s">
        <v>1344</v>
      </c>
      <c r="C1429" s="95">
        <v>11.03</v>
      </c>
      <c r="D1429" s="95">
        <v>9.67</v>
      </c>
      <c r="E1429" s="101">
        <f t="shared" si="188"/>
        <v>426493.2598</v>
      </c>
      <c r="F1429" s="331">
        <f>+$D1429*$F$2</f>
        <v>410124.04</v>
      </c>
      <c r="G1429" s="338">
        <f>+$D1429*$G$2</f>
        <v>455118.55</v>
      </c>
      <c r="H1429" s="338">
        <f>+$D1429*$H$2</f>
        <v>481556.33</v>
      </c>
    </row>
    <row r="1430" spans="1:8" x14ac:dyDescent="0.25">
      <c r="A1430" s="185">
        <v>38273</v>
      </c>
      <c r="B1430" s="118" t="s">
        <v>1345</v>
      </c>
      <c r="C1430" s="95">
        <v>9.17</v>
      </c>
      <c r="D1430" s="95">
        <v>8.0399999999999991</v>
      </c>
      <c r="E1430" s="101">
        <f t="shared" si="188"/>
        <v>354573.27220000001</v>
      </c>
      <c r="F1430" s="331">
        <f>+$D1430*$F$2</f>
        <v>340992.48</v>
      </c>
      <c r="G1430" s="338">
        <f>+$D1430*$G$2</f>
        <v>378402.6</v>
      </c>
      <c r="H1430" s="338">
        <f>+$D1430*$H$2</f>
        <v>400383.95999999996</v>
      </c>
    </row>
    <row r="1431" spans="1:8" ht="14.4" thickBot="1" x14ac:dyDescent="0.3">
      <c r="A1431" s="186">
        <v>38274</v>
      </c>
      <c r="B1431" s="121" t="s">
        <v>1346</v>
      </c>
      <c r="C1431" s="89">
        <v>8.26</v>
      </c>
      <c r="D1431" s="89">
        <v>7.24</v>
      </c>
      <c r="E1431" s="101">
        <f t="shared" si="188"/>
        <v>319386.6116</v>
      </c>
      <c r="F1431" s="207">
        <f>+$D1431*$F$2</f>
        <v>307062.88</v>
      </c>
      <c r="G1431" s="338">
        <f>+$D1431*$G$2</f>
        <v>340750.60000000003</v>
      </c>
      <c r="H1431" s="338">
        <f>+$D1431*$H$2</f>
        <v>360544.76</v>
      </c>
    </row>
    <row r="1432" spans="1:8" ht="14.4" thickBot="1" x14ac:dyDescent="0.3">
      <c r="A1432" s="193" t="s">
        <v>1353</v>
      </c>
      <c r="B1432" s="194"/>
      <c r="C1432" s="195"/>
      <c r="D1432" s="354" t="s">
        <v>3476</v>
      </c>
      <c r="E1432" s="354" t="s">
        <v>3476</v>
      </c>
      <c r="F1432" s="354" t="s">
        <v>3476</v>
      </c>
      <c r="G1432" s="355" t="s">
        <v>3476</v>
      </c>
      <c r="H1432" s="356" t="s">
        <v>3476</v>
      </c>
    </row>
    <row r="1433" spans="1:8" ht="14.4" thickBot="1" x14ac:dyDescent="0.3">
      <c r="A1433" s="66" t="s">
        <v>1354</v>
      </c>
      <c r="B1433" s="77"/>
      <c r="C1433" s="128"/>
      <c r="D1433" s="354" t="s">
        <v>3476</v>
      </c>
      <c r="E1433" s="354" t="s">
        <v>3476</v>
      </c>
      <c r="F1433" s="354" t="s">
        <v>3476</v>
      </c>
      <c r="G1433" s="355" t="s">
        <v>3476</v>
      </c>
      <c r="H1433" s="356" t="s">
        <v>3476</v>
      </c>
    </row>
    <row r="1434" spans="1:8" ht="13.8" customHeight="1" thickBot="1" x14ac:dyDescent="0.3">
      <c r="A1434" s="107" t="s">
        <v>1355</v>
      </c>
      <c r="B1434" s="159"/>
      <c r="C1434" s="196"/>
      <c r="D1434" s="354" t="s">
        <v>3476</v>
      </c>
      <c r="E1434" s="354" t="s">
        <v>3476</v>
      </c>
      <c r="F1434" s="354" t="s">
        <v>3476</v>
      </c>
      <c r="G1434" s="355" t="s">
        <v>3476</v>
      </c>
      <c r="H1434" s="356" t="s">
        <v>3476</v>
      </c>
    </row>
    <row r="1435" spans="1:8" ht="14.4" thickBot="1" x14ac:dyDescent="0.3">
      <c r="A1435" s="197">
        <v>38325</v>
      </c>
      <c r="B1435" s="137" t="s">
        <v>1356</v>
      </c>
      <c r="C1435" s="135">
        <v>8.4</v>
      </c>
      <c r="D1435" s="135">
        <v>7.37</v>
      </c>
      <c r="E1435" s="130">
        <f t="shared" si="188"/>
        <v>324799.94400000002</v>
      </c>
      <c r="F1435" s="329">
        <f>+$D1435*$F$2</f>
        <v>312576.44</v>
      </c>
      <c r="G1435" s="338">
        <f>+$D1435*$G$2</f>
        <v>346869.05</v>
      </c>
      <c r="H1435" s="338">
        <f>+$D1435*$H$2</f>
        <v>367018.63</v>
      </c>
    </row>
    <row r="1436" spans="1:8" ht="14.4" thickBot="1" x14ac:dyDescent="0.3">
      <c r="A1436" s="66" t="s">
        <v>1357</v>
      </c>
      <c r="B1436" s="77"/>
      <c r="C1436" s="139"/>
      <c r="D1436" s="354" t="s">
        <v>3476</v>
      </c>
      <c r="E1436" s="354" t="s">
        <v>3476</v>
      </c>
      <c r="F1436" s="354" t="s">
        <v>3476</v>
      </c>
      <c r="G1436" s="355" t="s">
        <v>3476</v>
      </c>
      <c r="H1436" s="356" t="s">
        <v>3476</v>
      </c>
    </row>
    <row r="1437" spans="1:8" ht="14.4" thickBot="1" x14ac:dyDescent="0.3">
      <c r="A1437" s="197">
        <v>38435</v>
      </c>
      <c r="B1437" s="137" t="s">
        <v>1358</v>
      </c>
      <c r="C1437" s="135">
        <v>17.059999999999999</v>
      </c>
      <c r="D1437" s="135">
        <v>14.96</v>
      </c>
      <c r="E1437" s="130">
        <f t="shared" si="188"/>
        <v>659653.21959999995</v>
      </c>
      <c r="F1437" s="329">
        <f>+$D1437*$F$2</f>
        <v>634483.52</v>
      </c>
      <c r="G1437" s="338">
        <f>+$D1437*$G$2</f>
        <v>704092.4</v>
      </c>
      <c r="H1437" s="338">
        <f>+$D1437*$H$2</f>
        <v>744993.04</v>
      </c>
    </row>
    <row r="1438" spans="1:8" ht="14.4" thickBot="1" x14ac:dyDescent="0.3">
      <c r="A1438" s="66" t="s">
        <v>1359</v>
      </c>
      <c r="B1438" s="77"/>
      <c r="C1438" s="128"/>
      <c r="D1438" s="354" t="s">
        <v>3476</v>
      </c>
      <c r="E1438" s="354" t="s">
        <v>3476</v>
      </c>
      <c r="F1438" s="354" t="s">
        <v>3476</v>
      </c>
      <c r="G1438" s="355" t="s">
        <v>3476</v>
      </c>
      <c r="H1438" s="356" t="s">
        <v>3476</v>
      </c>
    </row>
    <row r="1439" spans="1:8" ht="14.4" thickBot="1" x14ac:dyDescent="0.3">
      <c r="A1439" s="107" t="s">
        <v>1355</v>
      </c>
      <c r="B1439" s="134"/>
      <c r="C1439" s="196"/>
      <c r="D1439" s="354" t="s">
        <v>3476</v>
      </c>
      <c r="E1439" s="354" t="s">
        <v>3476</v>
      </c>
      <c r="F1439" s="354" t="s">
        <v>3476</v>
      </c>
      <c r="G1439" s="355" t="s">
        <v>3476</v>
      </c>
      <c r="H1439" s="356" t="s">
        <v>3476</v>
      </c>
    </row>
    <row r="1440" spans="1:8" ht="14.4" thickBot="1" x14ac:dyDescent="0.3">
      <c r="A1440" s="197">
        <v>38525</v>
      </c>
      <c r="B1440" s="137" t="s">
        <v>1358</v>
      </c>
      <c r="C1440" s="135">
        <v>49.71</v>
      </c>
      <c r="D1440" s="135">
        <v>43.6</v>
      </c>
      <c r="E1440" s="130">
        <f t="shared" si="188"/>
        <v>1922119.6686000002</v>
      </c>
      <c r="F1440" s="329">
        <f>+$D1440*$F$2</f>
        <v>1849163.2</v>
      </c>
      <c r="G1440" s="338">
        <f>+$D1440*$G$2</f>
        <v>2052034</v>
      </c>
      <c r="H1440" s="338">
        <f>+$D1440*$H$2</f>
        <v>2171236.4</v>
      </c>
    </row>
    <row r="1441" spans="1:8" ht="14.4" thickBot="1" x14ac:dyDescent="0.3">
      <c r="A1441" s="66" t="s">
        <v>1360</v>
      </c>
      <c r="B1441" s="77"/>
      <c r="C1441" s="128"/>
      <c r="D1441" s="354" t="s">
        <v>3476</v>
      </c>
      <c r="E1441" s="354" t="s">
        <v>3476</v>
      </c>
      <c r="F1441" s="354" t="s">
        <v>3476</v>
      </c>
      <c r="G1441" s="355" t="s">
        <v>3476</v>
      </c>
      <c r="H1441" s="356" t="s">
        <v>3476</v>
      </c>
    </row>
    <row r="1442" spans="1:8" ht="14.4" thickBot="1" x14ac:dyDescent="0.3">
      <c r="A1442" s="107" t="s">
        <v>1355</v>
      </c>
      <c r="B1442" s="134"/>
      <c r="C1442" s="196"/>
      <c r="D1442" s="354" t="s">
        <v>3476</v>
      </c>
      <c r="E1442" s="354" t="s">
        <v>3476</v>
      </c>
      <c r="F1442" s="354" t="s">
        <v>3476</v>
      </c>
      <c r="G1442" s="355" t="s">
        <v>3476</v>
      </c>
      <c r="H1442" s="356" t="s">
        <v>3476</v>
      </c>
    </row>
    <row r="1443" spans="1:8" x14ac:dyDescent="0.25">
      <c r="A1443" s="187">
        <v>38625</v>
      </c>
      <c r="B1443" s="122" t="s">
        <v>1361</v>
      </c>
      <c r="C1443" s="188">
        <v>26.64</v>
      </c>
      <c r="D1443" s="188">
        <v>23.37</v>
      </c>
      <c r="E1443" s="130">
        <f t="shared" si="188"/>
        <v>1030079.8224000001</v>
      </c>
      <c r="F1443" s="332">
        <f>+$D1443*$F$2</f>
        <v>991168.44000000006</v>
      </c>
      <c r="G1443" s="338">
        <f>+$D1443*$G$2</f>
        <v>1099909.05</v>
      </c>
      <c r="H1443" s="338">
        <f>+$D1443*$H$2</f>
        <v>1163802.6300000001</v>
      </c>
    </row>
    <row r="1444" spans="1:8" ht="14.4" thickBot="1" x14ac:dyDescent="0.3">
      <c r="A1444" s="186">
        <v>38635</v>
      </c>
      <c r="B1444" s="121" t="s">
        <v>1362</v>
      </c>
      <c r="C1444" s="89">
        <v>49.71</v>
      </c>
      <c r="D1444" s="89">
        <v>43.6</v>
      </c>
      <c r="E1444" s="101">
        <f t="shared" si="188"/>
        <v>1922119.6686000002</v>
      </c>
      <c r="F1444" s="207">
        <f>+$D1444*$F$2</f>
        <v>1849163.2</v>
      </c>
      <c r="G1444" s="338">
        <f>+$D1444*$G$2</f>
        <v>2052034</v>
      </c>
      <c r="H1444" s="338">
        <f>+$D1444*$H$2</f>
        <v>2171236.4</v>
      </c>
    </row>
    <row r="1445" spans="1:8" ht="14.4" thickBot="1" x14ac:dyDescent="0.3">
      <c r="A1445" s="66" t="s">
        <v>1363</v>
      </c>
      <c r="B1445" s="77"/>
      <c r="C1445" s="128"/>
      <c r="D1445" s="354" t="s">
        <v>3476</v>
      </c>
      <c r="E1445" s="354" t="s">
        <v>3476</v>
      </c>
      <c r="F1445" s="354" t="s">
        <v>3476</v>
      </c>
      <c r="G1445" s="355" t="s">
        <v>3476</v>
      </c>
      <c r="H1445" s="356" t="s">
        <v>3476</v>
      </c>
    </row>
    <row r="1446" spans="1:8" ht="14.4" thickBot="1" x14ac:dyDescent="0.3">
      <c r="A1446" s="107" t="s">
        <v>1342</v>
      </c>
      <c r="B1446" s="134"/>
      <c r="C1446" s="196"/>
      <c r="D1446" s="354" t="s">
        <v>3476</v>
      </c>
      <c r="E1446" s="354" t="s">
        <v>3476</v>
      </c>
      <c r="F1446" s="354" t="s">
        <v>3476</v>
      </c>
      <c r="G1446" s="355" t="s">
        <v>3476</v>
      </c>
      <c r="H1446" s="356" t="s">
        <v>3476</v>
      </c>
    </row>
    <row r="1447" spans="1:8" ht="14.4" thickBot="1" x14ac:dyDescent="0.3">
      <c r="A1447" s="197">
        <v>38715</v>
      </c>
      <c r="B1447" s="137" t="s">
        <v>1358</v>
      </c>
      <c r="C1447" s="135">
        <v>6.45</v>
      </c>
      <c r="D1447" s="135">
        <v>5.66</v>
      </c>
      <c r="E1447" s="130">
        <f t="shared" si="188"/>
        <v>249399.95700000002</v>
      </c>
      <c r="F1447" s="329">
        <f>+$D1447*$F$2</f>
        <v>240051.92</v>
      </c>
      <c r="G1447" s="338">
        <f>+$D1447*$G$2</f>
        <v>266387.90000000002</v>
      </c>
      <c r="H1447" s="338">
        <f>+$D1447*$H$2</f>
        <v>281862.34000000003</v>
      </c>
    </row>
    <row r="1448" spans="1:8" ht="14.4" thickBot="1" x14ac:dyDescent="0.3">
      <c r="A1448" s="66" t="s">
        <v>1347</v>
      </c>
      <c r="B1448" s="77"/>
      <c r="C1448" s="128"/>
      <c r="D1448" s="354" t="s">
        <v>3476</v>
      </c>
      <c r="E1448" s="354" t="s">
        <v>3476</v>
      </c>
      <c r="F1448" s="354" t="s">
        <v>3476</v>
      </c>
      <c r="G1448" s="355" t="s">
        <v>3476</v>
      </c>
      <c r="H1448" s="356" t="s">
        <v>3476</v>
      </c>
    </row>
    <row r="1449" spans="1:8" ht="14.4" thickBot="1" x14ac:dyDescent="0.3">
      <c r="A1449" s="197">
        <v>38725</v>
      </c>
      <c r="B1449" s="137" t="s">
        <v>1358</v>
      </c>
      <c r="C1449" s="135">
        <v>10.14</v>
      </c>
      <c r="D1449" s="135">
        <v>8.89</v>
      </c>
      <c r="E1449" s="130">
        <f t="shared" si="188"/>
        <v>392079.93240000005</v>
      </c>
      <c r="F1449" s="329">
        <f>+$D1449*$F$2</f>
        <v>377042.68000000005</v>
      </c>
      <c r="G1449" s="338">
        <f>+$D1449*$G$2</f>
        <v>418407.85000000003</v>
      </c>
      <c r="H1449" s="338">
        <f>+$D1449*$H$2</f>
        <v>442713.11000000004</v>
      </c>
    </row>
    <row r="1450" spans="1:8" ht="14.4" thickBot="1" x14ac:dyDescent="0.3">
      <c r="A1450" s="66" t="s">
        <v>1348</v>
      </c>
      <c r="B1450" s="67"/>
      <c r="C1450" s="67"/>
      <c r="D1450" s="354" t="s">
        <v>3476</v>
      </c>
      <c r="E1450" s="354" t="s">
        <v>3476</v>
      </c>
      <c r="F1450" s="354" t="s">
        <v>3476</v>
      </c>
      <c r="G1450" s="355" t="s">
        <v>3476</v>
      </c>
      <c r="H1450" s="356" t="s">
        <v>3476</v>
      </c>
    </row>
    <row r="1451" spans="1:8" ht="14.4" thickBot="1" x14ac:dyDescent="0.3">
      <c r="A1451" s="197">
        <v>38735</v>
      </c>
      <c r="B1451" s="137" t="s">
        <v>1358</v>
      </c>
      <c r="C1451" s="135">
        <v>12.31</v>
      </c>
      <c r="D1451" s="135">
        <v>10.8</v>
      </c>
      <c r="E1451" s="130">
        <f t="shared" si="188"/>
        <v>475986.58460000006</v>
      </c>
      <c r="F1451" s="329">
        <f>+$D1451*$F$2</f>
        <v>458049.60000000003</v>
      </c>
      <c r="G1451" s="338">
        <f>+$D1451*$G$2</f>
        <v>508302.00000000006</v>
      </c>
      <c r="H1451" s="338">
        <f>+$D1451*$H$2</f>
        <v>537829.20000000007</v>
      </c>
    </row>
    <row r="1452" spans="1:8" ht="14.4" thickBot="1" x14ac:dyDescent="0.3">
      <c r="A1452" s="66" t="s">
        <v>1364</v>
      </c>
      <c r="B1452" s="67"/>
      <c r="C1452" s="67"/>
      <c r="D1452" s="354" t="s">
        <v>3476</v>
      </c>
      <c r="E1452" s="354" t="s">
        <v>3476</v>
      </c>
      <c r="F1452" s="354" t="s">
        <v>3476</v>
      </c>
      <c r="G1452" s="355" t="s">
        <v>3476</v>
      </c>
      <c r="H1452" s="356" t="s">
        <v>3476</v>
      </c>
    </row>
    <row r="1453" spans="1:8" ht="14.4" thickBot="1" x14ac:dyDescent="0.3">
      <c r="A1453" s="66" t="s">
        <v>1365</v>
      </c>
      <c r="B1453" s="67"/>
      <c r="C1453" s="67"/>
      <c r="D1453" s="354" t="s">
        <v>3476</v>
      </c>
      <c r="E1453" s="354" t="s">
        <v>3476</v>
      </c>
      <c r="F1453" s="354" t="s">
        <v>3476</v>
      </c>
      <c r="G1453" s="355" t="s">
        <v>3476</v>
      </c>
      <c r="H1453" s="356" t="s">
        <v>3476</v>
      </c>
    </row>
    <row r="1454" spans="1:8" ht="14.4" thickBot="1" x14ac:dyDescent="0.3">
      <c r="A1454" s="197">
        <v>38825</v>
      </c>
      <c r="B1454" s="137" t="s">
        <v>1358</v>
      </c>
      <c r="C1454" s="135">
        <v>26.74</v>
      </c>
      <c r="D1454" s="135">
        <v>23.45</v>
      </c>
      <c r="E1454" s="130">
        <f t="shared" si="188"/>
        <v>1033946.4884</v>
      </c>
      <c r="F1454" s="329">
        <f>+$D1454*$F$2</f>
        <v>994561.4</v>
      </c>
      <c r="G1454" s="338">
        <f>+$D1454*$G$2</f>
        <v>1103674.25</v>
      </c>
      <c r="H1454" s="338">
        <f>+$D1454*$H$2</f>
        <v>1167786.55</v>
      </c>
    </row>
    <row r="1455" spans="1:8" ht="14.4" thickBot="1" x14ac:dyDescent="0.3">
      <c r="A1455" s="76" t="s">
        <v>1366</v>
      </c>
      <c r="B1455" s="77"/>
      <c r="C1455" s="128"/>
      <c r="D1455" s="354" t="s">
        <v>3476</v>
      </c>
      <c r="E1455" s="354" t="s">
        <v>3476</v>
      </c>
      <c r="F1455" s="354" t="s">
        <v>3476</v>
      </c>
      <c r="G1455" s="355" t="s">
        <v>3476</v>
      </c>
      <c r="H1455" s="356" t="s">
        <v>3476</v>
      </c>
    </row>
    <row r="1456" spans="1:8" ht="14.4" thickBot="1" x14ac:dyDescent="0.3">
      <c r="A1456" s="133" t="s">
        <v>1367</v>
      </c>
      <c r="B1456" s="134"/>
      <c r="C1456" s="196"/>
      <c r="D1456" s="354" t="s">
        <v>3476</v>
      </c>
      <c r="E1456" s="354" t="s">
        <v>3476</v>
      </c>
      <c r="F1456" s="354" t="s">
        <v>3476</v>
      </c>
      <c r="G1456" s="355" t="s">
        <v>3476</v>
      </c>
      <c r="H1456" s="356" t="s">
        <v>3476</v>
      </c>
    </row>
    <row r="1457" spans="1:8" ht="14.4" thickBot="1" x14ac:dyDescent="0.3">
      <c r="A1457" s="197">
        <v>38915</v>
      </c>
      <c r="B1457" s="137" t="s">
        <v>1368</v>
      </c>
      <c r="C1457" s="135">
        <v>2.2599999999999998</v>
      </c>
      <c r="D1457" s="135">
        <v>1.98</v>
      </c>
      <c r="E1457" s="130">
        <f t="shared" si="188"/>
        <v>87386.651599999997</v>
      </c>
      <c r="F1457" s="329">
        <f>+$D1457*$F$2</f>
        <v>83975.76</v>
      </c>
      <c r="G1457" s="338">
        <f>+$D1457*$G$2</f>
        <v>93188.7</v>
      </c>
      <c r="H1457" s="338">
        <f>+$D1457*$H$2</f>
        <v>98602.02</v>
      </c>
    </row>
    <row r="1458" spans="1:8" ht="14.4" thickBot="1" x14ac:dyDescent="0.3">
      <c r="A1458" s="68" t="s">
        <v>1347</v>
      </c>
      <c r="B1458" s="79"/>
      <c r="C1458" s="139"/>
      <c r="D1458" s="354" t="s">
        <v>3476</v>
      </c>
      <c r="E1458" s="354" t="s">
        <v>3476</v>
      </c>
      <c r="F1458" s="354" t="s">
        <v>3476</v>
      </c>
      <c r="G1458" s="355" t="s">
        <v>3476</v>
      </c>
      <c r="H1458" s="356" t="s">
        <v>3476</v>
      </c>
    </row>
    <row r="1459" spans="1:8" ht="14.4" thickBot="1" x14ac:dyDescent="0.3">
      <c r="A1459" s="197">
        <v>38925</v>
      </c>
      <c r="B1459" s="137" t="s">
        <v>1368</v>
      </c>
      <c r="C1459" s="135">
        <v>2.83</v>
      </c>
      <c r="D1459" s="135">
        <v>2.48</v>
      </c>
      <c r="E1459" s="130">
        <f t="shared" si="188"/>
        <v>109426.64780000001</v>
      </c>
      <c r="F1459" s="329">
        <f>+$D1459*$F$2</f>
        <v>105181.75999999999</v>
      </c>
      <c r="G1459" s="338">
        <f>+$D1459*$G$2</f>
        <v>116721.2</v>
      </c>
      <c r="H1459" s="338">
        <f>+$D1459*$H$2</f>
        <v>123501.52</v>
      </c>
    </row>
    <row r="1460" spans="1:8" ht="14.4" thickBot="1" x14ac:dyDescent="0.3">
      <c r="A1460" s="66" t="s">
        <v>1348</v>
      </c>
      <c r="B1460" s="77"/>
      <c r="C1460" s="139"/>
      <c r="D1460" s="354" t="s">
        <v>3476</v>
      </c>
      <c r="E1460" s="354" t="s">
        <v>3476</v>
      </c>
      <c r="F1460" s="354" t="s">
        <v>3476</v>
      </c>
      <c r="G1460" s="355" t="s">
        <v>3476</v>
      </c>
      <c r="H1460" s="356" t="s">
        <v>3476</v>
      </c>
    </row>
    <row r="1461" spans="1:8" ht="14.4" thickBot="1" x14ac:dyDescent="0.3">
      <c r="A1461" s="199">
        <v>38935</v>
      </c>
      <c r="B1461" s="200" t="s">
        <v>1368</v>
      </c>
      <c r="C1461" s="201">
        <v>3.6</v>
      </c>
      <c r="D1461" s="201">
        <v>3.16</v>
      </c>
      <c r="E1461" s="202">
        <f t="shared" si="188"/>
        <v>139199.97600000002</v>
      </c>
      <c r="F1461" s="333">
        <f>+$D1461*$F$2</f>
        <v>134021.92000000001</v>
      </c>
      <c r="G1461" s="338">
        <f>+$D1461*$G$2</f>
        <v>148725.4</v>
      </c>
      <c r="H1461" s="338">
        <f>+$D1461*$H$2</f>
        <v>157364.84</v>
      </c>
    </row>
    <row r="1462" spans="1:8" ht="28.2" thickBot="1" x14ac:dyDescent="0.3">
      <c r="A1462" s="232" t="s">
        <v>3506</v>
      </c>
      <c r="B1462" s="160"/>
      <c r="C1462" s="35"/>
      <c r="D1462" s="354" t="s">
        <v>3476</v>
      </c>
      <c r="E1462" s="354" t="s">
        <v>3476</v>
      </c>
      <c r="F1462" s="354" t="s">
        <v>3476</v>
      </c>
      <c r="G1462" s="355" t="s">
        <v>3476</v>
      </c>
      <c r="H1462" s="356" t="s">
        <v>3476</v>
      </c>
    </row>
    <row r="1463" spans="1:8" ht="28.2" thickBot="1" x14ac:dyDescent="0.35">
      <c r="A1463" s="232" t="s">
        <v>3507</v>
      </c>
      <c r="B1463" s="174"/>
      <c r="C1463" s="174"/>
      <c r="D1463" s="354" t="s">
        <v>3476</v>
      </c>
      <c r="E1463" s="354" t="s">
        <v>3476</v>
      </c>
      <c r="F1463" s="354" t="s">
        <v>3476</v>
      </c>
      <c r="G1463" s="355" t="s">
        <v>3476</v>
      </c>
      <c r="H1463" s="356" t="s">
        <v>3476</v>
      </c>
    </row>
    <row r="1464" spans="1:8" ht="14.4" thickBot="1" x14ac:dyDescent="0.3">
      <c r="A1464" s="232" t="s">
        <v>3508</v>
      </c>
      <c r="B1464" s="160"/>
      <c r="C1464" s="160"/>
      <c r="D1464" s="354" t="s">
        <v>3476</v>
      </c>
      <c r="E1464" s="354" t="s">
        <v>3476</v>
      </c>
      <c r="F1464" s="354" t="s">
        <v>3476</v>
      </c>
      <c r="G1464" s="355" t="s">
        <v>3476</v>
      </c>
      <c r="H1464" s="356" t="s">
        <v>3476</v>
      </c>
    </row>
    <row r="1465" spans="1:8" ht="14.4" thickBot="1" x14ac:dyDescent="0.3">
      <c r="A1465" s="203" t="s">
        <v>1369</v>
      </c>
      <c r="B1465" s="93"/>
      <c r="C1465" s="93"/>
      <c r="E1465" s="93"/>
      <c r="F1465" s="334"/>
      <c r="G1465" s="338"/>
      <c r="H1465" s="338"/>
    </row>
    <row r="1466" spans="1:8" ht="28.2" thickBot="1" x14ac:dyDescent="0.3">
      <c r="A1466" s="232" t="s">
        <v>3509</v>
      </c>
      <c r="B1466" s="167"/>
      <c r="C1466" s="167"/>
      <c r="D1466" s="354" t="s">
        <v>3476</v>
      </c>
      <c r="E1466" s="354" t="s">
        <v>3476</v>
      </c>
      <c r="F1466" s="354" t="s">
        <v>3476</v>
      </c>
      <c r="G1466" s="355" t="s">
        <v>3476</v>
      </c>
      <c r="H1466" s="356" t="s">
        <v>3476</v>
      </c>
    </row>
    <row r="1467" spans="1:8" ht="14.4" thickBot="1" x14ac:dyDescent="0.3">
      <c r="A1467" s="204" t="s">
        <v>1370</v>
      </c>
      <c r="B1467" s="204"/>
      <c r="C1467" s="204"/>
      <c r="D1467" s="205"/>
      <c r="E1467" s="204"/>
      <c r="F1467" s="335"/>
      <c r="G1467" s="338"/>
      <c r="H1467" s="338"/>
    </row>
    <row r="1468" spans="1:8" ht="14.4" thickBot="1" x14ac:dyDescent="0.3">
      <c r="A1468" s="66" t="s">
        <v>1371</v>
      </c>
      <c r="B1468" s="77"/>
      <c r="C1468" s="77"/>
      <c r="D1468" s="354" t="s">
        <v>3476</v>
      </c>
      <c r="E1468" s="354" t="s">
        <v>3476</v>
      </c>
      <c r="F1468" s="354" t="s">
        <v>3476</v>
      </c>
      <c r="G1468" s="355" t="s">
        <v>3476</v>
      </c>
      <c r="H1468" s="356" t="s">
        <v>3476</v>
      </c>
    </row>
    <row r="1469" spans="1:8" x14ac:dyDescent="0.25">
      <c r="A1469" s="3">
        <v>39000</v>
      </c>
      <c r="B1469" s="118" t="s">
        <v>1372</v>
      </c>
      <c r="C1469" s="95">
        <v>2.93</v>
      </c>
      <c r="D1469" s="95">
        <v>2.57</v>
      </c>
      <c r="E1469" s="101">
        <f t="shared" ref="E1469:E1522" si="189">+$C1469*$E$2</f>
        <v>113293.31380000002</v>
      </c>
      <c r="F1469" s="331">
        <f t="shared" ref="F1469:F1484" si="190">+$D1469*$F$2</f>
        <v>108998.84</v>
      </c>
      <c r="G1469" s="338">
        <f t="shared" ref="G1469:G1484" si="191">+$D1469*$G$2</f>
        <v>120957.04999999999</v>
      </c>
      <c r="H1469" s="338">
        <f t="shared" ref="H1469:H1484" si="192">+$D1469*$H$2</f>
        <v>127983.43</v>
      </c>
    </row>
    <row r="1470" spans="1:8" x14ac:dyDescent="0.25">
      <c r="A1470" s="3">
        <v>39001</v>
      </c>
      <c r="B1470" s="118" t="s">
        <v>1373</v>
      </c>
      <c r="C1470" s="95">
        <v>3.57</v>
      </c>
      <c r="D1470" s="95">
        <v>3.13</v>
      </c>
      <c r="E1470" s="101">
        <f t="shared" si="189"/>
        <v>138039.9762</v>
      </c>
      <c r="F1470" s="331">
        <f t="shared" si="190"/>
        <v>132749.56</v>
      </c>
      <c r="G1470" s="338">
        <f t="shared" si="191"/>
        <v>147313.44999999998</v>
      </c>
      <c r="H1470" s="338">
        <f t="shared" si="192"/>
        <v>155870.87</v>
      </c>
    </row>
    <row r="1471" spans="1:8" x14ac:dyDescent="0.25">
      <c r="A1471" s="3">
        <v>39002</v>
      </c>
      <c r="B1471" s="118" t="s">
        <v>1374</v>
      </c>
      <c r="C1471" s="95">
        <v>4.3099999999999996</v>
      </c>
      <c r="D1471" s="95">
        <v>3.78</v>
      </c>
      <c r="E1471" s="101">
        <f t="shared" si="189"/>
        <v>166653.3046</v>
      </c>
      <c r="F1471" s="331">
        <f t="shared" si="190"/>
        <v>160317.35999999999</v>
      </c>
      <c r="G1471" s="338">
        <f t="shared" si="191"/>
        <v>177905.69999999998</v>
      </c>
      <c r="H1471" s="338">
        <f t="shared" si="192"/>
        <v>188240.22</v>
      </c>
    </row>
    <row r="1472" spans="1:8" x14ac:dyDescent="0.25">
      <c r="A1472" s="3">
        <v>39003</v>
      </c>
      <c r="B1472" s="118" t="s">
        <v>1375</v>
      </c>
      <c r="C1472" s="95">
        <v>5.86</v>
      </c>
      <c r="D1472" s="95">
        <v>5.14</v>
      </c>
      <c r="E1472" s="101">
        <f t="shared" si="189"/>
        <v>226586.62760000004</v>
      </c>
      <c r="F1472" s="331">
        <f t="shared" si="190"/>
        <v>217997.68</v>
      </c>
      <c r="G1472" s="338">
        <f t="shared" si="191"/>
        <v>241914.09999999998</v>
      </c>
      <c r="H1472" s="338">
        <f t="shared" si="192"/>
        <v>255966.86</v>
      </c>
    </row>
    <row r="1473" spans="1:8" x14ac:dyDescent="0.25">
      <c r="A1473" s="3">
        <v>39004</v>
      </c>
      <c r="B1473" s="118" t="s">
        <v>1376</v>
      </c>
      <c r="C1473" s="95">
        <v>7.68</v>
      </c>
      <c r="D1473" s="95">
        <v>6.74</v>
      </c>
      <c r="E1473" s="101">
        <f t="shared" si="189"/>
        <v>296959.94880000001</v>
      </c>
      <c r="F1473" s="331">
        <f t="shared" si="190"/>
        <v>285856.88</v>
      </c>
      <c r="G1473" s="338">
        <f t="shared" si="191"/>
        <v>317218.10000000003</v>
      </c>
      <c r="H1473" s="338">
        <f t="shared" si="192"/>
        <v>335645.26</v>
      </c>
    </row>
    <row r="1474" spans="1:8" x14ac:dyDescent="0.25">
      <c r="A1474" s="3">
        <v>39005</v>
      </c>
      <c r="B1474" s="118" t="s">
        <v>1377</v>
      </c>
      <c r="C1474" s="95">
        <v>9</v>
      </c>
      <c r="D1474" s="95">
        <v>7.89</v>
      </c>
      <c r="E1474" s="101">
        <f t="shared" si="189"/>
        <v>347999.94000000006</v>
      </c>
      <c r="F1474" s="331">
        <f t="shared" si="190"/>
        <v>334630.68</v>
      </c>
      <c r="G1474" s="338">
        <f t="shared" si="191"/>
        <v>371342.85</v>
      </c>
      <c r="H1474" s="338">
        <f t="shared" si="192"/>
        <v>392914.11</v>
      </c>
    </row>
    <row r="1475" spans="1:8" x14ac:dyDescent="0.25">
      <c r="A1475" s="3">
        <v>39006</v>
      </c>
      <c r="B1475" s="118" t="s">
        <v>1378</v>
      </c>
      <c r="C1475" s="95">
        <v>10.44</v>
      </c>
      <c r="D1475" s="95">
        <v>9.16</v>
      </c>
      <c r="E1475" s="101">
        <f t="shared" si="189"/>
        <v>403679.93040000001</v>
      </c>
      <c r="F1475" s="331">
        <f t="shared" si="190"/>
        <v>388493.92</v>
      </c>
      <c r="G1475" s="338">
        <f t="shared" si="191"/>
        <v>431115.4</v>
      </c>
      <c r="H1475" s="338">
        <f t="shared" si="192"/>
        <v>456158.84</v>
      </c>
    </row>
    <row r="1476" spans="1:8" x14ac:dyDescent="0.25">
      <c r="A1476" s="3">
        <v>39007</v>
      </c>
      <c r="B1476" s="118" t="s">
        <v>1379</v>
      </c>
      <c r="C1476" s="95">
        <v>12.76</v>
      </c>
      <c r="D1476" s="95">
        <v>11.19</v>
      </c>
      <c r="E1476" s="101">
        <f t="shared" si="189"/>
        <v>493386.58160000003</v>
      </c>
      <c r="F1476" s="331">
        <f t="shared" si="190"/>
        <v>474590.27999999997</v>
      </c>
      <c r="G1476" s="338">
        <f t="shared" si="191"/>
        <v>526657.35</v>
      </c>
      <c r="H1476" s="338">
        <f t="shared" si="192"/>
        <v>557250.80999999994</v>
      </c>
    </row>
    <row r="1477" spans="1:8" x14ac:dyDescent="0.25">
      <c r="A1477" s="3">
        <v>39008</v>
      </c>
      <c r="B1477" s="118" t="s">
        <v>1380</v>
      </c>
      <c r="C1477" s="95">
        <v>15.71</v>
      </c>
      <c r="D1477" s="95">
        <v>13.78</v>
      </c>
      <c r="E1477" s="101">
        <f t="shared" si="189"/>
        <v>607453.22860000003</v>
      </c>
      <c r="F1477" s="331">
        <f t="shared" si="190"/>
        <v>584437.36</v>
      </c>
      <c r="G1477" s="338">
        <f t="shared" si="191"/>
        <v>648555.69999999995</v>
      </c>
      <c r="H1477" s="338">
        <f t="shared" si="192"/>
        <v>686230.22</v>
      </c>
    </row>
    <row r="1478" spans="1:8" x14ac:dyDescent="0.25">
      <c r="A1478" s="3">
        <v>39009</v>
      </c>
      <c r="B1478" s="118" t="s">
        <v>1381</v>
      </c>
      <c r="C1478" s="95">
        <v>17.62</v>
      </c>
      <c r="D1478" s="95">
        <v>15.45</v>
      </c>
      <c r="E1478" s="101">
        <f t="shared" si="189"/>
        <v>681306.54920000012</v>
      </c>
      <c r="F1478" s="331">
        <f t="shared" si="190"/>
        <v>655265.4</v>
      </c>
      <c r="G1478" s="338">
        <f t="shared" si="191"/>
        <v>727154.25</v>
      </c>
      <c r="H1478" s="338">
        <f t="shared" si="192"/>
        <v>769394.54999999993</v>
      </c>
    </row>
    <row r="1479" spans="1:8" x14ac:dyDescent="0.25">
      <c r="A1479" s="3">
        <v>39010</v>
      </c>
      <c r="B1479" s="118" t="s">
        <v>1382</v>
      </c>
      <c r="C1479" s="95">
        <v>19.63</v>
      </c>
      <c r="D1479" s="95">
        <v>17.22</v>
      </c>
      <c r="E1479" s="101">
        <f t="shared" si="189"/>
        <v>759026.53580000007</v>
      </c>
      <c r="F1479" s="331">
        <f t="shared" si="190"/>
        <v>730334.6399999999</v>
      </c>
      <c r="G1479" s="338">
        <f t="shared" si="191"/>
        <v>810459.29999999993</v>
      </c>
      <c r="H1479" s="338">
        <f t="shared" si="192"/>
        <v>857538.77999999991</v>
      </c>
    </row>
    <row r="1480" spans="1:8" x14ac:dyDescent="0.25">
      <c r="A1480" s="3">
        <v>39011</v>
      </c>
      <c r="B1480" s="118" t="s">
        <v>1383</v>
      </c>
      <c r="C1480" s="95">
        <v>21.48</v>
      </c>
      <c r="D1480" s="95">
        <v>18.84</v>
      </c>
      <c r="E1480" s="101">
        <f t="shared" si="189"/>
        <v>830559.85680000007</v>
      </c>
      <c r="F1480" s="331">
        <f t="shared" si="190"/>
        <v>799042.08</v>
      </c>
      <c r="G1480" s="338">
        <f t="shared" si="191"/>
        <v>886704.6</v>
      </c>
      <c r="H1480" s="338">
        <f t="shared" si="192"/>
        <v>938213.16</v>
      </c>
    </row>
    <row r="1481" spans="1:8" x14ac:dyDescent="0.25">
      <c r="A1481" s="3">
        <v>39012</v>
      </c>
      <c r="B1481" s="118" t="s">
        <v>1384</v>
      </c>
      <c r="C1481" s="95">
        <v>25.43</v>
      </c>
      <c r="D1481" s="95">
        <v>22.3</v>
      </c>
      <c r="E1481" s="101">
        <f t="shared" si="189"/>
        <v>983293.1638000001</v>
      </c>
      <c r="F1481" s="331">
        <f t="shared" si="190"/>
        <v>945787.6</v>
      </c>
      <c r="G1481" s="338">
        <f t="shared" si="191"/>
        <v>1049549.5</v>
      </c>
      <c r="H1481" s="338">
        <f t="shared" si="192"/>
        <v>1110517.7</v>
      </c>
    </row>
    <row r="1482" spans="1:8" x14ac:dyDescent="0.25">
      <c r="A1482" s="3">
        <v>39013</v>
      </c>
      <c r="B1482" s="118" t="s">
        <v>1385</v>
      </c>
      <c r="C1482" s="95">
        <v>33.1</v>
      </c>
      <c r="D1482" s="95">
        <v>29.03</v>
      </c>
      <c r="E1482" s="101">
        <f t="shared" si="189"/>
        <v>1279866.4460000002</v>
      </c>
      <c r="F1482" s="331">
        <f t="shared" si="190"/>
        <v>1231220.3600000001</v>
      </c>
      <c r="G1482" s="338">
        <f t="shared" si="191"/>
        <v>1366296.95</v>
      </c>
      <c r="H1482" s="338">
        <f t="shared" si="192"/>
        <v>1445664.97</v>
      </c>
    </row>
    <row r="1483" spans="1:8" x14ac:dyDescent="0.25">
      <c r="A1483" s="3">
        <v>39014</v>
      </c>
      <c r="B1483" s="118" t="s">
        <v>1386</v>
      </c>
      <c r="C1483" s="95">
        <v>38.67</v>
      </c>
      <c r="D1483" s="95">
        <v>33.92</v>
      </c>
      <c r="E1483" s="101">
        <f t="shared" si="189"/>
        <v>1495239.7422000002</v>
      </c>
      <c r="F1483" s="331">
        <f t="shared" si="190"/>
        <v>1438615.04</v>
      </c>
      <c r="G1483" s="338">
        <f t="shared" si="191"/>
        <v>1596444.8</v>
      </c>
      <c r="H1483" s="338">
        <f t="shared" si="192"/>
        <v>1689182.08</v>
      </c>
    </row>
    <row r="1484" spans="1:8" ht="14.4" thickBot="1" x14ac:dyDescent="0.3">
      <c r="A1484" s="8">
        <v>39015</v>
      </c>
      <c r="B1484" s="121" t="s">
        <v>1387</v>
      </c>
      <c r="C1484" s="89">
        <v>60.73</v>
      </c>
      <c r="D1484" s="89">
        <v>53.27</v>
      </c>
      <c r="E1484" s="101">
        <f t="shared" si="189"/>
        <v>2348226.2618</v>
      </c>
      <c r="F1484" s="207">
        <f t="shared" si="190"/>
        <v>2259287.2400000002</v>
      </c>
      <c r="G1484" s="338">
        <f t="shared" si="191"/>
        <v>2507152.5500000003</v>
      </c>
      <c r="H1484" s="338">
        <f t="shared" si="192"/>
        <v>2652792.73</v>
      </c>
    </row>
    <row r="1485" spans="1:8" ht="14.4" thickBot="1" x14ac:dyDescent="0.3">
      <c r="A1485" s="66" t="s">
        <v>1388</v>
      </c>
      <c r="B1485" s="67"/>
      <c r="C1485" s="206"/>
      <c r="D1485" s="354" t="s">
        <v>3476</v>
      </c>
      <c r="E1485" s="354" t="s">
        <v>3476</v>
      </c>
      <c r="F1485" s="354" t="s">
        <v>3476</v>
      </c>
      <c r="G1485" s="355" t="s">
        <v>3476</v>
      </c>
      <c r="H1485" s="356" t="s">
        <v>3476</v>
      </c>
    </row>
    <row r="1486" spans="1:8" x14ac:dyDescent="0.25">
      <c r="A1486" s="4">
        <v>39100</v>
      </c>
      <c r="B1486" s="122" t="s">
        <v>1372</v>
      </c>
      <c r="C1486" s="188">
        <v>2.09</v>
      </c>
      <c r="D1486" s="188">
        <v>1.83</v>
      </c>
      <c r="E1486" s="130">
        <f t="shared" si="189"/>
        <v>80813.319400000008</v>
      </c>
      <c r="F1486" s="332">
        <f t="shared" ref="F1486:F1502" si="193">+$D1486*$F$2</f>
        <v>77613.960000000006</v>
      </c>
      <c r="G1486" s="338">
        <f t="shared" ref="G1486:G1502" si="194">+$D1486*$G$2</f>
        <v>86128.95</v>
      </c>
      <c r="H1486" s="338">
        <f t="shared" ref="H1486:H1502" si="195">+$D1486*$H$2</f>
        <v>91132.17</v>
      </c>
    </row>
    <row r="1487" spans="1:8" x14ac:dyDescent="0.25">
      <c r="A1487" s="3">
        <v>39101</v>
      </c>
      <c r="B1487" s="118" t="s">
        <v>1373</v>
      </c>
      <c r="C1487" s="95">
        <v>2.5299999999999998</v>
      </c>
      <c r="D1487" s="95">
        <v>2.2200000000000002</v>
      </c>
      <c r="E1487" s="101">
        <f t="shared" si="189"/>
        <v>97826.649799999999</v>
      </c>
      <c r="F1487" s="331">
        <f t="shared" si="193"/>
        <v>94154.640000000014</v>
      </c>
      <c r="G1487" s="338">
        <f t="shared" si="194"/>
        <v>104484.3</v>
      </c>
      <c r="H1487" s="338">
        <f t="shared" si="195"/>
        <v>110553.78000000001</v>
      </c>
    </row>
    <row r="1488" spans="1:8" x14ac:dyDescent="0.25">
      <c r="A1488" s="3">
        <v>39102</v>
      </c>
      <c r="B1488" s="118" t="s">
        <v>1374</v>
      </c>
      <c r="C1488" s="95">
        <v>3.1</v>
      </c>
      <c r="D1488" s="95">
        <v>2.72</v>
      </c>
      <c r="E1488" s="101">
        <f t="shared" si="189"/>
        <v>119866.64600000001</v>
      </c>
      <c r="F1488" s="331">
        <f t="shared" si="193"/>
        <v>115360.64000000001</v>
      </c>
      <c r="G1488" s="338">
        <f t="shared" si="194"/>
        <v>128016.8</v>
      </c>
      <c r="H1488" s="338">
        <f t="shared" si="195"/>
        <v>135453.28</v>
      </c>
    </row>
    <row r="1489" spans="1:8" x14ac:dyDescent="0.25">
      <c r="A1489" s="3">
        <v>39103</v>
      </c>
      <c r="B1489" s="118" t="s">
        <v>1375</v>
      </c>
      <c r="C1489" s="95">
        <v>3.83</v>
      </c>
      <c r="D1489" s="95">
        <v>3.36</v>
      </c>
      <c r="E1489" s="101">
        <f t="shared" si="189"/>
        <v>148093.30780000001</v>
      </c>
      <c r="F1489" s="331">
        <f t="shared" si="193"/>
        <v>142504.32000000001</v>
      </c>
      <c r="G1489" s="338">
        <f t="shared" si="194"/>
        <v>158138.4</v>
      </c>
      <c r="H1489" s="338">
        <f t="shared" si="195"/>
        <v>167324.63999999998</v>
      </c>
    </row>
    <row r="1490" spans="1:8" x14ac:dyDescent="0.25">
      <c r="A1490" s="3">
        <v>39104</v>
      </c>
      <c r="B1490" s="118" t="s">
        <v>1376</v>
      </c>
      <c r="C1490" s="95">
        <v>4.5599999999999996</v>
      </c>
      <c r="D1490" s="95">
        <v>4</v>
      </c>
      <c r="E1490" s="101">
        <f t="shared" si="189"/>
        <v>176319.96960000001</v>
      </c>
      <c r="F1490" s="331">
        <f t="shared" si="193"/>
        <v>169648</v>
      </c>
      <c r="G1490" s="338">
        <f t="shared" si="194"/>
        <v>188260</v>
      </c>
      <c r="H1490" s="338">
        <f t="shared" si="195"/>
        <v>199196</v>
      </c>
    </row>
    <row r="1491" spans="1:8" x14ac:dyDescent="0.25">
      <c r="A1491" s="3">
        <v>39105</v>
      </c>
      <c r="B1491" s="118" t="s">
        <v>1377</v>
      </c>
      <c r="C1491" s="95">
        <v>5.3</v>
      </c>
      <c r="D1491" s="95">
        <v>4.6500000000000004</v>
      </c>
      <c r="E1491" s="101">
        <f t="shared" si="189"/>
        <v>204933.29800000001</v>
      </c>
      <c r="F1491" s="331">
        <f t="shared" si="193"/>
        <v>197215.80000000002</v>
      </c>
      <c r="G1491" s="338">
        <f t="shared" si="194"/>
        <v>218852.25000000003</v>
      </c>
      <c r="H1491" s="338">
        <f t="shared" si="195"/>
        <v>231565.35</v>
      </c>
    </row>
    <row r="1492" spans="1:8" x14ac:dyDescent="0.25">
      <c r="A1492" s="3">
        <v>39106</v>
      </c>
      <c r="B1492" s="118" t="s">
        <v>1389</v>
      </c>
      <c r="C1492" s="95">
        <v>6.17</v>
      </c>
      <c r="D1492" s="95">
        <v>5.41</v>
      </c>
      <c r="E1492" s="101">
        <f t="shared" si="189"/>
        <v>238573.29220000003</v>
      </c>
      <c r="F1492" s="331">
        <f t="shared" si="193"/>
        <v>229448.92</v>
      </c>
      <c r="G1492" s="338">
        <f t="shared" si="194"/>
        <v>254621.65</v>
      </c>
      <c r="H1492" s="338">
        <f t="shared" si="195"/>
        <v>269412.59000000003</v>
      </c>
    </row>
    <row r="1493" spans="1:8" x14ac:dyDescent="0.25">
      <c r="A1493" s="3">
        <v>39107</v>
      </c>
      <c r="B1493" s="118" t="s">
        <v>1379</v>
      </c>
      <c r="C1493" s="95">
        <v>7.3</v>
      </c>
      <c r="D1493" s="95">
        <v>6.4</v>
      </c>
      <c r="E1493" s="101">
        <f t="shared" si="189"/>
        <v>282266.61800000002</v>
      </c>
      <c r="F1493" s="331">
        <f t="shared" si="193"/>
        <v>271436.79999999999</v>
      </c>
      <c r="G1493" s="338">
        <f t="shared" si="194"/>
        <v>301216</v>
      </c>
      <c r="H1493" s="338">
        <f t="shared" si="195"/>
        <v>318713.60000000003</v>
      </c>
    </row>
    <row r="1494" spans="1:8" x14ac:dyDescent="0.25">
      <c r="A1494" s="3">
        <v>39108</v>
      </c>
      <c r="B1494" s="118" t="s">
        <v>1380</v>
      </c>
      <c r="C1494" s="95">
        <v>9.02</v>
      </c>
      <c r="D1494" s="95">
        <v>7.91</v>
      </c>
      <c r="E1494" s="101">
        <f t="shared" si="189"/>
        <v>348773.2732</v>
      </c>
      <c r="F1494" s="331">
        <f t="shared" si="193"/>
        <v>335478.92</v>
      </c>
      <c r="G1494" s="338">
        <f t="shared" si="194"/>
        <v>372284.15</v>
      </c>
      <c r="H1494" s="338">
        <f t="shared" si="195"/>
        <v>393910.09</v>
      </c>
    </row>
    <row r="1495" spans="1:8" x14ac:dyDescent="0.25">
      <c r="A1495" s="3">
        <v>39109</v>
      </c>
      <c r="B1495" s="118" t="s">
        <v>1381</v>
      </c>
      <c r="C1495" s="95">
        <v>10.08</v>
      </c>
      <c r="D1495" s="95">
        <v>8.84</v>
      </c>
      <c r="E1495" s="101">
        <f t="shared" si="189"/>
        <v>389759.93280000001</v>
      </c>
      <c r="F1495" s="331">
        <f t="shared" si="193"/>
        <v>374922.08</v>
      </c>
      <c r="G1495" s="338">
        <f t="shared" si="194"/>
        <v>416054.6</v>
      </c>
      <c r="H1495" s="338">
        <f t="shared" si="195"/>
        <v>440223.16</v>
      </c>
    </row>
    <row r="1496" spans="1:8" x14ac:dyDescent="0.25">
      <c r="A1496" s="3">
        <v>39110</v>
      </c>
      <c r="B1496" s="118" t="s">
        <v>1382</v>
      </c>
      <c r="C1496" s="95">
        <v>11.44</v>
      </c>
      <c r="D1496" s="95">
        <v>10.029999999999999</v>
      </c>
      <c r="E1496" s="101">
        <f t="shared" si="189"/>
        <v>442346.59040000004</v>
      </c>
      <c r="F1496" s="331">
        <f t="shared" si="193"/>
        <v>425392.36</v>
      </c>
      <c r="G1496" s="338">
        <f t="shared" si="194"/>
        <v>472061.94999999995</v>
      </c>
      <c r="H1496" s="338">
        <f t="shared" si="195"/>
        <v>499483.97</v>
      </c>
    </row>
    <row r="1497" spans="1:8" x14ac:dyDescent="0.25">
      <c r="A1497" s="3">
        <v>39111</v>
      </c>
      <c r="B1497" s="118" t="s">
        <v>1383</v>
      </c>
      <c r="C1497" s="95">
        <v>12.72</v>
      </c>
      <c r="D1497" s="95">
        <v>11.16</v>
      </c>
      <c r="E1497" s="101">
        <f t="shared" si="189"/>
        <v>491839.91520000005</v>
      </c>
      <c r="F1497" s="331">
        <f t="shared" si="193"/>
        <v>473317.92</v>
      </c>
      <c r="G1497" s="338">
        <f t="shared" si="194"/>
        <v>525245.4</v>
      </c>
      <c r="H1497" s="338">
        <f t="shared" si="195"/>
        <v>555756.84</v>
      </c>
    </row>
    <row r="1498" spans="1:8" x14ac:dyDescent="0.25">
      <c r="A1498" s="3">
        <v>39112</v>
      </c>
      <c r="B1498" s="118" t="s">
        <v>1390</v>
      </c>
      <c r="C1498" s="95">
        <v>14.85</v>
      </c>
      <c r="D1498" s="95">
        <v>13.02</v>
      </c>
      <c r="E1498" s="101">
        <f t="shared" si="189"/>
        <v>574199.90100000007</v>
      </c>
      <c r="F1498" s="331">
        <f t="shared" si="193"/>
        <v>552204.24</v>
      </c>
      <c r="G1498" s="338">
        <f t="shared" si="194"/>
        <v>612786.29999999993</v>
      </c>
      <c r="H1498" s="338">
        <f t="shared" si="195"/>
        <v>648382.98</v>
      </c>
    </row>
    <row r="1499" spans="1:8" x14ac:dyDescent="0.25">
      <c r="A1499" s="3">
        <v>39113</v>
      </c>
      <c r="B1499" s="118" t="s">
        <v>1391</v>
      </c>
      <c r="C1499" s="95">
        <v>20.12</v>
      </c>
      <c r="D1499" s="95">
        <v>17.649999999999999</v>
      </c>
      <c r="E1499" s="101">
        <f t="shared" si="189"/>
        <v>777973.19920000015</v>
      </c>
      <c r="F1499" s="331">
        <f t="shared" si="193"/>
        <v>748571.79999999993</v>
      </c>
      <c r="G1499" s="338">
        <f t="shared" si="194"/>
        <v>830697.24999999988</v>
      </c>
      <c r="H1499" s="338">
        <f t="shared" si="195"/>
        <v>878952.35</v>
      </c>
    </row>
    <row r="1500" spans="1:8" x14ac:dyDescent="0.25">
      <c r="A1500" s="3">
        <v>39114</v>
      </c>
      <c r="B1500" s="118" t="s">
        <v>1386</v>
      </c>
      <c r="C1500" s="95">
        <v>26.82</v>
      </c>
      <c r="D1500" s="95">
        <v>23.52</v>
      </c>
      <c r="E1500" s="101">
        <f t="shared" si="189"/>
        <v>1037039.8212000001</v>
      </c>
      <c r="F1500" s="331">
        <f t="shared" si="193"/>
        <v>997530.24</v>
      </c>
      <c r="G1500" s="338">
        <f t="shared" si="194"/>
        <v>1106968.8</v>
      </c>
      <c r="H1500" s="338">
        <f t="shared" si="195"/>
        <v>1171272.48</v>
      </c>
    </row>
    <row r="1501" spans="1:8" x14ac:dyDescent="0.25">
      <c r="A1501" s="3">
        <v>39115</v>
      </c>
      <c r="B1501" s="118" t="s">
        <v>1387</v>
      </c>
      <c r="C1501" s="95">
        <v>37.950000000000003</v>
      </c>
      <c r="D1501" s="95">
        <v>33.29</v>
      </c>
      <c r="E1501" s="101">
        <f t="shared" si="189"/>
        <v>1467399.7470000002</v>
      </c>
      <c r="F1501" s="331">
        <f t="shared" si="193"/>
        <v>1411895.48</v>
      </c>
      <c r="G1501" s="338">
        <f t="shared" si="194"/>
        <v>1566793.8499999999</v>
      </c>
      <c r="H1501" s="338">
        <f t="shared" si="195"/>
        <v>1657808.71</v>
      </c>
    </row>
    <row r="1502" spans="1:8" ht="14.4" thickBot="1" x14ac:dyDescent="0.3">
      <c r="A1502" s="8">
        <v>39116</v>
      </c>
      <c r="B1502" s="121" t="s">
        <v>1392</v>
      </c>
      <c r="C1502" s="89">
        <v>4.96</v>
      </c>
      <c r="D1502" s="89">
        <v>4.3499999999999996</v>
      </c>
      <c r="E1502" s="101">
        <f t="shared" si="189"/>
        <v>191786.63360000003</v>
      </c>
      <c r="F1502" s="207">
        <f t="shared" si="193"/>
        <v>184492.19999999998</v>
      </c>
      <c r="G1502" s="338">
        <f t="shared" si="194"/>
        <v>204732.74999999997</v>
      </c>
      <c r="H1502" s="338">
        <f t="shared" si="195"/>
        <v>216625.65</v>
      </c>
    </row>
    <row r="1503" spans="1:8" ht="28.2" thickBot="1" x14ac:dyDescent="0.35">
      <c r="A1503" s="232" t="s">
        <v>1393</v>
      </c>
      <c r="B1503" s="174"/>
      <c r="C1503" s="128"/>
      <c r="D1503" s="354" t="s">
        <v>3476</v>
      </c>
      <c r="E1503" s="354" t="s">
        <v>3476</v>
      </c>
      <c r="F1503" s="354" t="s">
        <v>3476</v>
      </c>
      <c r="G1503" s="355" t="s">
        <v>3476</v>
      </c>
      <c r="H1503" s="356" t="s">
        <v>3476</v>
      </c>
    </row>
    <row r="1504" spans="1:8" x14ac:dyDescent="0.25">
      <c r="A1504" s="4">
        <v>39150</v>
      </c>
      <c r="B1504" s="122" t="s">
        <v>1394</v>
      </c>
      <c r="C1504" s="188">
        <v>4.09</v>
      </c>
      <c r="D1504" s="188">
        <v>3.59</v>
      </c>
      <c r="E1504" s="130">
        <f t="shared" si="189"/>
        <v>158146.63940000001</v>
      </c>
      <c r="F1504" s="332">
        <f t="shared" ref="F1504:F1509" si="196">+$D1504*$F$2</f>
        <v>152259.07999999999</v>
      </c>
      <c r="G1504" s="338">
        <f t="shared" ref="G1504:G1509" si="197">+$D1504*$G$2</f>
        <v>168963.35</v>
      </c>
      <c r="H1504" s="338">
        <f t="shared" ref="H1504:H1509" si="198">+$D1504*$H$2</f>
        <v>178778.41</v>
      </c>
    </row>
    <row r="1505" spans="1:8" x14ac:dyDescent="0.25">
      <c r="A1505" s="3">
        <v>39151</v>
      </c>
      <c r="B1505" s="118" t="s">
        <v>1395</v>
      </c>
      <c r="C1505" s="95">
        <v>4.09</v>
      </c>
      <c r="D1505" s="95">
        <v>3.59</v>
      </c>
      <c r="E1505" s="101">
        <f t="shared" si="189"/>
        <v>158146.63940000001</v>
      </c>
      <c r="F1505" s="331">
        <f t="shared" si="196"/>
        <v>152259.07999999999</v>
      </c>
      <c r="G1505" s="338">
        <f t="shared" si="197"/>
        <v>168963.35</v>
      </c>
      <c r="H1505" s="338">
        <f t="shared" si="198"/>
        <v>178778.41</v>
      </c>
    </row>
    <row r="1506" spans="1:8" x14ac:dyDescent="0.25">
      <c r="A1506" s="3">
        <v>39152</v>
      </c>
      <c r="B1506" s="118" t="s">
        <v>1396</v>
      </c>
      <c r="C1506" s="95">
        <v>4.09</v>
      </c>
      <c r="D1506" s="95">
        <v>3.59</v>
      </c>
      <c r="E1506" s="101">
        <f t="shared" si="189"/>
        <v>158146.63940000001</v>
      </c>
      <c r="F1506" s="331">
        <f t="shared" si="196"/>
        <v>152259.07999999999</v>
      </c>
      <c r="G1506" s="338">
        <f t="shared" si="197"/>
        <v>168963.35</v>
      </c>
      <c r="H1506" s="338">
        <f t="shared" si="198"/>
        <v>178778.41</v>
      </c>
    </row>
    <row r="1507" spans="1:8" x14ac:dyDescent="0.25">
      <c r="A1507" s="3">
        <v>39153</v>
      </c>
      <c r="B1507" s="118" t="s">
        <v>1397</v>
      </c>
      <c r="C1507" s="95">
        <v>8.4499999999999993</v>
      </c>
      <c r="D1507" s="95">
        <v>7.41</v>
      </c>
      <c r="E1507" s="101">
        <f t="shared" si="189"/>
        <v>326733.277</v>
      </c>
      <c r="F1507" s="331">
        <f t="shared" si="196"/>
        <v>314272.92</v>
      </c>
      <c r="G1507" s="338">
        <f t="shared" si="197"/>
        <v>348751.65</v>
      </c>
      <c r="H1507" s="338">
        <f t="shared" si="198"/>
        <v>369010.59</v>
      </c>
    </row>
    <row r="1508" spans="1:8" x14ac:dyDescent="0.25">
      <c r="A1508" s="3">
        <v>39154</v>
      </c>
      <c r="B1508" s="118" t="s">
        <v>1398</v>
      </c>
      <c r="C1508" s="95">
        <v>4.09</v>
      </c>
      <c r="D1508" s="95">
        <v>3.59</v>
      </c>
      <c r="E1508" s="101">
        <f t="shared" si="189"/>
        <v>158146.63940000001</v>
      </c>
      <c r="F1508" s="331">
        <f t="shared" si="196"/>
        <v>152259.07999999999</v>
      </c>
      <c r="G1508" s="338">
        <f t="shared" si="197"/>
        <v>168963.35</v>
      </c>
      <c r="H1508" s="338">
        <f t="shared" si="198"/>
        <v>178778.41</v>
      </c>
    </row>
    <row r="1509" spans="1:8" ht="14.4" thickBot="1" x14ac:dyDescent="0.3">
      <c r="A1509" s="8">
        <v>39155</v>
      </c>
      <c r="B1509" s="121" t="s">
        <v>1399</v>
      </c>
      <c r="C1509" s="89">
        <v>3.93</v>
      </c>
      <c r="D1509" s="89">
        <v>3.45</v>
      </c>
      <c r="E1509" s="101">
        <f t="shared" si="189"/>
        <v>151959.97380000001</v>
      </c>
      <c r="F1509" s="207">
        <f t="shared" si="196"/>
        <v>146321.4</v>
      </c>
      <c r="G1509" s="338">
        <f t="shared" si="197"/>
        <v>162374.25</v>
      </c>
      <c r="H1509" s="338">
        <f t="shared" si="198"/>
        <v>171806.55000000002</v>
      </c>
    </row>
    <row r="1510" spans="1:8" ht="14.4" thickBot="1" x14ac:dyDescent="0.35">
      <c r="A1510" s="66" t="s">
        <v>1400</v>
      </c>
      <c r="B1510" s="67"/>
      <c r="C1510" s="206"/>
      <c r="D1510" s="206"/>
      <c r="E1510" s="112"/>
      <c r="F1510" s="328"/>
      <c r="G1510" s="338"/>
      <c r="H1510" s="338"/>
    </row>
    <row r="1511" spans="1:8" x14ac:dyDescent="0.25">
      <c r="A1511" s="4">
        <v>39117</v>
      </c>
      <c r="B1511" s="122" t="s">
        <v>1401</v>
      </c>
      <c r="C1511" s="188">
        <v>2.0099999999999998</v>
      </c>
      <c r="D1511" s="188">
        <v>1.76</v>
      </c>
      <c r="E1511" s="130">
        <f t="shared" si="189"/>
        <v>77719.986600000004</v>
      </c>
      <c r="F1511" s="332">
        <f t="shared" ref="F1511:F1522" si="199">+$D1511*$F$2</f>
        <v>74645.119999999995</v>
      </c>
      <c r="G1511" s="338">
        <f t="shared" ref="G1511:G1522" si="200">+$D1511*$G$2</f>
        <v>82834.399999999994</v>
      </c>
      <c r="H1511" s="338">
        <f t="shared" ref="H1511:H1522" si="201">+$D1511*$H$2</f>
        <v>87646.24</v>
      </c>
    </row>
    <row r="1512" spans="1:8" x14ac:dyDescent="0.25">
      <c r="A1512" s="3">
        <v>39118</v>
      </c>
      <c r="B1512" s="118" t="s">
        <v>1402</v>
      </c>
      <c r="C1512" s="95">
        <v>2.37</v>
      </c>
      <c r="D1512" s="95">
        <v>2.08</v>
      </c>
      <c r="E1512" s="101">
        <f t="shared" si="189"/>
        <v>91639.984200000006</v>
      </c>
      <c r="F1512" s="331">
        <f t="shared" si="199"/>
        <v>88216.960000000006</v>
      </c>
      <c r="G1512" s="338">
        <f t="shared" si="200"/>
        <v>97895.2</v>
      </c>
      <c r="H1512" s="338">
        <f t="shared" si="201"/>
        <v>103581.92</v>
      </c>
    </row>
    <row r="1513" spans="1:8" x14ac:dyDescent="0.25">
      <c r="A1513" s="3">
        <v>39119</v>
      </c>
      <c r="B1513" s="118" t="s">
        <v>1389</v>
      </c>
      <c r="C1513" s="95">
        <v>2.74</v>
      </c>
      <c r="D1513" s="95">
        <v>2.4</v>
      </c>
      <c r="E1513" s="101">
        <f t="shared" si="189"/>
        <v>105946.64840000002</v>
      </c>
      <c r="F1513" s="331">
        <f t="shared" si="199"/>
        <v>101788.8</v>
      </c>
      <c r="G1513" s="338">
        <f t="shared" si="200"/>
        <v>112956</v>
      </c>
      <c r="H1513" s="338">
        <f t="shared" si="201"/>
        <v>119517.59999999999</v>
      </c>
    </row>
    <row r="1514" spans="1:8" x14ac:dyDescent="0.25">
      <c r="A1514" s="3">
        <v>39120</v>
      </c>
      <c r="B1514" s="118" t="s">
        <v>1403</v>
      </c>
      <c r="C1514" s="95">
        <v>3.49</v>
      </c>
      <c r="D1514" s="95">
        <v>3.06</v>
      </c>
      <c r="E1514" s="101">
        <f t="shared" si="189"/>
        <v>134946.64340000003</v>
      </c>
      <c r="F1514" s="331">
        <f t="shared" si="199"/>
        <v>129780.72</v>
      </c>
      <c r="G1514" s="338">
        <f t="shared" si="200"/>
        <v>144018.9</v>
      </c>
      <c r="H1514" s="338">
        <f t="shared" si="201"/>
        <v>152384.94</v>
      </c>
    </row>
    <row r="1515" spans="1:8" x14ac:dyDescent="0.25">
      <c r="A1515" s="3">
        <v>39121</v>
      </c>
      <c r="B1515" s="118" t="s">
        <v>1404</v>
      </c>
      <c r="C1515" s="95">
        <v>4.28</v>
      </c>
      <c r="D1515" s="95">
        <v>3.75</v>
      </c>
      <c r="E1515" s="101">
        <f t="shared" si="189"/>
        <v>165493.30480000001</v>
      </c>
      <c r="F1515" s="331">
        <f t="shared" si="199"/>
        <v>159045</v>
      </c>
      <c r="G1515" s="338">
        <f t="shared" si="200"/>
        <v>176493.75</v>
      </c>
      <c r="H1515" s="338">
        <f t="shared" si="201"/>
        <v>186746.25</v>
      </c>
    </row>
    <row r="1516" spans="1:8" x14ac:dyDescent="0.25">
      <c r="A1516" s="3">
        <v>39122</v>
      </c>
      <c r="B1516" s="118" t="s">
        <v>1405</v>
      </c>
      <c r="C1516" s="95">
        <v>4.83</v>
      </c>
      <c r="D1516" s="95">
        <v>4.24</v>
      </c>
      <c r="E1516" s="101">
        <f t="shared" si="189"/>
        <v>186759.96780000001</v>
      </c>
      <c r="F1516" s="331">
        <f t="shared" si="199"/>
        <v>179826.88</v>
      </c>
      <c r="G1516" s="338">
        <f t="shared" si="200"/>
        <v>199555.6</v>
      </c>
      <c r="H1516" s="338">
        <f t="shared" si="201"/>
        <v>211147.76</v>
      </c>
    </row>
    <row r="1517" spans="1:8" x14ac:dyDescent="0.25">
      <c r="A1517" s="3">
        <v>39123</v>
      </c>
      <c r="B1517" s="118" t="s">
        <v>1406</v>
      </c>
      <c r="C1517" s="95">
        <v>5.36</v>
      </c>
      <c r="D1517" s="95">
        <v>4.7</v>
      </c>
      <c r="E1517" s="101">
        <f t="shared" si="189"/>
        <v>207253.29760000002</v>
      </c>
      <c r="F1517" s="331">
        <f t="shared" si="199"/>
        <v>199336.4</v>
      </c>
      <c r="G1517" s="338">
        <f t="shared" si="200"/>
        <v>221205.5</v>
      </c>
      <c r="H1517" s="338">
        <f t="shared" si="201"/>
        <v>234055.30000000002</v>
      </c>
    </row>
    <row r="1518" spans="1:8" x14ac:dyDescent="0.25">
      <c r="A1518" s="3">
        <v>39124</v>
      </c>
      <c r="B1518" s="118" t="s">
        <v>1407</v>
      </c>
      <c r="C1518" s="95">
        <v>6.17</v>
      </c>
      <c r="D1518" s="95">
        <v>5.41</v>
      </c>
      <c r="E1518" s="101">
        <f t="shared" si="189"/>
        <v>238573.29220000003</v>
      </c>
      <c r="F1518" s="331">
        <f t="shared" si="199"/>
        <v>229448.92</v>
      </c>
      <c r="G1518" s="338">
        <f t="shared" si="200"/>
        <v>254621.65</v>
      </c>
      <c r="H1518" s="338">
        <f t="shared" si="201"/>
        <v>269412.59000000003</v>
      </c>
    </row>
    <row r="1519" spans="1:8" x14ac:dyDescent="0.25">
      <c r="A1519" s="3">
        <v>39125</v>
      </c>
      <c r="B1519" s="118" t="s">
        <v>1408</v>
      </c>
      <c r="C1519" s="95">
        <v>6.94</v>
      </c>
      <c r="D1519" s="95">
        <v>6.09</v>
      </c>
      <c r="E1519" s="101">
        <f t="shared" si="189"/>
        <v>268346.62040000001</v>
      </c>
      <c r="F1519" s="331">
        <f t="shared" si="199"/>
        <v>258289.08</v>
      </c>
      <c r="G1519" s="338">
        <f t="shared" si="200"/>
        <v>286625.84999999998</v>
      </c>
      <c r="H1519" s="338">
        <f t="shared" si="201"/>
        <v>303275.90999999997</v>
      </c>
    </row>
    <row r="1520" spans="1:8" x14ac:dyDescent="0.25">
      <c r="A1520" s="3">
        <v>39126</v>
      </c>
      <c r="B1520" s="118" t="s">
        <v>1409</v>
      </c>
      <c r="C1520" s="95">
        <v>9.0299999999999994</v>
      </c>
      <c r="D1520" s="95">
        <v>7.92</v>
      </c>
      <c r="E1520" s="101">
        <f t="shared" si="189"/>
        <v>349159.93979999999</v>
      </c>
      <c r="F1520" s="331">
        <f t="shared" si="199"/>
        <v>335903.04</v>
      </c>
      <c r="G1520" s="338">
        <f t="shared" si="200"/>
        <v>372754.8</v>
      </c>
      <c r="H1520" s="338">
        <f t="shared" si="201"/>
        <v>394408.08</v>
      </c>
    </row>
    <row r="1521" spans="1:8" x14ac:dyDescent="0.25">
      <c r="A1521" s="3">
        <v>39127</v>
      </c>
      <c r="B1521" s="118" t="s">
        <v>1410</v>
      </c>
      <c r="C1521" s="95">
        <v>10.55</v>
      </c>
      <c r="D1521" s="95">
        <v>9.25</v>
      </c>
      <c r="E1521" s="101">
        <f t="shared" si="189"/>
        <v>407933.26300000004</v>
      </c>
      <c r="F1521" s="331">
        <f t="shared" si="199"/>
        <v>392311</v>
      </c>
      <c r="G1521" s="338">
        <f t="shared" si="200"/>
        <v>435351.25</v>
      </c>
      <c r="H1521" s="338">
        <f t="shared" si="201"/>
        <v>460640.75</v>
      </c>
    </row>
    <row r="1522" spans="1:8" ht="14.4" thickBot="1" x14ac:dyDescent="0.3">
      <c r="A1522" s="8">
        <v>39128</v>
      </c>
      <c r="B1522" s="121" t="s">
        <v>1411</v>
      </c>
      <c r="C1522" s="89">
        <v>16.57</v>
      </c>
      <c r="D1522" s="89">
        <v>14.53</v>
      </c>
      <c r="E1522" s="101">
        <f t="shared" si="189"/>
        <v>640706.55620000011</v>
      </c>
      <c r="F1522" s="207">
        <f t="shared" si="199"/>
        <v>616246.36</v>
      </c>
      <c r="G1522" s="338">
        <f t="shared" si="200"/>
        <v>683854.45</v>
      </c>
      <c r="H1522" s="338">
        <f t="shared" si="201"/>
        <v>723579.47</v>
      </c>
    </row>
    <row r="1523" spans="1:8" ht="14.4" thickBot="1" x14ac:dyDescent="0.3">
      <c r="A1523" s="232" t="s">
        <v>1412</v>
      </c>
      <c r="B1523" s="167"/>
      <c r="C1523" s="77"/>
      <c r="D1523" s="354" t="s">
        <v>3476</v>
      </c>
      <c r="E1523" s="354" t="s">
        <v>3476</v>
      </c>
      <c r="F1523" s="354" t="s">
        <v>3476</v>
      </c>
      <c r="G1523" s="355" t="s">
        <v>3476</v>
      </c>
      <c r="H1523" s="356" t="s">
        <v>3476</v>
      </c>
    </row>
    <row r="1524" spans="1:8" ht="14.4" thickBot="1" x14ac:dyDescent="0.3">
      <c r="A1524" s="66" t="s">
        <v>1413</v>
      </c>
      <c r="B1524" s="67"/>
      <c r="C1524" s="67"/>
      <c r="D1524" s="354" t="s">
        <v>3476</v>
      </c>
      <c r="E1524" s="354" t="s">
        <v>3476</v>
      </c>
      <c r="F1524" s="354" t="s">
        <v>3476</v>
      </c>
      <c r="G1524" s="355" t="s">
        <v>3476</v>
      </c>
      <c r="H1524" s="356" t="s">
        <v>3476</v>
      </c>
    </row>
    <row r="1525" spans="1:8" ht="14.4" thickBot="1" x14ac:dyDescent="0.3">
      <c r="A1525" s="136">
        <v>39129</v>
      </c>
      <c r="B1525" s="137" t="s">
        <v>1414</v>
      </c>
      <c r="C1525" s="129">
        <v>8.31</v>
      </c>
      <c r="D1525" s="89">
        <v>7.29</v>
      </c>
      <c r="E1525" s="101">
        <f t="shared" ref="E1525" si="202">+$C1525*$E$2</f>
        <v>321319.94460000005</v>
      </c>
      <c r="F1525" s="207">
        <f>+$D1525*$F$2</f>
        <v>309183.48</v>
      </c>
      <c r="G1525" s="338">
        <f>+$D1525*$G$2</f>
        <v>343103.85</v>
      </c>
      <c r="H1525" s="338">
        <f>+$D1525*$H$2</f>
        <v>363034.71</v>
      </c>
    </row>
    <row r="1526" spans="1:8" ht="14.4" thickBot="1" x14ac:dyDescent="0.3">
      <c r="A1526" s="232" t="s">
        <v>1415</v>
      </c>
      <c r="B1526" s="208"/>
      <c r="C1526" s="208"/>
      <c r="D1526" s="354" t="s">
        <v>3476</v>
      </c>
      <c r="E1526" s="354" t="s">
        <v>3476</v>
      </c>
      <c r="F1526" s="354" t="s">
        <v>3476</v>
      </c>
      <c r="G1526" s="355" t="s">
        <v>3476</v>
      </c>
      <c r="H1526" s="356" t="s">
        <v>3476</v>
      </c>
    </row>
    <row r="1527" spans="1:8" ht="14.4" thickBot="1" x14ac:dyDescent="0.3">
      <c r="A1527" s="66" t="s">
        <v>1416</v>
      </c>
      <c r="B1527" s="67"/>
      <c r="C1527" s="67"/>
      <c r="D1527" s="354" t="s">
        <v>3476</v>
      </c>
      <c r="E1527" s="354" t="s">
        <v>3476</v>
      </c>
      <c r="F1527" s="354" t="s">
        <v>3476</v>
      </c>
      <c r="G1527" s="355" t="s">
        <v>3476</v>
      </c>
      <c r="H1527" s="356" t="s">
        <v>3476</v>
      </c>
    </row>
    <row r="1528" spans="1:8" x14ac:dyDescent="0.25">
      <c r="A1528" s="4">
        <v>39130</v>
      </c>
      <c r="B1528" s="122" t="s">
        <v>1417</v>
      </c>
      <c r="C1528" s="12">
        <v>2.0099999999999998</v>
      </c>
      <c r="D1528" s="95">
        <v>1.76</v>
      </c>
      <c r="E1528" s="101">
        <f t="shared" ref="E1528:E1544" si="203">+$C1528*$E$2</f>
        <v>77719.986600000004</v>
      </c>
      <c r="F1528" s="331">
        <f t="shared" ref="F1528:F1544" si="204">+$D1528*$F$2</f>
        <v>74645.119999999995</v>
      </c>
      <c r="G1528" s="338">
        <f t="shared" ref="G1528:G1544" si="205">+$D1528*$G$2</f>
        <v>82834.399999999994</v>
      </c>
      <c r="H1528" s="338">
        <f t="shared" ref="H1528:H1544" si="206">+$D1528*$H$2</f>
        <v>87646.24</v>
      </c>
    </row>
    <row r="1529" spans="1:8" x14ac:dyDescent="0.25">
      <c r="A1529" s="3">
        <v>39131</v>
      </c>
      <c r="B1529" s="118" t="s">
        <v>1418</v>
      </c>
      <c r="C1529" s="5">
        <v>1.51</v>
      </c>
      <c r="D1529" s="95">
        <v>1.32</v>
      </c>
      <c r="E1529" s="101">
        <f t="shared" si="203"/>
        <v>58386.656600000002</v>
      </c>
      <c r="F1529" s="331">
        <f t="shared" si="204"/>
        <v>55983.840000000004</v>
      </c>
      <c r="G1529" s="338">
        <f t="shared" si="205"/>
        <v>62125.8</v>
      </c>
      <c r="H1529" s="338">
        <f t="shared" si="206"/>
        <v>65734.680000000008</v>
      </c>
    </row>
    <row r="1530" spans="1:8" x14ac:dyDescent="0.25">
      <c r="A1530" s="3">
        <v>39132</v>
      </c>
      <c r="B1530" s="119" t="s">
        <v>1549</v>
      </c>
      <c r="C1530" s="5">
        <v>1.48</v>
      </c>
      <c r="D1530" s="95">
        <v>1.3</v>
      </c>
      <c r="E1530" s="101">
        <f t="shared" si="203"/>
        <v>57226.656800000004</v>
      </c>
      <c r="F1530" s="331">
        <f t="shared" si="204"/>
        <v>55135.6</v>
      </c>
      <c r="G1530" s="338">
        <f t="shared" si="205"/>
        <v>61184.5</v>
      </c>
      <c r="H1530" s="338">
        <f t="shared" si="206"/>
        <v>64738.700000000004</v>
      </c>
    </row>
    <row r="1531" spans="1:8" x14ac:dyDescent="0.25">
      <c r="A1531" s="3">
        <v>39133</v>
      </c>
      <c r="B1531" s="119" t="s">
        <v>1550</v>
      </c>
      <c r="C1531" s="5">
        <v>1.91</v>
      </c>
      <c r="D1531" s="95">
        <v>1.68</v>
      </c>
      <c r="E1531" s="101">
        <f t="shared" si="203"/>
        <v>73853.320600000006</v>
      </c>
      <c r="F1531" s="331">
        <f t="shared" si="204"/>
        <v>71252.160000000003</v>
      </c>
      <c r="G1531" s="338">
        <f t="shared" si="205"/>
        <v>79069.2</v>
      </c>
      <c r="H1531" s="338">
        <f t="shared" si="206"/>
        <v>83662.319999999992</v>
      </c>
    </row>
    <row r="1532" spans="1:8" x14ac:dyDescent="0.25">
      <c r="A1532" s="3">
        <v>39134</v>
      </c>
      <c r="B1532" s="119" t="s">
        <v>1551</v>
      </c>
      <c r="C1532" s="5">
        <v>2.04</v>
      </c>
      <c r="D1532" s="95">
        <v>1.79</v>
      </c>
      <c r="E1532" s="101">
        <f t="shared" si="203"/>
        <v>78879.986400000009</v>
      </c>
      <c r="F1532" s="331">
        <f t="shared" si="204"/>
        <v>75917.48</v>
      </c>
      <c r="G1532" s="338">
        <f t="shared" si="205"/>
        <v>84246.35</v>
      </c>
      <c r="H1532" s="338">
        <f t="shared" si="206"/>
        <v>89140.21</v>
      </c>
    </row>
    <row r="1533" spans="1:8" x14ac:dyDescent="0.25">
      <c r="A1533" s="3">
        <v>39135</v>
      </c>
      <c r="B1533" s="119" t="s">
        <v>1552</v>
      </c>
      <c r="C1533" s="5">
        <v>1.41</v>
      </c>
      <c r="D1533" s="95">
        <v>1.24</v>
      </c>
      <c r="E1533" s="101">
        <f t="shared" si="203"/>
        <v>54519.990600000005</v>
      </c>
      <c r="F1533" s="331">
        <f t="shared" si="204"/>
        <v>52590.879999999997</v>
      </c>
      <c r="G1533" s="338">
        <f t="shared" si="205"/>
        <v>58360.6</v>
      </c>
      <c r="H1533" s="338">
        <f t="shared" si="206"/>
        <v>61750.76</v>
      </c>
    </row>
    <row r="1534" spans="1:8" x14ac:dyDescent="0.25">
      <c r="A1534" s="3">
        <v>39136</v>
      </c>
      <c r="B1534" s="118" t="s">
        <v>1419</v>
      </c>
      <c r="C1534" s="5">
        <v>4.1399999999999997</v>
      </c>
      <c r="D1534" s="95">
        <v>3.63</v>
      </c>
      <c r="E1534" s="101">
        <f t="shared" si="203"/>
        <v>160079.9724</v>
      </c>
      <c r="F1534" s="331">
        <f t="shared" si="204"/>
        <v>153955.56</v>
      </c>
      <c r="G1534" s="338">
        <f t="shared" si="205"/>
        <v>170845.94999999998</v>
      </c>
      <c r="H1534" s="338">
        <f t="shared" si="206"/>
        <v>180770.37</v>
      </c>
    </row>
    <row r="1535" spans="1:8" x14ac:dyDescent="0.25">
      <c r="A1535" s="3">
        <v>39137</v>
      </c>
      <c r="B1535" s="118" t="s">
        <v>1420</v>
      </c>
      <c r="C1535" s="5">
        <v>1.48</v>
      </c>
      <c r="D1535" s="95">
        <v>1.3</v>
      </c>
      <c r="E1535" s="101">
        <f t="shared" si="203"/>
        <v>57226.656800000004</v>
      </c>
      <c r="F1535" s="331">
        <f t="shared" si="204"/>
        <v>55135.6</v>
      </c>
      <c r="G1535" s="338">
        <f t="shared" si="205"/>
        <v>61184.5</v>
      </c>
      <c r="H1535" s="338">
        <f t="shared" si="206"/>
        <v>64738.700000000004</v>
      </c>
    </row>
    <row r="1536" spans="1:8" x14ac:dyDescent="0.25">
      <c r="A1536" s="3">
        <v>39138</v>
      </c>
      <c r="B1536" s="118" t="s">
        <v>1421</v>
      </c>
      <c r="C1536" s="5">
        <v>1.48</v>
      </c>
      <c r="D1536" s="95">
        <v>1.3</v>
      </c>
      <c r="E1536" s="101">
        <f t="shared" si="203"/>
        <v>57226.656800000004</v>
      </c>
      <c r="F1536" s="331">
        <f t="shared" si="204"/>
        <v>55135.6</v>
      </c>
      <c r="G1536" s="338">
        <f t="shared" si="205"/>
        <v>61184.5</v>
      </c>
      <c r="H1536" s="338">
        <f t="shared" si="206"/>
        <v>64738.700000000004</v>
      </c>
    </row>
    <row r="1537" spans="1:8" x14ac:dyDescent="0.25">
      <c r="A1537" s="3">
        <v>39139</v>
      </c>
      <c r="B1537" s="118" t="s">
        <v>1422</v>
      </c>
      <c r="C1537" s="5">
        <v>1.48</v>
      </c>
      <c r="D1537" s="95">
        <v>1.3</v>
      </c>
      <c r="E1537" s="101">
        <f t="shared" si="203"/>
        <v>57226.656800000004</v>
      </c>
      <c r="F1537" s="331">
        <f t="shared" si="204"/>
        <v>55135.6</v>
      </c>
      <c r="G1537" s="338">
        <f t="shared" si="205"/>
        <v>61184.5</v>
      </c>
      <c r="H1537" s="338">
        <f t="shared" si="206"/>
        <v>64738.700000000004</v>
      </c>
    </row>
    <row r="1538" spans="1:8" x14ac:dyDescent="0.25">
      <c r="A1538" s="3">
        <v>39140</v>
      </c>
      <c r="B1538" s="118" t="s">
        <v>1423</v>
      </c>
      <c r="C1538" s="5">
        <v>1.91</v>
      </c>
      <c r="D1538" s="95">
        <v>1.68</v>
      </c>
      <c r="E1538" s="101">
        <f t="shared" si="203"/>
        <v>73853.320600000006</v>
      </c>
      <c r="F1538" s="331">
        <f t="shared" si="204"/>
        <v>71252.160000000003</v>
      </c>
      <c r="G1538" s="338">
        <f t="shared" si="205"/>
        <v>79069.2</v>
      </c>
      <c r="H1538" s="338">
        <f t="shared" si="206"/>
        <v>83662.319999999992</v>
      </c>
    </row>
    <row r="1539" spans="1:8" x14ac:dyDescent="0.25">
      <c r="A1539" s="3">
        <v>39141</v>
      </c>
      <c r="B1539" s="118" t="s">
        <v>1424</v>
      </c>
      <c r="C1539" s="6">
        <v>1.2</v>
      </c>
      <c r="D1539" s="95">
        <v>1.05</v>
      </c>
      <c r="E1539" s="101">
        <f t="shared" si="203"/>
        <v>46399.992000000006</v>
      </c>
      <c r="F1539" s="331">
        <f t="shared" si="204"/>
        <v>44532.6</v>
      </c>
      <c r="G1539" s="338">
        <f t="shared" si="205"/>
        <v>49418.25</v>
      </c>
      <c r="H1539" s="338">
        <f t="shared" si="206"/>
        <v>52288.950000000004</v>
      </c>
    </row>
    <row r="1540" spans="1:8" x14ac:dyDescent="0.25">
      <c r="A1540" s="3">
        <v>39143</v>
      </c>
      <c r="B1540" s="118" t="s">
        <v>1425</v>
      </c>
      <c r="C1540" s="5">
        <v>1.73</v>
      </c>
      <c r="D1540" s="95">
        <v>1.52</v>
      </c>
      <c r="E1540" s="101">
        <f t="shared" si="203"/>
        <v>66893.321800000005</v>
      </c>
      <c r="F1540" s="331">
        <f t="shared" si="204"/>
        <v>64466.239999999998</v>
      </c>
      <c r="G1540" s="338">
        <f t="shared" si="205"/>
        <v>71538.8</v>
      </c>
      <c r="H1540" s="338">
        <f t="shared" si="206"/>
        <v>75694.48</v>
      </c>
    </row>
    <row r="1541" spans="1:8" x14ac:dyDescent="0.25">
      <c r="A1541" s="3">
        <v>39144</v>
      </c>
      <c r="B1541" s="118" t="s">
        <v>1426</v>
      </c>
      <c r="C1541" s="5">
        <v>3.49</v>
      </c>
      <c r="D1541" s="95">
        <v>3.06</v>
      </c>
      <c r="E1541" s="101">
        <f t="shared" si="203"/>
        <v>134946.64340000003</v>
      </c>
      <c r="F1541" s="331">
        <f t="shared" si="204"/>
        <v>129780.72</v>
      </c>
      <c r="G1541" s="338">
        <f t="shared" si="205"/>
        <v>144018.9</v>
      </c>
      <c r="H1541" s="338">
        <f t="shared" si="206"/>
        <v>152384.94</v>
      </c>
    </row>
    <row r="1542" spans="1:8" x14ac:dyDescent="0.25">
      <c r="A1542" s="3">
        <v>39145</v>
      </c>
      <c r="B1542" s="118" t="s">
        <v>1427</v>
      </c>
      <c r="C1542" s="5">
        <v>1.97</v>
      </c>
      <c r="D1542" s="95">
        <v>1.73</v>
      </c>
      <c r="E1542" s="101">
        <f t="shared" si="203"/>
        <v>76173.320200000002</v>
      </c>
      <c r="F1542" s="331">
        <f t="shared" si="204"/>
        <v>73372.759999999995</v>
      </c>
      <c r="G1542" s="338">
        <f t="shared" si="205"/>
        <v>81422.45</v>
      </c>
      <c r="H1542" s="338">
        <f t="shared" si="206"/>
        <v>86152.27</v>
      </c>
    </row>
    <row r="1543" spans="1:8" x14ac:dyDescent="0.25">
      <c r="A1543" s="3">
        <v>39146</v>
      </c>
      <c r="B1543" s="118" t="s">
        <v>1428</v>
      </c>
      <c r="C1543" s="5">
        <v>0.56000000000000005</v>
      </c>
      <c r="D1543" s="95">
        <v>0.49</v>
      </c>
      <c r="E1543" s="101">
        <f t="shared" si="203"/>
        <v>21653.329600000005</v>
      </c>
      <c r="F1543" s="331">
        <f t="shared" si="204"/>
        <v>20781.88</v>
      </c>
      <c r="G1543" s="338">
        <f t="shared" si="205"/>
        <v>23061.85</v>
      </c>
      <c r="H1543" s="338">
        <f t="shared" si="206"/>
        <v>24401.51</v>
      </c>
    </row>
    <row r="1544" spans="1:8" ht="14.4" thickBot="1" x14ac:dyDescent="0.3">
      <c r="A1544" s="8">
        <v>39149</v>
      </c>
      <c r="B1544" s="121" t="s">
        <v>1429</v>
      </c>
      <c r="C1544" s="10">
        <v>2.0099999999999998</v>
      </c>
      <c r="D1544" s="89">
        <v>1.76</v>
      </c>
      <c r="E1544" s="101">
        <f t="shared" si="203"/>
        <v>77719.986600000004</v>
      </c>
      <c r="F1544" s="207">
        <f t="shared" si="204"/>
        <v>74645.119999999995</v>
      </c>
      <c r="G1544" s="338">
        <f t="shared" si="205"/>
        <v>82834.399999999994</v>
      </c>
      <c r="H1544" s="338">
        <f t="shared" si="206"/>
        <v>87646.24</v>
      </c>
    </row>
    <row r="1545" spans="1:8" ht="42" thickBot="1" x14ac:dyDescent="0.35">
      <c r="A1545" s="232" t="s">
        <v>3510</v>
      </c>
      <c r="B1545" s="174"/>
      <c r="C1545" s="174"/>
      <c r="D1545" s="354" t="s">
        <v>3476</v>
      </c>
      <c r="E1545" s="354" t="s">
        <v>3476</v>
      </c>
      <c r="F1545" s="354" t="s">
        <v>3476</v>
      </c>
      <c r="G1545" s="355" t="s">
        <v>3476</v>
      </c>
      <c r="H1545" s="356" t="s">
        <v>3476</v>
      </c>
    </row>
    <row r="1546" spans="1:8" ht="14.4" thickBot="1" x14ac:dyDescent="0.3">
      <c r="A1546" s="232" t="s">
        <v>3511</v>
      </c>
      <c r="B1546" s="167"/>
      <c r="C1546" s="167"/>
      <c r="D1546" s="354" t="s">
        <v>3476</v>
      </c>
      <c r="E1546" s="354" t="s">
        <v>3476</v>
      </c>
      <c r="F1546" s="354" t="s">
        <v>3476</v>
      </c>
      <c r="G1546" s="355" t="s">
        <v>3476</v>
      </c>
      <c r="H1546" s="356" t="s">
        <v>3476</v>
      </c>
    </row>
    <row r="1547" spans="1:8" ht="14.4" thickBot="1" x14ac:dyDescent="0.35">
      <c r="A1547" s="232" t="s">
        <v>3512</v>
      </c>
      <c r="B1547" s="174"/>
      <c r="C1547" s="35"/>
      <c r="D1547" s="354" t="s">
        <v>3476</v>
      </c>
      <c r="E1547" s="354" t="s">
        <v>3476</v>
      </c>
      <c r="F1547" s="354" t="s">
        <v>3476</v>
      </c>
      <c r="G1547" s="355" t="s">
        <v>3476</v>
      </c>
      <c r="H1547" s="356" t="s">
        <v>3476</v>
      </c>
    </row>
    <row r="1548" spans="1:8" ht="14.4" thickBot="1" x14ac:dyDescent="0.3">
      <c r="A1548" s="232" t="s">
        <v>3513</v>
      </c>
      <c r="B1548" s="208"/>
      <c r="C1548" s="208"/>
      <c r="D1548" s="354" t="s">
        <v>3476</v>
      </c>
      <c r="E1548" s="354" t="s">
        <v>3476</v>
      </c>
      <c r="F1548" s="354" t="s">
        <v>3476</v>
      </c>
      <c r="G1548" s="355" t="s">
        <v>3476</v>
      </c>
      <c r="H1548" s="356" t="s">
        <v>3476</v>
      </c>
    </row>
    <row r="1549" spans="1:8" ht="28.2" thickBot="1" x14ac:dyDescent="0.35">
      <c r="A1549" s="232" t="s">
        <v>3514</v>
      </c>
      <c r="B1549" s="174"/>
      <c r="C1549" s="174"/>
      <c r="D1549" s="354" t="s">
        <v>3476</v>
      </c>
      <c r="E1549" s="354" t="s">
        <v>3476</v>
      </c>
      <c r="F1549" s="354" t="s">
        <v>3476</v>
      </c>
      <c r="G1549" s="355" t="s">
        <v>3476</v>
      </c>
      <c r="H1549" s="356" t="s">
        <v>3476</v>
      </c>
    </row>
    <row r="1550" spans="1:8" ht="14.4" thickBot="1" x14ac:dyDescent="0.3">
      <c r="A1550" s="232" t="s">
        <v>3515</v>
      </c>
      <c r="B1550" s="167"/>
      <c r="C1550" s="167"/>
      <c r="D1550" s="354" t="s">
        <v>3476</v>
      </c>
      <c r="E1550" s="354" t="s">
        <v>3476</v>
      </c>
      <c r="F1550" s="354" t="s">
        <v>3476</v>
      </c>
      <c r="G1550" s="355" t="s">
        <v>3476</v>
      </c>
      <c r="H1550" s="356" t="s">
        <v>3476</v>
      </c>
    </row>
    <row r="1551" spans="1:8" ht="28.2" thickBot="1" x14ac:dyDescent="0.35">
      <c r="A1551" s="232" t="s">
        <v>3516</v>
      </c>
      <c r="B1551" s="174"/>
      <c r="C1551" s="174"/>
      <c r="D1551" s="354" t="s">
        <v>3476</v>
      </c>
      <c r="E1551" s="354" t="s">
        <v>3476</v>
      </c>
      <c r="F1551" s="354" t="s">
        <v>3476</v>
      </c>
      <c r="G1551" s="355" t="s">
        <v>3476</v>
      </c>
      <c r="H1551" s="356" t="s">
        <v>3476</v>
      </c>
    </row>
    <row r="1552" spans="1:8" ht="28.2" thickBot="1" x14ac:dyDescent="0.3">
      <c r="A1552" s="232" t="s">
        <v>3517</v>
      </c>
      <c r="B1552" s="167"/>
      <c r="C1552" s="167"/>
      <c r="D1552" s="354" t="s">
        <v>3476</v>
      </c>
      <c r="E1552" s="354" t="s">
        <v>3476</v>
      </c>
      <c r="F1552" s="354" t="s">
        <v>3476</v>
      </c>
      <c r="G1552" s="355" t="s">
        <v>3476</v>
      </c>
      <c r="H1552" s="356" t="s">
        <v>3476</v>
      </c>
    </row>
    <row r="1553" spans="1:8" ht="28.2" thickBot="1" x14ac:dyDescent="0.35">
      <c r="A1553" s="232" t="s">
        <v>3518</v>
      </c>
      <c r="B1553" s="174"/>
      <c r="C1553" s="174"/>
      <c r="D1553" s="354" t="s">
        <v>3476</v>
      </c>
      <c r="E1553" s="354" t="s">
        <v>3476</v>
      </c>
      <c r="F1553" s="354" t="s">
        <v>3476</v>
      </c>
      <c r="G1553" s="355" t="s">
        <v>3476</v>
      </c>
      <c r="H1553" s="356" t="s">
        <v>3476</v>
      </c>
    </row>
    <row r="1554" spans="1:8" ht="28.2" thickBot="1" x14ac:dyDescent="0.3">
      <c r="A1554" s="232" t="s">
        <v>3519</v>
      </c>
      <c r="B1554" s="159"/>
      <c r="C1554" s="159"/>
      <c r="D1554" s="354" t="s">
        <v>3476</v>
      </c>
      <c r="E1554" s="354" t="s">
        <v>3476</v>
      </c>
      <c r="F1554" s="354" t="s">
        <v>3476</v>
      </c>
      <c r="G1554" s="355" t="s">
        <v>3476</v>
      </c>
      <c r="H1554" s="356" t="s">
        <v>3476</v>
      </c>
    </row>
    <row r="1555" spans="1:8" ht="14.4" thickBot="1" x14ac:dyDescent="0.3">
      <c r="A1555" s="107" t="s">
        <v>1430</v>
      </c>
      <c r="B1555" s="134"/>
      <c r="C1555" s="134"/>
      <c r="D1555" s="354" t="s">
        <v>3476</v>
      </c>
      <c r="E1555" s="354" t="s">
        <v>3476</v>
      </c>
      <c r="F1555" s="354" t="s">
        <v>3476</v>
      </c>
      <c r="G1555" s="355" t="s">
        <v>3476</v>
      </c>
      <c r="H1555" s="356" t="s">
        <v>3476</v>
      </c>
    </row>
    <row r="1556" spans="1:8" x14ac:dyDescent="0.25">
      <c r="A1556" s="4">
        <v>39204</v>
      </c>
      <c r="B1556" s="122" t="s">
        <v>1431</v>
      </c>
      <c r="C1556" s="12">
        <v>4.84</v>
      </c>
      <c r="D1556" s="5">
        <v>4.25</v>
      </c>
      <c r="E1556" s="101">
        <f t="shared" ref="E1556:E1571" si="207">+$C1556*$E$2</f>
        <v>187146.63440000001</v>
      </c>
      <c r="F1556" s="331">
        <f t="shared" ref="F1556:F1571" si="208">+$D1556*$F$2</f>
        <v>180251</v>
      </c>
      <c r="G1556" s="338">
        <f t="shared" ref="G1556:G1571" si="209">+$D1556*$G$2</f>
        <v>200026.25</v>
      </c>
      <c r="H1556" s="338">
        <f t="shared" ref="H1556:H1571" si="210">+$D1556*$H$2</f>
        <v>211645.75</v>
      </c>
    </row>
    <row r="1557" spans="1:8" x14ac:dyDescent="0.25">
      <c r="A1557" s="3">
        <v>39205</v>
      </c>
      <c r="B1557" s="118" t="s">
        <v>1432</v>
      </c>
      <c r="C1557" s="5">
        <v>5.97</v>
      </c>
      <c r="D1557" s="5">
        <v>5.24</v>
      </c>
      <c r="E1557" s="101">
        <f t="shared" si="207"/>
        <v>230839.9602</v>
      </c>
      <c r="F1557" s="331">
        <f t="shared" si="208"/>
        <v>222238.88</v>
      </c>
      <c r="G1557" s="338">
        <f t="shared" si="209"/>
        <v>246620.6</v>
      </c>
      <c r="H1557" s="338">
        <f t="shared" si="210"/>
        <v>260946.76</v>
      </c>
    </row>
    <row r="1558" spans="1:8" x14ac:dyDescent="0.25">
      <c r="A1558" s="3">
        <v>39206</v>
      </c>
      <c r="B1558" s="118" t="s">
        <v>1433</v>
      </c>
      <c r="C1558" s="5">
        <v>7.61</v>
      </c>
      <c r="D1558" s="5">
        <v>6.67</v>
      </c>
      <c r="E1558" s="101">
        <f t="shared" si="207"/>
        <v>294253.28260000004</v>
      </c>
      <c r="F1558" s="331">
        <f t="shared" si="208"/>
        <v>282888.03999999998</v>
      </c>
      <c r="G1558" s="338">
        <f t="shared" si="209"/>
        <v>313923.55</v>
      </c>
      <c r="H1558" s="338">
        <f t="shared" si="210"/>
        <v>332159.33</v>
      </c>
    </row>
    <row r="1559" spans="1:8" x14ac:dyDescent="0.25">
      <c r="A1559" s="3">
        <v>39207</v>
      </c>
      <c r="B1559" s="118" t="s">
        <v>1434</v>
      </c>
      <c r="C1559" s="5">
        <v>10.45</v>
      </c>
      <c r="D1559" s="5">
        <v>9.17</v>
      </c>
      <c r="E1559" s="101">
        <f t="shared" si="207"/>
        <v>404066.59700000001</v>
      </c>
      <c r="F1559" s="331">
        <f t="shared" si="208"/>
        <v>388918.04</v>
      </c>
      <c r="G1559" s="338">
        <f t="shared" si="209"/>
        <v>431586.05</v>
      </c>
      <c r="H1559" s="338">
        <f t="shared" si="210"/>
        <v>456656.83</v>
      </c>
    </row>
    <row r="1560" spans="1:8" x14ac:dyDescent="0.25">
      <c r="A1560" s="3">
        <v>39208</v>
      </c>
      <c r="B1560" s="118" t="s">
        <v>1401</v>
      </c>
      <c r="C1560" s="5">
        <v>15.13</v>
      </c>
      <c r="D1560" s="5">
        <v>13.27</v>
      </c>
      <c r="E1560" s="101">
        <f t="shared" si="207"/>
        <v>585026.5658000001</v>
      </c>
      <c r="F1560" s="331">
        <f t="shared" si="208"/>
        <v>562807.24</v>
      </c>
      <c r="G1560" s="338">
        <f t="shared" si="209"/>
        <v>624552.54999999993</v>
      </c>
      <c r="H1560" s="338">
        <f t="shared" si="210"/>
        <v>660832.73</v>
      </c>
    </row>
    <row r="1561" spans="1:8" x14ac:dyDescent="0.25">
      <c r="A1561" s="3">
        <v>39209</v>
      </c>
      <c r="B1561" s="118" t="s">
        <v>1402</v>
      </c>
      <c r="C1561" s="5">
        <v>16.88</v>
      </c>
      <c r="D1561" s="5">
        <v>14.81</v>
      </c>
      <c r="E1561" s="101">
        <f t="shared" si="207"/>
        <v>652693.22080000001</v>
      </c>
      <c r="F1561" s="331">
        <f t="shared" si="208"/>
        <v>628121.72</v>
      </c>
      <c r="G1561" s="338">
        <f t="shared" si="209"/>
        <v>697032.65</v>
      </c>
      <c r="H1561" s="338">
        <f t="shared" si="210"/>
        <v>737523.19000000006</v>
      </c>
    </row>
    <row r="1562" spans="1:8" x14ac:dyDescent="0.25">
      <c r="A1562" s="3">
        <v>39210</v>
      </c>
      <c r="B1562" s="118" t="s">
        <v>1389</v>
      </c>
      <c r="C1562" s="5">
        <v>18.510000000000002</v>
      </c>
      <c r="D1562" s="5">
        <v>16.239999999999998</v>
      </c>
      <c r="E1562" s="101">
        <f t="shared" si="207"/>
        <v>715719.87660000008</v>
      </c>
      <c r="F1562" s="331">
        <f t="shared" si="208"/>
        <v>688770.87999999989</v>
      </c>
      <c r="G1562" s="338">
        <f t="shared" si="209"/>
        <v>764335.6</v>
      </c>
      <c r="H1562" s="338">
        <f t="shared" si="210"/>
        <v>808735.75999999989</v>
      </c>
    </row>
    <row r="1563" spans="1:8" x14ac:dyDescent="0.25">
      <c r="A1563" s="3">
        <v>39211</v>
      </c>
      <c r="B1563" s="118" t="s">
        <v>1403</v>
      </c>
      <c r="C1563" s="5">
        <v>21.1</v>
      </c>
      <c r="D1563" s="5">
        <v>18.510000000000002</v>
      </c>
      <c r="E1563" s="101">
        <f t="shared" si="207"/>
        <v>815866.52600000007</v>
      </c>
      <c r="F1563" s="331">
        <f t="shared" si="208"/>
        <v>785046.12000000011</v>
      </c>
      <c r="G1563" s="338">
        <f t="shared" si="209"/>
        <v>871173.15</v>
      </c>
      <c r="H1563" s="338">
        <f t="shared" si="210"/>
        <v>921779.49000000011</v>
      </c>
    </row>
    <row r="1564" spans="1:8" x14ac:dyDescent="0.25">
      <c r="A1564" s="3">
        <v>39212</v>
      </c>
      <c r="B1564" s="118" t="s">
        <v>1404</v>
      </c>
      <c r="C1564" s="5">
        <v>28.08</v>
      </c>
      <c r="D1564" s="5">
        <v>24.63</v>
      </c>
      <c r="E1564" s="101">
        <f t="shared" si="207"/>
        <v>1085759.8128</v>
      </c>
      <c r="F1564" s="331">
        <f t="shared" si="208"/>
        <v>1044607.5599999999</v>
      </c>
      <c r="G1564" s="338">
        <f t="shared" si="209"/>
        <v>1159210.95</v>
      </c>
      <c r="H1564" s="338">
        <f t="shared" si="210"/>
        <v>1226549.3699999999</v>
      </c>
    </row>
    <row r="1565" spans="1:8" x14ac:dyDescent="0.25">
      <c r="A1565" s="3">
        <v>39213</v>
      </c>
      <c r="B1565" s="118" t="s">
        <v>1405</v>
      </c>
      <c r="C1565" s="5">
        <v>29.95</v>
      </c>
      <c r="D1565" s="5">
        <v>26.27</v>
      </c>
      <c r="E1565" s="101">
        <f t="shared" si="207"/>
        <v>1158066.4670000002</v>
      </c>
      <c r="F1565" s="331">
        <f t="shared" si="208"/>
        <v>1114163.24</v>
      </c>
      <c r="G1565" s="338">
        <f t="shared" si="209"/>
        <v>1236397.55</v>
      </c>
      <c r="H1565" s="338">
        <f t="shared" si="210"/>
        <v>1308219.73</v>
      </c>
    </row>
    <row r="1566" spans="1:8" x14ac:dyDescent="0.25">
      <c r="A1566" s="3">
        <v>39214</v>
      </c>
      <c r="B1566" s="118" t="s">
        <v>1406</v>
      </c>
      <c r="C1566" s="5">
        <v>31.47</v>
      </c>
      <c r="D1566" s="5">
        <v>27.6</v>
      </c>
      <c r="E1566" s="101">
        <f t="shared" si="207"/>
        <v>1216839.7902000002</v>
      </c>
      <c r="F1566" s="331">
        <f t="shared" si="208"/>
        <v>1170571.2</v>
      </c>
      <c r="G1566" s="338">
        <f t="shared" si="209"/>
        <v>1298994</v>
      </c>
      <c r="H1566" s="338">
        <f t="shared" si="210"/>
        <v>1374452.4000000001</v>
      </c>
    </row>
    <row r="1567" spans="1:8" x14ac:dyDescent="0.25">
      <c r="A1567" s="3">
        <v>39215</v>
      </c>
      <c r="B1567" s="118" t="s">
        <v>1407</v>
      </c>
      <c r="C1567" s="5">
        <v>33.159999999999997</v>
      </c>
      <c r="D1567" s="5">
        <v>29.08</v>
      </c>
      <c r="E1567" s="101">
        <f t="shared" si="207"/>
        <v>1282186.4456</v>
      </c>
      <c r="F1567" s="331">
        <f t="shared" si="208"/>
        <v>1233340.96</v>
      </c>
      <c r="G1567" s="338">
        <f t="shared" si="209"/>
        <v>1368650.2</v>
      </c>
      <c r="H1567" s="338">
        <f t="shared" si="210"/>
        <v>1448154.92</v>
      </c>
    </row>
    <row r="1568" spans="1:8" x14ac:dyDescent="0.25">
      <c r="A1568" s="3">
        <v>39216</v>
      </c>
      <c r="B1568" s="118" t="s">
        <v>1408</v>
      </c>
      <c r="C1568" s="5">
        <v>34.82</v>
      </c>
      <c r="D1568" s="5">
        <v>30.54</v>
      </c>
      <c r="E1568" s="101">
        <f t="shared" si="207"/>
        <v>1346373.1012000002</v>
      </c>
      <c r="F1568" s="331">
        <f t="shared" si="208"/>
        <v>1295262.48</v>
      </c>
      <c r="G1568" s="338">
        <f t="shared" si="209"/>
        <v>1437365.0999999999</v>
      </c>
      <c r="H1568" s="338">
        <f t="shared" si="210"/>
        <v>1520861.46</v>
      </c>
    </row>
    <row r="1569" spans="1:8" x14ac:dyDescent="0.25">
      <c r="A1569" s="3">
        <v>39217</v>
      </c>
      <c r="B1569" s="118" t="s">
        <v>1409</v>
      </c>
      <c r="C1569" s="5">
        <v>36.51</v>
      </c>
      <c r="D1569" s="5">
        <v>32.020000000000003</v>
      </c>
      <c r="E1569" s="101">
        <f t="shared" si="207"/>
        <v>1411719.7566</v>
      </c>
      <c r="F1569" s="331">
        <f t="shared" si="208"/>
        <v>1358032.2400000002</v>
      </c>
      <c r="G1569" s="338">
        <f t="shared" si="209"/>
        <v>1507021.3</v>
      </c>
      <c r="H1569" s="338">
        <f t="shared" si="210"/>
        <v>1594563.9800000002</v>
      </c>
    </row>
    <row r="1570" spans="1:8" x14ac:dyDescent="0.25">
      <c r="A1570" s="3">
        <v>39218</v>
      </c>
      <c r="B1570" s="118" t="s">
        <v>1410</v>
      </c>
      <c r="C1570" s="5">
        <v>38.340000000000003</v>
      </c>
      <c r="D1570" s="5">
        <v>33.630000000000003</v>
      </c>
      <c r="E1570" s="101">
        <f t="shared" si="207"/>
        <v>1482479.7444000002</v>
      </c>
      <c r="F1570" s="331">
        <f t="shared" si="208"/>
        <v>1426315.56</v>
      </c>
      <c r="G1570" s="338">
        <f t="shared" si="209"/>
        <v>1582795.9500000002</v>
      </c>
      <c r="H1570" s="338">
        <f t="shared" si="210"/>
        <v>1674740.37</v>
      </c>
    </row>
    <row r="1571" spans="1:8" ht="14.4" thickBot="1" x14ac:dyDescent="0.3">
      <c r="A1571" s="8">
        <v>39219</v>
      </c>
      <c r="B1571" s="121" t="s">
        <v>1411</v>
      </c>
      <c r="C1571" s="10">
        <v>48.07</v>
      </c>
      <c r="D1571" s="10">
        <v>42.16</v>
      </c>
      <c r="E1571" s="101">
        <f t="shared" si="207"/>
        <v>1858706.3462000003</v>
      </c>
      <c r="F1571" s="207">
        <f t="shared" si="208"/>
        <v>1788089.92</v>
      </c>
      <c r="G1571" s="338">
        <f t="shared" si="209"/>
        <v>1984260.4</v>
      </c>
      <c r="H1571" s="338">
        <f t="shared" si="210"/>
        <v>2099525.84</v>
      </c>
    </row>
    <row r="1572" spans="1:8" ht="55.8" thickBot="1" x14ac:dyDescent="0.3">
      <c r="A1572" s="232" t="s">
        <v>3520</v>
      </c>
      <c r="B1572" s="213"/>
      <c r="C1572" s="195"/>
      <c r="D1572" s="354" t="s">
        <v>3476</v>
      </c>
      <c r="E1572" s="354" t="s">
        <v>3476</v>
      </c>
      <c r="F1572" s="354" t="s">
        <v>3476</v>
      </c>
      <c r="G1572" s="355" t="s">
        <v>3476</v>
      </c>
      <c r="H1572" s="356" t="s">
        <v>3476</v>
      </c>
    </row>
    <row r="1573" spans="1:8" ht="14.4" thickBot="1" x14ac:dyDescent="0.3">
      <c r="A1573" s="232" t="s">
        <v>3521</v>
      </c>
      <c r="B1573" s="175"/>
      <c r="C1573" s="128"/>
      <c r="D1573" s="354" t="s">
        <v>3476</v>
      </c>
      <c r="E1573" s="354" t="s">
        <v>3476</v>
      </c>
      <c r="F1573" s="354" t="s">
        <v>3476</v>
      </c>
      <c r="G1573" s="355" t="s">
        <v>3476</v>
      </c>
      <c r="H1573" s="356" t="s">
        <v>3476</v>
      </c>
    </row>
    <row r="1574" spans="1:8" ht="28.2" thickBot="1" x14ac:dyDescent="0.3">
      <c r="A1574" s="232" t="s">
        <v>3522</v>
      </c>
      <c r="B1574" s="213"/>
      <c r="C1574" s="195"/>
      <c r="D1574" s="354" t="s">
        <v>3476</v>
      </c>
      <c r="E1574" s="354" t="s">
        <v>3476</v>
      </c>
      <c r="F1574" s="354" t="s">
        <v>3476</v>
      </c>
      <c r="G1574" s="355" t="s">
        <v>3476</v>
      </c>
      <c r="H1574" s="356" t="s">
        <v>3476</v>
      </c>
    </row>
    <row r="1575" spans="1:8" ht="14.4" thickBot="1" x14ac:dyDescent="0.3">
      <c r="A1575" s="81" t="s">
        <v>1435</v>
      </c>
      <c r="B1575" s="215"/>
      <c r="C1575" s="216"/>
      <c r="D1575" s="354" t="s">
        <v>3476</v>
      </c>
      <c r="E1575" s="354" t="s">
        <v>3476</v>
      </c>
      <c r="F1575" s="354" t="s">
        <v>3476</v>
      </c>
      <c r="G1575" s="355" t="s">
        <v>3476</v>
      </c>
      <c r="H1575" s="356" t="s">
        <v>3476</v>
      </c>
    </row>
    <row r="1576" spans="1:8" ht="14.4" thickBot="1" x14ac:dyDescent="0.3">
      <c r="A1576" s="87">
        <v>39220</v>
      </c>
      <c r="B1576" s="138" t="s">
        <v>1436</v>
      </c>
      <c r="C1576" s="89">
        <v>16.95</v>
      </c>
      <c r="D1576" s="89">
        <v>14.87</v>
      </c>
      <c r="E1576" s="101">
        <f t="shared" ref="E1576" si="211">+$C1576*$E$2</f>
        <v>655399.88699999999</v>
      </c>
      <c r="F1576" s="207">
        <f>+$D1576*$F$2</f>
        <v>630666.43999999994</v>
      </c>
      <c r="G1576" s="338">
        <f>+$D1576*$G$2</f>
        <v>699856.54999999993</v>
      </c>
      <c r="H1576" s="338">
        <f>+$D1576*$H$2</f>
        <v>740511.13</v>
      </c>
    </row>
    <row r="1577" spans="1:8" ht="28.2" thickBot="1" x14ac:dyDescent="0.3">
      <c r="A1577" s="232" t="s">
        <v>3523</v>
      </c>
      <c r="B1577" s="71"/>
      <c r="C1577" s="195"/>
      <c r="D1577" s="354" t="s">
        <v>3476</v>
      </c>
      <c r="E1577" s="354" t="s">
        <v>3476</v>
      </c>
      <c r="F1577" s="354" t="s">
        <v>3476</v>
      </c>
      <c r="G1577" s="355" t="s">
        <v>3476</v>
      </c>
      <c r="H1577" s="356" t="s">
        <v>3476</v>
      </c>
    </row>
    <row r="1578" spans="1:8" ht="42" thickBot="1" x14ac:dyDescent="0.35">
      <c r="A1578" s="232" t="s">
        <v>3524</v>
      </c>
      <c r="B1578" s="174"/>
      <c r="C1578" s="128"/>
      <c r="D1578" s="354" t="s">
        <v>3476</v>
      </c>
      <c r="E1578" s="354" t="s">
        <v>3476</v>
      </c>
      <c r="F1578" s="354" t="s">
        <v>3476</v>
      </c>
      <c r="G1578" s="355" t="s">
        <v>3476</v>
      </c>
      <c r="H1578" s="356" t="s">
        <v>3476</v>
      </c>
    </row>
    <row r="1579" spans="1:8" ht="28.2" thickBot="1" x14ac:dyDescent="0.35">
      <c r="A1579" s="232" t="s">
        <v>1437</v>
      </c>
      <c r="B1579" s="174"/>
      <c r="C1579" s="128"/>
      <c r="D1579" s="354" t="s">
        <v>3476</v>
      </c>
      <c r="E1579" s="354" t="s">
        <v>3476</v>
      </c>
      <c r="F1579" s="354" t="s">
        <v>3476</v>
      </c>
      <c r="G1579" s="355" t="s">
        <v>3476</v>
      </c>
      <c r="H1579" s="356" t="s">
        <v>3476</v>
      </c>
    </row>
    <row r="1580" spans="1:8" ht="28.2" thickBot="1" x14ac:dyDescent="0.3">
      <c r="A1580" s="232" t="s">
        <v>1438</v>
      </c>
      <c r="B1580" s="161"/>
      <c r="C1580" s="127"/>
      <c r="D1580" s="354" t="s">
        <v>3476</v>
      </c>
      <c r="E1580" s="354" t="s">
        <v>3476</v>
      </c>
      <c r="F1580" s="354" t="s">
        <v>3476</v>
      </c>
      <c r="G1580" s="355" t="s">
        <v>3476</v>
      </c>
      <c r="H1580" s="356" t="s">
        <v>3476</v>
      </c>
    </row>
    <row r="1581" spans="1:8" ht="42" thickBot="1" x14ac:dyDescent="0.3">
      <c r="A1581" s="232" t="s">
        <v>3525</v>
      </c>
      <c r="B1581" s="167"/>
      <c r="C1581" s="128"/>
      <c r="D1581" s="354" t="s">
        <v>3476</v>
      </c>
      <c r="E1581" s="354" t="s">
        <v>3476</v>
      </c>
      <c r="F1581" s="354" t="s">
        <v>3476</v>
      </c>
      <c r="G1581" s="355" t="s">
        <v>3476</v>
      </c>
      <c r="H1581" s="356" t="s">
        <v>3476</v>
      </c>
    </row>
    <row r="1582" spans="1:8" ht="14.4" thickBot="1" x14ac:dyDescent="0.3">
      <c r="A1582" s="232" t="s">
        <v>3526</v>
      </c>
      <c r="B1582" s="159"/>
      <c r="C1582" s="196"/>
      <c r="D1582" s="354" t="s">
        <v>3476</v>
      </c>
      <c r="E1582" s="354" t="s">
        <v>3476</v>
      </c>
      <c r="F1582" s="354" t="s">
        <v>3476</v>
      </c>
      <c r="G1582" s="355" t="s">
        <v>3476</v>
      </c>
      <c r="H1582" s="356" t="s">
        <v>3476</v>
      </c>
    </row>
    <row r="1583" spans="1:8" ht="14.4" thickBot="1" x14ac:dyDescent="0.3">
      <c r="A1583" s="218">
        <v>39221</v>
      </c>
      <c r="B1583" s="219" t="s">
        <v>1439</v>
      </c>
      <c r="C1583" s="131">
        <v>2.3199999999999998</v>
      </c>
      <c r="D1583" s="131">
        <v>2.0299999999999998</v>
      </c>
      <c r="E1583" s="189">
        <f t="shared" ref="E1583:E1586" si="212">+$C1583*$E$2</f>
        <v>89706.651200000008</v>
      </c>
      <c r="F1583" s="336">
        <f>+$D1583*$F$2</f>
        <v>86096.359999999986</v>
      </c>
      <c r="G1583" s="338">
        <f>+$D1583*$G$2</f>
        <v>95541.95</v>
      </c>
      <c r="H1583" s="338">
        <f>+$D1583*$H$2</f>
        <v>101091.96999999999</v>
      </c>
    </row>
    <row r="1584" spans="1:8" ht="14.4" thickBot="1" x14ac:dyDescent="0.3">
      <c r="A1584" s="232" t="s">
        <v>3527</v>
      </c>
      <c r="B1584" s="208"/>
      <c r="C1584" s="126"/>
      <c r="D1584" s="354" t="s">
        <v>3476</v>
      </c>
      <c r="E1584" s="354" t="s">
        <v>3476</v>
      </c>
      <c r="F1584" s="354" t="s">
        <v>3476</v>
      </c>
      <c r="G1584" s="355" t="s">
        <v>3476</v>
      </c>
      <c r="H1584" s="356" t="s">
        <v>3476</v>
      </c>
    </row>
    <row r="1585" spans="1:8" x14ac:dyDescent="0.25">
      <c r="A1585" s="4">
        <v>39201</v>
      </c>
      <c r="B1585" s="122" t="s">
        <v>1440</v>
      </c>
      <c r="C1585" s="12">
        <v>1.64</v>
      </c>
      <c r="D1585" s="12">
        <v>1.44</v>
      </c>
      <c r="E1585" s="130">
        <f t="shared" si="212"/>
        <v>63413.322400000005</v>
      </c>
      <c r="F1585" s="332">
        <f>+$D1585*$F$2</f>
        <v>61073.279999999999</v>
      </c>
      <c r="G1585" s="338">
        <f>+$D1585*$G$2</f>
        <v>67773.599999999991</v>
      </c>
      <c r="H1585" s="338">
        <f>+$D1585*$H$2</f>
        <v>71710.559999999998</v>
      </c>
    </row>
    <row r="1586" spans="1:8" ht="14.4" thickBot="1" x14ac:dyDescent="0.3">
      <c r="A1586" s="8">
        <v>39202</v>
      </c>
      <c r="B1586" s="121" t="s">
        <v>1441</v>
      </c>
      <c r="C1586" s="10">
        <v>0.71</v>
      </c>
      <c r="D1586" s="10">
        <v>0.62</v>
      </c>
      <c r="E1586" s="101">
        <f t="shared" si="212"/>
        <v>27453.328600000001</v>
      </c>
      <c r="F1586" s="207">
        <f>+$D1586*$F$2</f>
        <v>26295.439999999999</v>
      </c>
      <c r="G1586" s="338">
        <f>+$D1586*$G$2</f>
        <v>29180.3</v>
      </c>
      <c r="H1586" s="338">
        <f>+$D1586*$H$2</f>
        <v>30875.38</v>
      </c>
    </row>
    <row r="1587" spans="1:8" ht="14.4" thickBot="1" x14ac:dyDescent="0.3">
      <c r="A1587" s="232" t="s">
        <v>3528</v>
      </c>
      <c r="B1587" s="34"/>
      <c r="C1587" s="195"/>
      <c r="D1587" s="354" t="s">
        <v>3476</v>
      </c>
      <c r="E1587" s="354" t="s">
        <v>3476</v>
      </c>
      <c r="F1587" s="354" t="s">
        <v>3476</v>
      </c>
      <c r="G1587" s="355" t="s">
        <v>3476</v>
      </c>
      <c r="H1587" s="356" t="s">
        <v>3476</v>
      </c>
    </row>
    <row r="1588" spans="1:8" ht="28.2" thickBot="1" x14ac:dyDescent="0.3">
      <c r="A1588" s="232" t="s">
        <v>3529</v>
      </c>
      <c r="B1588" s="167"/>
      <c r="C1588" s="128"/>
      <c r="D1588" s="354" t="s">
        <v>3476</v>
      </c>
      <c r="E1588" s="354" t="s">
        <v>3476</v>
      </c>
      <c r="F1588" s="354" t="s">
        <v>3476</v>
      </c>
      <c r="G1588" s="355" t="s">
        <v>3476</v>
      </c>
      <c r="H1588" s="356" t="s">
        <v>3476</v>
      </c>
    </row>
    <row r="1589" spans="1:8" x14ac:dyDescent="0.25">
      <c r="A1589" s="4">
        <v>39301</v>
      </c>
      <c r="B1589" s="122" t="s">
        <v>1442</v>
      </c>
      <c r="C1589" s="12">
        <v>2.2799999999999998</v>
      </c>
      <c r="D1589" s="12">
        <v>2</v>
      </c>
      <c r="E1589" s="130">
        <f t="shared" ref="E1589:E1592" si="213">+$C1589*$E$2</f>
        <v>88159.984800000006</v>
      </c>
      <c r="F1589" s="332">
        <f>+$D1589*$F$2</f>
        <v>84824</v>
      </c>
      <c r="G1589" s="338">
        <f>+$D1589*$G$2</f>
        <v>94130</v>
      </c>
      <c r="H1589" s="338">
        <f>+$D1589*$H$2</f>
        <v>99598</v>
      </c>
    </row>
    <row r="1590" spans="1:8" x14ac:dyDescent="0.25">
      <c r="A1590" s="3">
        <v>39302</v>
      </c>
      <c r="B1590" s="118" t="s">
        <v>1443</v>
      </c>
      <c r="C1590" s="5">
        <v>4.2699999999999996</v>
      </c>
      <c r="D1590" s="5">
        <v>3.75</v>
      </c>
      <c r="E1590" s="101">
        <f t="shared" si="213"/>
        <v>165106.63819999999</v>
      </c>
      <c r="F1590" s="331">
        <f>+$D1590*$F$2</f>
        <v>159045</v>
      </c>
      <c r="G1590" s="338">
        <f>+$D1590*$G$2</f>
        <v>176493.75</v>
      </c>
      <c r="H1590" s="338">
        <f>+$D1590*$H$2</f>
        <v>186746.25</v>
      </c>
    </row>
    <row r="1591" spans="1:8" x14ac:dyDescent="0.25">
      <c r="A1591" s="3">
        <v>39303</v>
      </c>
      <c r="B1591" s="118" t="s">
        <v>1444</v>
      </c>
      <c r="C1591" s="5">
        <v>9.92</v>
      </c>
      <c r="D1591" s="5">
        <v>8.6999999999999993</v>
      </c>
      <c r="E1591" s="101">
        <f t="shared" si="213"/>
        <v>383573.26720000006</v>
      </c>
      <c r="F1591" s="331">
        <f>+$D1591*$F$2</f>
        <v>368984.39999999997</v>
      </c>
      <c r="G1591" s="338">
        <f>+$D1591*$G$2</f>
        <v>409465.49999999994</v>
      </c>
      <c r="H1591" s="338">
        <f>+$D1591*$H$2</f>
        <v>433251.3</v>
      </c>
    </row>
    <row r="1592" spans="1:8" ht="14.4" thickBot="1" x14ac:dyDescent="0.3">
      <c r="A1592" s="8">
        <v>39304</v>
      </c>
      <c r="B1592" s="121" t="s">
        <v>1445</v>
      </c>
      <c r="C1592" s="10">
        <v>15.72</v>
      </c>
      <c r="D1592" s="10">
        <v>13.79</v>
      </c>
      <c r="E1592" s="101">
        <f t="shared" si="213"/>
        <v>607839.89520000003</v>
      </c>
      <c r="F1592" s="207">
        <f>+$D1592*$F$2</f>
        <v>584861.48</v>
      </c>
      <c r="G1592" s="338">
        <f>+$D1592*$G$2</f>
        <v>649026.35</v>
      </c>
      <c r="H1592" s="338">
        <f>+$D1592*$H$2</f>
        <v>686728.21</v>
      </c>
    </row>
    <row r="1593" spans="1:8" ht="55.8" thickBot="1" x14ac:dyDescent="0.3">
      <c r="A1593" s="232" t="s">
        <v>3530</v>
      </c>
      <c r="B1593" s="208"/>
      <c r="C1593" s="128"/>
      <c r="D1593" s="354" t="s">
        <v>3476</v>
      </c>
      <c r="E1593" s="354" t="s">
        <v>3476</v>
      </c>
      <c r="F1593" s="354" t="s">
        <v>3476</v>
      </c>
      <c r="G1593" s="355" t="s">
        <v>3476</v>
      </c>
      <c r="H1593" s="356" t="s">
        <v>3476</v>
      </c>
    </row>
    <row r="1594" spans="1:8" ht="28.2" thickBot="1" x14ac:dyDescent="0.3">
      <c r="A1594" s="232" t="s">
        <v>3531</v>
      </c>
      <c r="B1594" s="159"/>
      <c r="C1594" s="196"/>
      <c r="D1594" s="354" t="s">
        <v>3476</v>
      </c>
      <c r="E1594" s="354" t="s">
        <v>3476</v>
      </c>
      <c r="F1594" s="354" t="s">
        <v>3476</v>
      </c>
      <c r="G1594" s="355" t="s">
        <v>3476</v>
      </c>
      <c r="H1594" s="356" t="s">
        <v>3476</v>
      </c>
    </row>
    <row r="1595" spans="1:8" ht="14.4" thickBot="1" x14ac:dyDescent="0.3">
      <c r="A1595" s="220">
        <v>39305</v>
      </c>
      <c r="B1595" s="221" t="s">
        <v>1446</v>
      </c>
      <c r="C1595" s="222">
        <v>2.31</v>
      </c>
      <c r="D1595" s="222">
        <v>2.0299999999999998</v>
      </c>
      <c r="E1595" s="198">
        <f t="shared" ref="E1595" si="214">+$C1595*$E$2</f>
        <v>89319.984600000011</v>
      </c>
      <c r="F1595" s="330">
        <f>+$D1595*$F$2</f>
        <v>86096.359999999986</v>
      </c>
      <c r="G1595" s="338">
        <f>+$D1595*$G$2</f>
        <v>95541.95</v>
      </c>
      <c r="H1595" s="338">
        <f>+$D1595*$H$2</f>
        <v>101091.96999999999</v>
      </c>
    </row>
    <row r="1596" spans="1:8" ht="28.2" thickBot="1" x14ac:dyDescent="0.3">
      <c r="A1596" s="232" t="s">
        <v>3532</v>
      </c>
      <c r="B1596" s="225"/>
      <c r="C1596" s="128"/>
      <c r="D1596" s="354" t="s">
        <v>3476</v>
      </c>
      <c r="E1596" s="354" t="s">
        <v>3476</v>
      </c>
      <c r="F1596" s="354" t="s">
        <v>3476</v>
      </c>
      <c r="G1596" s="355" t="s">
        <v>3476</v>
      </c>
      <c r="H1596" s="356" t="s">
        <v>3476</v>
      </c>
    </row>
    <row r="1597" spans="1:8" ht="28.2" thickBot="1" x14ac:dyDescent="0.3">
      <c r="A1597" s="232" t="s">
        <v>3533</v>
      </c>
      <c r="B1597" s="161"/>
      <c r="C1597" s="127"/>
      <c r="D1597" s="354" t="s">
        <v>3476</v>
      </c>
      <c r="E1597" s="354" t="s">
        <v>3476</v>
      </c>
      <c r="F1597" s="354" t="s">
        <v>3476</v>
      </c>
      <c r="G1597" s="355" t="s">
        <v>3476</v>
      </c>
      <c r="H1597" s="356" t="s">
        <v>3476</v>
      </c>
    </row>
    <row r="1598" spans="1:8" ht="28.2" thickBot="1" x14ac:dyDescent="0.3">
      <c r="A1598" s="232" t="s">
        <v>1447</v>
      </c>
      <c r="B1598" s="167"/>
      <c r="C1598" s="128"/>
      <c r="D1598" s="354" t="s">
        <v>3476</v>
      </c>
      <c r="E1598" s="354" t="s">
        <v>3476</v>
      </c>
      <c r="F1598" s="354" t="s">
        <v>3476</v>
      </c>
      <c r="G1598" s="355" t="s">
        <v>3476</v>
      </c>
      <c r="H1598" s="356" t="s">
        <v>3476</v>
      </c>
    </row>
    <row r="1599" spans="1:8" ht="42" thickBot="1" x14ac:dyDescent="0.3">
      <c r="A1599" s="232" t="s">
        <v>3534</v>
      </c>
      <c r="B1599" s="161"/>
      <c r="C1599" s="127"/>
      <c r="D1599" s="354" t="s">
        <v>3476</v>
      </c>
      <c r="E1599" s="354" t="s">
        <v>3476</v>
      </c>
      <c r="F1599" s="354" t="s">
        <v>3476</v>
      </c>
      <c r="G1599" s="355" t="s">
        <v>3476</v>
      </c>
      <c r="H1599" s="356" t="s">
        <v>3476</v>
      </c>
    </row>
    <row r="1600" spans="1:8" ht="42" thickBot="1" x14ac:dyDescent="0.3">
      <c r="A1600" s="232" t="s">
        <v>3535</v>
      </c>
      <c r="B1600" s="167"/>
      <c r="C1600" s="128"/>
      <c r="D1600" s="354" t="s">
        <v>3476</v>
      </c>
      <c r="E1600" s="354" t="s">
        <v>3476</v>
      </c>
      <c r="F1600" s="354" t="s">
        <v>3476</v>
      </c>
      <c r="G1600" s="355" t="s">
        <v>3476</v>
      </c>
      <c r="H1600" s="356" t="s">
        <v>3476</v>
      </c>
    </row>
    <row r="1601" spans="1:9" ht="55.8" thickBot="1" x14ac:dyDescent="0.3">
      <c r="A1601" s="232" t="s">
        <v>3536</v>
      </c>
      <c r="B1601" s="210"/>
      <c r="C1601" s="127"/>
      <c r="D1601" s="354" t="s">
        <v>3476</v>
      </c>
      <c r="E1601" s="354" t="s">
        <v>3476</v>
      </c>
      <c r="F1601" s="354" t="s">
        <v>3476</v>
      </c>
      <c r="G1601" s="355" t="s">
        <v>3476</v>
      </c>
      <c r="H1601" s="356" t="s">
        <v>3476</v>
      </c>
      <c r="I1601" s="120"/>
    </row>
    <row r="1602" spans="1:9" ht="83.4" thickBot="1" x14ac:dyDescent="0.3">
      <c r="A1602" s="232" t="s">
        <v>3537</v>
      </c>
      <c r="B1602" s="208"/>
      <c r="C1602" s="128"/>
      <c r="D1602" s="354" t="s">
        <v>3476</v>
      </c>
      <c r="E1602" s="354" t="s">
        <v>3476</v>
      </c>
      <c r="F1602" s="354" t="s">
        <v>3476</v>
      </c>
      <c r="G1602" s="355" t="s">
        <v>3476</v>
      </c>
      <c r="H1602" s="356" t="s">
        <v>3476</v>
      </c>
    </row>
    <row r="1603" spans="1:9" ht="14.4" thickBot="1" x14ac:dyDescent="0.3">
      <c r="A1603" s="232" t="s">
        <v>3538</v>
      </c>
      <c r="B1603" s="224"/>
      <c r="C1603" s="196"/>
      <c r="D1603" s="354" t="s">
        <v>3476</v>
      </c>
      <c r="E1603" s="354" t="s">
        <v>3476</v>
      </c>
      <c r="F1603" s="354" t="s">
        <v>3476</v>
      </c>
      <c r="G1603" s="355" t="s">
        <v>3476</v>
      </c>
      <c r="H1603" s="356" t="s">
        <v>3476</v>
      </c>
    </row>
    <row r="1604" spans="1:9" ht="28.2" thickBot="1" x14ac:dyDescent="0.3">
      <c r="A1604" s="136">
        <v>39222</v>
      </c>
      <c r="B1604" s="226" t="s">
        <v>1561</v>
      </c>
      <c r="C1604" s="129">
        <v>3.17</v>
      </c>
      <c r="D1604" s="129">
        <v>2.78</v>
      </c>
      <c r="E1604" s="130">
        <f t="shared" ref="E1604" si="215">+$C1604*$E$2</f>
        <v>122573.31220000001</v>
      </c>
      <c r="F1604" s="329">
        <f>+$D1604*$F$2</f>
        <v>117905.35999999999</v>
      </c>
      <c r="G1604" s="338">
        <f>+$D1604*$G$2</f>
        <v>130840.7</v>
      </c>
      <c r="H1604" s="338">
        <f>+$D1604*$H$2</f>
        <v>138441.22</v>
      </c>
    </row>
    <row r="1605" spans="1:9" ht="13.8" customHeight="1" thickBot="1" x14ac:dyDescent="0.3">
      <c r="A1605" s="66" t="s">
        <v>1448</v>
      </c>
      <c r="B1605" s="21"/>
      <c r="C1605" s="214"/>
      <c r="D1605" s="354" t="s">
        <v>3476</v>
      </c>
      <c r="E1605" s="354" t="s">
        <v>3476</v>
      </c>
      <c r="F1605" s="354" t="s">
        <v>3476</v>
      </c>
      <c r="G1605" s="355" t="s">
        <v>3476</v>
      </c>
      <c r="H1605" s="356" t="s">
        <v>3476</v>
      </c>
    </row>
    <row r="1606" spans="1:9" ht="28.2" thickBot="1" x14ac:dyDescent="0.3">
      <c r="A1606" s="136">
        <v>39223</v>
      </c>
      <c r="B1606" s="226" t="s">
        <v>1562</v>
      </c>
      <c r="C1606" s="129">
        <v>3.15</v>
      </c>
      <c r="D1606" s="129">
        <v>2.76</v>
      </c>
      <c r="E1606" s="130">
        <f t="shared" ref="E1606" si="216">+$C1606*$E$2</f>
        <v>121799.97900000001</v>
      </c>
      <c r="F1606" s="329">
        <f>+$D1606*$F$2</f>
        <v>117057.12</v>
      </c>
      <c r="G1606" s="338">
        <f>+$D1606*$G$2</f>
        <v>129899.4</v>
      </c>
      <c r="H1606" s="338">
        <f>+$D1606*$H$2</f>
        <v>137445.24</v>
      </c>
    </row>
    <row r="1607" spans="1:9" ht="13.8" customHeight="1" thickBot="1" x14ac:dyDescent="0.3">
      <c r="A1607" s="66" t="s">
        <v>1449</v>
      </c>
      <c r="B1607" s="80"/>
      <c r="C1607" s="214"/>
      <c r="D1607" s="354" t="s">
        <v>3476</v>
      </c>
      <c r="E1607" s="354" t="s">
        <v>3476</v>
      </c>
      <c r="F1607" s="354" t="s">
        <v>3476</v>
      </c>
      <c r="G1607" s="355" t="s">
        <v>3476</v>
      </c>
      <c r="H1607" s="356" t="s">
        <v>3476</v>
      </c>
    </row>
    <row r="1608" spans="1:9" ht="27.6" x14ac:dyDescent="0.25">
      <c r="A1608" s="4">
        <v>39160</v>
      </c>
      <c r="B1608" s="223" t="s">
        <v>1563</v>
      </c>
      <c r="C1608" s="12">
        <v>3.15</v>
      </c>
      <c r="D1608" s="12">
        <v>2.76</v>
      </c>
      <c r="E1608" s="130">
        <f t="shared" ref="E1608:E1612" si="217">+$C1608*$E$2</f>
        <v>121799.97900000001</v>
      </c>
      <c r="F1608" s="332">
        <f>+$D1608*$F$2</f>
        <v>117057.12</v>
      </c>
      <c r="G1608" s="338">
        <f>+$D1608*$G$2</f>
        <v>129899.4</v>
      </c>
      <c r="H1608" s="338">
        <f>+$D1608*$H$2</f>
        <v>137445.24</v>
      </c>
    </row>
    <row r="1609" spans="1:9" ht="27.6" x14ac:dyDescent="0.25">
      <c r="A1609" s="3">
        <v>39161</v>
      </c>
      <c r="B1609" s="117" t="s">
        <v>1450</v>
      </c>
      <c r="C1609" s="5">
        <v>1.82</v>
      </c>
      <c r="D1609" s="5">
        <v>1.6</v>
      </c>
      <c r="E1609" s="101">
        <f t="shared" si="217"/>
        <v>70373.321200000006</v>
      </c>
      <c r="F1609" s="331">
        <f>+$D1609*$F$2</f>
        <v>67859.199999999997</v>
      </c>
      <c r="G1609" s="338">
        <f>+$D1609*$G$2</f>
        <v>75304</v>
      </c>
      <c r="H1609" s="338">
        <f>+$D1609*$H$2</f>
        <v>79678.400000000009</v>
      </c>
    </row>
    <row r="1610" spans="1:9" ht="27.6" x14ac:dyDescent="0.25">
      <c r="A1610" s="3">
        <v>39162</v>
      </c>
      <c r="B1610" s="116" t="s">
        <v>1564</v>
      </c>
      <c r="C1610" s="5">
        <v>4.9400000000000004</v>
      </c>
      <c r="D1610" s="5">
        <v>4.33</v>
      </c>
      <c r="E1610" s="101">
        <f t="shared" si="217"/>
        <v>191013.30040000004</v>
      </c>
      <c r="F1610" s="331">
        <f>+$D1610*$F$2</f>
        <v>183643.96</v>
      </c>
      <c r="G1610" s="338">
        <f>+$D1610*$G$2</f>
        <v>203791.45</v>
      </c>
      <c r="H1610" s="338">
        <f>+$D1610*$H$2</f>
        <v>215629.67</v>
      </c>
    </row>
    <row r="1611" spans="1:9" ht="28.8" customHeight="1" x14ac:dyDescent="0.25">
      <c r="A1611" s="3">
        <v>39163</v>
      </c>
      <c r="B1611" s="116" t="s">
        <v>1565</v>
      </c>
      <c r="C1611" s="5">
        <v>4.4000000000000004</v>
      </c>
      <c r="D1611" s="5">
        <v>3.86</v>
      </c>
      <c r="E1611" s="101">
        <f t="shared" si="217"/>
        <v>170133.30400000003</v>
      </c>
      <c r="F1611" s="331">
        <f>+$D1611*$F$2</f>
        <v>163710.32</v>
      </c>
      <c r="G1611" s="338">
        <f>+$D1611*$G$2</f>
        <v>181670.9</v>
      </c>
      <c r="H1611" s="338">
        <f>+$D1611*$H$2</f>
        <v>192224.13999999998</v>
      </c>
    </row>
    <row r="1612" spans="1:9" ht="28.2" thickBot="1" x14ac:dyDescent="0.3">
      <c r="A1612" s="8">
        <v>39164</v>
      </c>
      <c r="B1612" s="227" t="s">
        <v>1566</v>
      </c>
      <c r="C1612" s="10">
        <v>14.06</v>
      </c>
      <c r="D1612" s="10">
        <v>12.33</v>
      </c>
      <c r="E1612" s="101">
        <f t="shared" si="217"/>
        <v>543653.23960000009</v>
      </c>
      <c r="F1612" s="207">
        <f>+$D1612*$F$2</f>
        <v>522939.96</v>
      </c>
      <c r="G1612" s="338">
        <f>+$D1612*$G$2</f>
        <v>580311.44999999995</v>
      </c>
      <c r="H1612" s="338">
        <f>+$D1612*$H$2</f>
        <v>614021.67000000004</v>
      </c>
    </row>
    <row r="1613" spans="1:9" ht="13.8" customHeight="1" thickBot="1" x14ac:dyDescent="0.3">
      <c r="A1613" s="232" t="s">
        <v>1451</v>
      </c>
      <c r="B1613" s="194"/>
      <c r="C1613" s="195"/>
      <c r="D1613" s="354" t="s">
        <v>3476</v>
      </c>
      <c r="E1613" s="354" t="s">
        <v>3476</v>
      </c>
      <c r="F1613" s="354" t="s">
        <v>3476</v>
      </c>
      <c r="G1613" s="355" t="s">
        <v>3476</v>
      </c>
      <c r="H1613" s="356" t="s">
        <v>3476</v>
      </c>
    </row>
    <row r="1614" spans="1:9" ht="13.8" customHeight="1" thickBot="1" x14ac:dyDescent="0.3">
      <c r="A1614" s="232" t="s">
        <v>3539</v>
      </c>
      <c r="B1614" s="35"/>
      <c r="C1614" s="128"/>
      <c r="D1614" s="354" t="s">
        <v>3476</v>
      </c>
      <c r="E1614" s="354"/>
      <c r="F1614" s="354" t="s">
        <v>3476</v>
      </c>
      <c r="G1614" s="355" t="s">
        <v>3476</v>
      </c>
      <c r="H1614" s="356" t="s">
        <v>3476</v>
      </c>
    </row>
    <row r="1615" spans="1:9" ht="14.4" thickBot="1" x14ac:dyDescent="0.3">
      <c r="A1615" s="232" t="s">
        <v>1452</v>
      </c>
      <c r="B1615" s="161"/>
      <c r="C1615" s="127"/>
      <c r="D1615" s="354" t="s">
        <v>3476</v>
      </c>
      <c r="E1615" s="354" t="s">
        <v>3476</v>
      </c>
      <c r="F1615" s="354" t="s">
        <v>3476</v>
      </c>
      <c r="G1615" s="355" t="s">
        <v>3476</v>
      </c>
      <c r="H1615" s="356" t="s">
        <v>3476</v>
      </c>
    </row>
    <row r="1616" spans="1:9" ht="28.2" thickBot="1" x14ac:dyDescent="0.3">
      <c r="A1616" s="232" t="s">
        <v>3540</v>
      </c>
      <c r="B1616" s="167"/>
      <c r="C1616" s="128"/>
      <c r="D1616" s="354" t="s">
        <v>3476</v>
      </c>
      <c r="E1616" s="354" t="s">
        <v>3476</v>
      </c>
      <c r="F1616" s="354" t="s">
        <v>3476</v>
      </c>
      <c r="G1616" s="355" t="s">
        <v>3476</v>
      </c>
      <c r="H1616" s="356" t="s">
        <v>3476</v>
      </c>
    </row>
    <row r="1617" spans="1:8" ht="28.2" thickBot="1" x14ac:dyDescent="0.3">
      <c r="A1617" s="232" t="s">
        <v>3541</v>
      </c>
      <c r="B1617" s="161"/>
      <c r="C1617" s="127"/>
      <c r="D1617" s="354" t="s">
        <v>3476</v>
      </c>
      <c r="E1617" s="354" t="s">
        <v>3476</v>
      </c>
      <c r="F1617" s="354" t="s">
        <v>3476</v>
      </c>
      <c r="G1617" s="355" t="s">
        <v>3476</v>
      </c>
      <c r="H1617" s="356" t="s">
        <v>3476</v>
      </c>
    </row>
    <row r="1618" spans="1:8" ht="28.2" thickBot="1" x14ac:dyDescent="0.3">
      <c r="A1618" s="232" t="s">
        <v>3542</v>
      </c>
      <c r="B1618" s="167"/>
      <c r="C1618" s="128"/>
      <c r="D1618" s="354" t="s">
        <v>3476</v>
      </c>
      <c r="E1618" s="354" t="s">
        <v>3476</v>
      </c>
      <c r="F1618" s="354" t="s">
        <v>3476</v>
      </c>
      <c r="G1618" s="355" t="s">
        <v>3476</v>
      </c>
      <c r="H1618" s="356" t="s">
        <v>3476</v>
      </c>
    </row>
    <row r="1619" spans="1:8" ht="13.8" customHeight="1" thickBot="1" x14ac:dyDescent="0.3">
      <c r="A1619" s="232" t="s">
        <v>3543</v>
      </c>
      <c r="B1619" s="159"/>
      <c r="C1619" s="196"/>
      <c r="D1619" s="354" t="s">
        <v>3476</v>
      </c>
      <c r="E1619" s="354" t="s">
        <v>3476</v>
      </c>
      <c r="F1619" s="354" t="s">
        <v>3476</v>
      </c>
      <c r="G1619" s="355" t="s">
        <v>3476</v>
      </c>
      <c r="H1619" s="356" t="s">
        <v>3476</v>
      </c>
    </row>
    <row r="1620" spans="1:8" ht="14.4" thickBot="1" x14ac:dyDescent="0.3">
      <c r="A1620" s="136">
        <v>39601</v>
      </c>
      <c r="B1620" s="226" t="s">
        <v>1453</v>
      </c>
      <c r="C1620" s="129">
        <v>15.41</v>
      </c>
      <c r="D1620" s="129">
        <v>13.52</v>
      </c>
      <c r="E1620" s="130">
        <f t="shared" ref="E1620" si="218">+$C1620*$E$2</f>
        <v>595853.23060000001</v>
      </c>
      <c r="F1620" s="329">
        <f>+$D1620*$F$2</f>
        <v>573410.24</v>
      </c>
      <c r="G1620" s="338">
        <f>+$D1620*$G$2</f>
        <v>636318.79999999993</v>
      </c>
      <c r="H1620" s="338">
        <f>+$D1620*$H$2</f>
        <v>673282.48</v>
      </c>
    </row>
    <row r="1621" spans="1:8" ht="42" thickBot="1" x14ac:dyDescent="0.3">
      <c r="A1621" s="232" t="s">
        <v>3544</v>
      </c>
      <c r="B1621" s="167"/>
      <c r="C1621" s="128"/>
      <c r="D1621" s="354" t="s">
        <v>3476</v>
      </c>
      <c r="E1621" s="354" t="s">
        <v>3476</v>
      </c>
      <c r="F1621" s="354" t="s">
        <v>3476</v>
      </c>
      <c r="G1621" s="355" t="s">
        <v>3476</v>
      </c>
      <c r="H1621" s="356" t="s">
        <v>3476</v>
      </c>
    </row>
    <row r="1622" spans="1:8" ht="28.2" thickBot="1" x14ac:dyDescent="0.3">
      <c r="A1622" s="232" t="s">
        <v>3545</v>
      </c>
      <c r="B1622" s="159"/>
      <c r="C1622" s="196"/>
      <c r="D1622" s="354" t="s">
        <v>3476</v>
      </c>
      <c r="E1622" s="354" t="s">
        <v>3476</v>
      </c>
      <c r="F1622" s="354" t="s">
        <v>3476</v>
      </c>
      <c r="G1622" s="355" t="s">
        <v>3476</v>
      </c>
      <c r="H1622" s="356" t="s">
        <v>3476</v>
      </c>
    </row>
    <row r="1623" spans="1:8" ht="14.4" thickBot="1" x14ac:dyDescent="0.3">
      <c r="A1623" s="136">
        <v>39360</v>
      </c>
      <c r="B1623" s="226" t="s">
        <v>1454</v>
      </c>
      <c r="C1623" s="129">
        <v>0.37</v>
      </c>
      <c r="D1623" s="129">
        <v>0.33</v>
      </c>
      <c r="E1623" s="130">
        <f t="shared" ref="E1623" si="219">+$C1623*$E$2</f>
        <v>14306.664200000001</v>
      </c>
      <c r="F1623" s="329">
        <f>+$D1623*$F$2</f>
        <v>13995.960000000001</v>
      </c>
      <c r="G1623" s="338">
        <f>+$D1623*$G$2</f>
        <v>15531.45</v>
      </c>
      <c r="H1623" s="338">
        <f>+$D1623*$H$2</f>
        <v>16433.670000000002</v>
      </c>
    </row>
    <row r="1624" spans="1:8" ht="13.8" customHeight="1" thickBot="1" x14ac:dyDescent="0.3">
      <c r="A1624" s="232" t="s">
        <v>3546</v>
      </c>
      <c r="B1624" s="79"/>
      <c r="C1624" s="126"/>
      <c r="D1624" s="126"/>
      <c r="E1624" s="208"/>
      <c r="F1624" s="208"/>
      <c r="G1624" s="338"/>
      <c r="H1624" s="338"/>
    </row>
    <row r="1625" spans="1:8" ht="13.8" customHeight="1" thickBot="1" x14ac:dyDescent="0.3">
      <c r="A1625" s="66" t="s">
        <v>1347</v>
      </c>
      <c r="B1625" s="80"/>
      <c r="C1625" s="214"/>
      <c r="D1625" s="354" t="s">
        <v>3476</v>
      </c>
      <c r="E1625" s="354" t="s">
        <v>3476</v>
      </c>
      <c r="F1625" s="354" t="s">
        <v>3476</v>
      </c>
      <c r="G1625" s="355" t="s">
        <v>3476</v>
      </c>
      <c r="H1625" s="356" t="s">
        <v>3476</v>
      </c>
    </row>
    <row r="1626" spans="1:8" ht="13.8" customHeight="1" thickBot="1" x14ac:dyDescent="0.3">
      <c r="A1626" s="136">
        <v>38225</v>
      </c>
      <c r="B1626" s="228" t="s">
        <v>1553</v>
      </c>
      <c r="C1626" s="129">
        <v>3.48</v>
      </c>
      <c r="D1626" s="129">
        <v>3.05</v>
      </c>
      <c r="E1626" s="130">
        <f t="shared" ref="E1626" si="220">+$C1626*$E$2</f>
        <v>134559.9768</v>
      </c>
      <c r="F1626" s="329">
        <f>+$D1626*$F$2</f>
        <v>129356.59999999999</v>
      </c>
      <c r="G1626" s="338">
        <f>+$D1626*$G$2</f>
        <v>143548.25</v>
      </c>
      <c r="H1626" s="338">
        <f>+$D1626*$H$2</f>
        <v>151886.94999999998</v>
      </c>
    </row>
    <row r="1627" spans="1:8" ht="13.8" customHeight="1" thickBot="1" x14ac:dyDescent="0.3">
      <c r="A1627" s="66" t="s">
        <v>1348</v>
      </c>
      <c r="B1627" s="80"/>
      <c r="C1627" s="214"/>
      <c r="D1627" s="354" t="s">
        <v>3476</v>
      </c>
      <c r="E1627" s="354" t="s">
        <v>3476</v>
      </c>
      <c r="F1627" s="354" t="s">
        <v>3476</v>
      </c>
      <c r="G1627" s="355" t="s">
        <v>3476</v>
      </c>
      <c r="H1627" s="356" t="s">
        <v>3476</v>
      </c>
    </row>
    <row r="1628" spans="1:8" ht="42" thickBot="1" x14ac:dyDescent="0.3">
      <c r="A1628" s="136">
        <v>38235</v>
      </c>
      <c r="B1628" s="228" t="s">
        <v>1554</v>
      </c>
      <c r="C1628" s="129">
        <v>4.54</v>
      </c>
      <c r="D1628" s="129">
        <v>3.98</v>
      </c>
      <c r="E1628" s="130">
        <f t="shared" ref="E1628" si="221">+$C1628*$E$2</f>
        <v>175546.63640000002</v>
      </c>
      <c r="F1628" s="329">
        <f>+$D1628*$F$2</f>
        <v>168799.76</v>
      </c>
      <c r="G1628" s="338">
        <f>+$D1628*$G$2</f>
        <v>187318.7</v>
      </c>
      <c r="H1628" s="338">
        <f>+$D1628*$H$2</f>
        <v>198200.02</v>
      </c>
    </row>
    <row r="1629" spans="1:8" ht="14.4" thickBot="1" x14ac:dyDescent="0.3">
      <c r="A1629" s="232" t="s">
        <v>3547</v>
      </c>
      <c r="B1629" s="176"/>
      <c r="C1629" s="195"/>
      <c r="D1629" s="354" t="s">
        <v>3476</v>
      </c>
      <c r="E1629" s="354" t="s">
        <v>3476</v>
      </c>
      <c r="F1629" s="354" t="s">
        <v>3476</v>
      </c>
      <c r="G1629" s="355" t="s">
        <v>3476</v>
      </c>
      <c r="H1629" s="356" t="s">
        <v>3476</v>
      </c>
    </row>
    <row r="1630" spans="1:8" ht="13.8" customHeight="1" thickBot="1" x14ac:dyDescent="0.3">
      <c r="A1630" s="232" t="s">
        <v>3548</v>
      </c>
      <c r="B1630" s="167"/>
      <c r="C1630" s="128"/>
      <c r="D1630" s="354" t="s">
        <v>3476</v>
      </c>
      <c r="E1630" s="354" t="s">
        <v>3476</v>
      </c>
      <c r="F1630" s="354" t="s">
        <v>3476</v>
      </c>
      <c r="G1630" s="355" t="s">
        <v>3476</v>
      </c>
      <c r="H1630" s="356" t="s">
        <v>3476</v>
      </c>
    </row>
    <row r="1631" spans="1:8" ht="12" customHeight="1" thickBot="1" x14ac:dyDescent="0.3">
      <c r="A1631" s="232" t="s">
        <v>3549</v>
      </c>
      <c r="B1631" s="79"/>
      <c r="C1631" s="128"/>
      <c r="D1631" s="354" t="s">
        <v>3476</v>
      </c>
      <c r="E1631" s="354" t="s">
        <v>3476</v>
      </c>
      <c r="F1631" s="354" t="s">
        <v>3476</v>
      </c>
      <c r="G1631" s="355" t="s">
        <v>3476</v>
      </c>
      <c r="H1631" s="356" t="s">
        <v>3476</v>
      </c>
    </row>
    <row r="1632" spans="1:8" ht="13.8" customHeight="1" thickBot="1" x14ac:dyDescent="0.3">
      <c r="A1632" s="66" t="s">
        <v>1455</v>
      </c>
      <c r="B1632" s="80"/>
      <c r="C1632" s="206"/>
      <c r="D1632" s="354" t="s">
        <v>3476</v>
      </c>
      <c r="E1632" s="354" t="s">
        <v>3476</v>
      </c>
      <c r="F1632" s="354" t="s">
        <v>3476</v>
      </c>
      <c r="G1632" s="355" t="s">
        <v>3476</v>
      </c>
      <c r="H1632" s="356" t="s">
        <v>3476</v>
      </c>
    </row>
    <row r="1633" spans="1:8" ht="13.8" customHeight="1" x14ac:dyDescent="0.25">
      <c r="A1633" s="166">
        <v>40100</v>
      </c>
      <c r="B1633" s="229" t="s">
        <v>1456</v>
      </c>
      <c r="C1633" s="188">
        <v>32.29</v>
      </c>
      <c r="D1633" s="188">
        <v>28.32</v>
      </c>
      <c r="E1633" s="230">
        <f t="shared" ref="E1633:E1645" si="222">+$C1633*$E$2</f>
        <v>1248546.4514000001</v>
      </c>
      <c r="F1633" s="337">
        <f t="shared" ref="F1633:F1645" si="223">+$D1633*$F$2</f>
        <v>1201107.8400000001</v>
      </c>
      <c r="G1633" s="338">
        <f t="shared" ref="G1633:G1645" si="224">+$D1633*$G$2</f>
        <v>1332880.8</v>
      </c>
      <c r="H1633" s="338">
        <f t="shared" ref="H1633:H1645" si="225">+$D1633*$H$2</f>
        <v>1410307.68</v>
      </c>
    </row>
    <row r="1634" spans="1:8" x14ac:dyDescent="0.25">
      <c r="A1634" s="4">
        <v>40101</v>
      </c>
      <c r="B1634" s="223" t="s">
        <v>1457</v>
      </c>
      <c r="C1634" s="12">
        <v>28.06</v>
      </c>
      <c r="D1634" s="12">
        <v>24.61</v>
      </c>
      <c r="E1634" s="130">
        <f t="shared" si="222"/>
        <v>1084986.4796</v>
      </c>
      <c r="F1634" s="332">
        <f t="shared" si="223"/>
        <v>1043759.32</v>
      </c>
      <c r="G1634" s="338">
        <f t="shared" si="224"/>
        <v>1158269.6499999999</v>
      </c>
      <c r="H1634" s="338">
        <f t="shared" si="225"/>
        <v>1225553.3899999999</v>
      </c>
    </row>
    <row r="1635" spans="1:8" x14ac:dyDescent="0.25">
      <c r="A1635" s="3">
        <v>40102</v>
      </c>
      <c r="B1635" s="84" t="s">
        <v>1458</v>
      </c>
      <c r="C1635" s="5">
        <v>87.34</v>
      </c>
      <c r="D1635" s="5">
        <v>76.61</v>
      </c>
      <c r="E1635" s="101">
        <f t="shared" si="222"/>
        <v>3377146.0844000005</v>
      </c>
      <c r="F1635" s="331">
        <f t="shared" si="223"/>
        <v>3249183.32</v>
      </c>
      <c r="G1635" s="338">
        <f t="shared" si="224"/>
        <v>3605649.65</v>
      </c>
      <c r="H1635" s="338">
        <f t="shared" si="225"/>
        <v>3815101.39</v>
      </c>
    </row>
    <row r="1636" spans="1:8" ht="13.8" customHeight="1" x14ac:dyDescent="0.25">
      <c r="A1636" s="3">
        <v>40105</v>
      </c>
      <c r="B1636" s="119" t="s">
        <v>1555</v>
      </c>
      <c r="C1636" s="5">
        <v>0.99</v>
      </c>
      <c r="D1636" s="5">
        <v>0.87</v>
      </c>
      <c r="E1636" s="101">
        <f t="shared" si="222"/>
        <v>38279.993400000007</v>
      </c>
      <c r="F1636" s="331">
        <f t="shared" si="223"/>
        <v>36898.44</v>
      </c>
      <c r="G1636" s="338">
        <f t="shared" si="224"/>
        <v>40946.550000000003</v>
      </c>
      <c r="H1636" s="338">
        <f t="shared" si="225"/>
        <v>43325.13</v>
      </c>
    </row>
    <row r="1637" spans="1:8" x14ac:dyDescent="0.25">
      <c r="A1637" s="3">
        <v>40106</v>
      </c>
      <c r="B1637" s="84" t="s">
        <v>1459</v>
      </c>
      <c r="C1637" s="5">
        <v>0.65</v>
      </c>
      <c r="D1637" s="5">
        <v>0.56999999999999995</v>
      </c>
      <c r="E1637" s="101">
        <f t="shared" si="222"/>
        <v>25133.329000000002</v>
      </c>
      <c r="F1637" s="331">
        <f t="shared" si="223"/>
        <v>24174.839999999997</v>
      </c>
      <c r="G1637" s="338">
        <f t="shared" si="224"/>
        <v>26827.05</v>
      </c>
      <c r="H1637" s="338">
        <f t="shared" si="225"/>
        <v>28385.429999999997</v>
      </c>
    </row>
    <row r="1638" spans="1:8" x14ac:dyDescent="0.25">
      <c r="A1638" s="3">
        <v>40107</v>
      </c>
      <c r="B1638" s="84" t="s">
        <v>1460</v>
      </c>
      <c r="C1638" s="5">
        <v>0.52</v>
      </c>
      <c r="D1638" s="5">
        <v>0.46</v>
      </c>
      <c r="E1638" s="101">
        <f t="shared" si="222"/>
        <v>20106.663200000003</v>
      </c>
      <c r="F1638" s="331">
        <f t="shared" si="223"/>
        <v>19509.52</v>
      </c>
      <c r="G1638" s="338">
        <f t="shared" si="224"/>
        <v>21649.9</v>
      </c>
      <c r="H1638" s="338">
        <f t="shared" si="225"/>
        <v>22907.54</v>
      </c>
    </row>
    <row r="1639" spans="1:8" x14ac:dyDescent="0.25">
      <c r="A1639" s="3">
        <v>40108</v>
      </c>
      <c r="B1639" s="84" t="s">
        <v>1461</v>
      </c>
      <c r="C1639" s="5">
        <v>0.34</v>
      </c>
      <c r="D1639" s="5">
        <v>0.3</v>
      </c>
      <c r="E1639" s="101">
        <f t="shared" si="222"/>
        <v>13146.664400000001</v>
      </c>
      <c r="F1639" s="331">
        <f t="shared" si="223"/>
        <v>12723.6</v>
      </c>
      <c r="G1639" s="338">
        <f t="shared" si="224"/>
        <v>14119.5</v>
      </c>
      <c r="H1639" s="338">
        <f t="shared" si="225"/>
        <v>14939.699999999999</v>
      </c>
    </row>
    <row r="1640" spans="1:8" ht="69" x14ac:dyDescent="0.25">
      <c r="A1640" s="3">
        <v>40109</v>
      </c>
      <c r="B1640" s="83" t="s">
        <v>1556</v>
      </c>
      <c r="C1640" s="5">
        <v>0.16</v>
      </c>
      <c r="D1640" s="5">
        <v>0.14000000000000001</v>
      </c>
      <c r="E1640" s="101">
        <f t="shared" si="222"/>
        <v>6186.6656000000003</v>
      </c>
      <c r="F1640" s="331">
        <f t="shared" si="223"/>
        <v>5937.68</v>
      </c>
      <c r="G1640" s="338">
        <f t="shared" si="224"/>
        <v>6589.1</v>
      </c>
      <c r="H1640" s="338">
        <f t="shared" si="225"/>
        <v>6971.8600000000006</v>
      </c>
    </row>
    <row r="1641" spans="1:8" ht="13.8" customHeight="1" x14ac:dyDescent="0.25">
      <c r="A1641" s="3">
        <v>40110</v>
      </c>
      <c r="B1641" s="83" t="s">
        <v>1557</v>
      </c>
      <c r="C1641" s="5">
        <v>1.1000000000000001</v>
      </c>
      <c r="D1641" s="5">
        <v>0.97</v>
      </c>
      <c r="E1641" s="101">
        <f t="shared" si="222"/>
        <v>42533.326000000008</v>
      </c>
      <c r="F1641" s="331">
        <f t="shared" si="223"/>
        <v>41139.64</v>
      </c>
      <c r="G1641" s="338">
        <f t="shared" si="224"/>
        <v>45653.049999999996</v>
      </c>
      <c r="H1641" s="338">
        <f t="shared" si="225"/>
        <v>48305.03</v>
      </c>
    </row>
    <row r="1642" spans="1:8" x14ac:dyDescent="0.25">
      <c r="A1642" s="3">
        <v>40111</v>
      </c>
      <c r="B1642" s="84" t="s">
        <v>1462</v>
      </c>
      <c r="C1642" s="5">
        <v>0.73</v>
      </c>
      <c r="D1642" s="5">
        <v>0.64</v>
      </c>
      <c r="E1642" s="101">
        <f t="shared" si="222"/>
        <v>28226.661800000002</v>
      </c>
      <c r="F1642" s="331">
        <f t="shared" si="223"/>
        <v>27143.68</v>
      </c>
      <c r="G1642" s="338">
        <f t="shared" si="224"/>
        <v>30121.600000000002</v>
      </c>
      <c r="H1642" s="338">
        <f t="shared" si="225"/>
        <v>31871.360000000001</v>
      </c>
    </row>
    <row r="1643" spans="1:8" x14ac:dyDescent="0.25">
      <c r="A1643" s="3">
        <v>40112</v>
      </c>
      <c r="B1643" s="84" t="s">
        <v>1463</v>
      </c>
      <c r="C1643" s="5">
        <v>0.56000000000000005</v>
      </c>
      <c r="D1643" s="5">
        <v>0.49</v>
      </c>
      <c r="E1643" s="101">
        <f t="shared" si="222"/>
        <v>21653.329600000005</v>
      </c>
      <c r="F1643" s="331">
        <f t="shared" si="223"/>
        <v>20781.88</v>
      </c>
      <c r="G1643" s="338">
        <f t="shared" si="224"/>
        <v>23061.85</v>
      </c>
      <c r="H1643" s="338">
        <f t="shared" si="225"/>
        <v>24401.51</v>
      </c>
    </row>
    <row r="1644" spans="1:8" x14ac:dyDescent="0.25">
      <c r="A1644" s="3">
        <v>40113</v>
      </c>
      <c r="B1644" s="84" t="s">
        <v>1461</v>
      </c>
      <c r="C1644" s="5">
        <v>0.39</v>
      </c>
      <c r="D1644" s="5">
        <v>0.34</v>
      </c>
      <c r="E1644" s="101">
        <f t="shared" si="222"/>
        <v>15079.997400000002</v>
      </c>
      <c r="F1644" s="331">
        <f t="shared" si="223"/>
        <v>14420.080000000002</v>
      </c>
      <c r="G1644" s="338">
        <f t="shared" si="224"/>
        <v>16002.1</v>
      </c>
      <c r="H1644" s="338">
        <f t="shared" si="225"/>
        <v>16931.66</v>
      </c>
    </row>
    <row r="1645" spans="1:8" x14ac:dyDescent="0.25">
      <c r="A1645" s="3">
        <v>40114</v>
      </c>
      <c r="B1645" s="84" t="s">
        <v>1464</v>
      </c>
      <c r="C1645" s="5">
        <v>0.18</v>
      </c>
      <c r="D1645" s="5">
        <v>0.16</v>
      </c>
      <c r="E1645" s="101">
        <f t="shared" si="222"/>
        <v>6959.9988000000003</v>
      </c>
      <c r="F1645" s="331">
        <f t="shared" si="223"/>
        <v>6785.92</v>
      </c>
      <c r="G1645" s="338">
        <f t="shared" si="224"/>
        <v>7530.4000000000005</v>
      </c>
      <c r="H1645" s="338">
        <f t="shared" si="225"/>
        <v>7967.84</v>
      </c>
    </row>
    <row r="1646" spans="1:8" ht="42" thickBot="1" x14ac:dyDescent="0.35">
      <c r="A1646" s="232" t="s">
        <v>1465</v>
      </c>
      <c r="B1646" s="212" t="s">
        <v>1465</v>
      </c>
      <c r="C1646" s="5"/>
      <c r="D1646" s="5"/>
      <c r="E1646" s="104"/>
      <c r="F1646" s="103"/>
      <c r="G1646" s="338"/>
      <c r="H1646" s="338"/>
    </row>
    <row r="1647" spans="1:8" ht="13.8" customHeight="1" x14ac:dyDescent="0.25">
      <c r="A1647" s="3">
        <v>40120</v>
      </c>
      <c r="B1647" s="83" t="s">
        <v>1555</v>
      </c>
      <c r="C1647" s="5">
        <v>1.1000000000000001</v>
      </c>
      <c r="D1647" s="5">
        <v>0.97</v>
      </c>
      <c r="E1647" s="101">
        <f t="shared" ref="E1647:E1651" si="226">+$C1647*$E$2</f>
        <v>42533.326000000008</v>
      </c>
      <c r="F1647" s="331">
        <f>+$D1647*$F$2</f>
        <v>41139.64</v>
      </c>
      <c r="G1647" s="338">
        <f>+$D1647*$G$2</f>
        <v>45653.049999999996</v>
      </c>
      <c r="H1647" s="338">
        <f>+$D1647*$H$2</f>
        <v>48305.03</v>
      </c>
    </row>
    <row r="1648" spans="1:8" ht="13.8" customHeight="1" x14ac:dyDescent="0.25">
      <c r="A1648" s="3">
        <v>40121</v>
      </c>
      <c r="B1648" s="84" t="s">
        <v>1466</v>
      </c>
      <c r="C1648" s="5">
        <v>0.73</v>
      </c>
      <c r="D1648" s="5">
        <v>0.64</v>
      </c>
      <c r="E1648" s="101">
        <f t="shared" si="226"/>
        <v>28226.661800000002</v>
      </c>
      <c r="F1648" s="331">
        <f>+$D1648*$F$2</f>
        <v>27143.68</v>
      </c>
      <c r="G1648" s="338">
        <f>+$D1648*$G$2</f>
        <v>30121.600000000002</v>
      </c>
      <c r="H1648" s="338">
        <f>+$D1648*$H$2</f>
        <v>31871.360000000001</v>
      </c>
    </row>
    <row r="1649" spans="1:8" x14ac:dyDescent="0.25">
      <c r="A1649" s="3">
        <v>40122</v>
      </c>
      <c r="B1649" s="84" t="s">
        <v>1467</v>
      </c>
      <c r="C1649" s="5">
        <v>0.56000000000000005</v>
      </c>
      <c r="D1649" s="5">
        <v>0.49</v>
      </c>
      <c r="E1649" s="101">
        <f t="shared" si="226"/>
        <v>21653.329600000005</v>
      </c>
      <c r="F1649" s="331">
        <f>+$D1649*$F$2</f>
        <v>20781.88</v>
      </c>
      <c r="G1649" s="338">
        <f>+$D1649*$G$2</f>
        <v>23061.85</v>
      </c>
      <c r="H1649" s="338">
        <f>+$D1649*$H$2</f>
        <v>24401.51</v>
      </c>
    </row>
    <row r="1650" spans="1:8" ht="13.8" customHeight="1" x14ac:dyDescent="0.25">
      <c r="A1650" s="3">
        <v>40123</v>
      </c>
      <c r="B1650" s="85" t="s">
        <v>1468</v>
      </c>
      <c r="C1650" s="5">
        <v>0.4</v>
      </c>
      <c r="D1650" s="5">
        <v>0.35</v>
      </c>
      <c r="E1650" s="101">
        <f t="shared" si="226"/>
        <v>15466.664000000002</v>
      </c>
      <c r="F1650" s="331">
        <f>+$D1650*$F$2</f>
        <v>14844.199999999999</v>
      </c>
      <c r="G1650" s="338">
        <f>+$D1650*$G$2</f>
        <v>16472.75</v>
      </c>
      <c r="H1650" s="338">
        <f>+$D1650*$H$2</f>
        <v>17429.649999999998</v>
      </c>
    </row>
    <row r="1651" spans="1:8" ht="14.4" thickBot="1" x14ac:dyDescent="0.3">
      <c r="A1651" s="8">
        <v>40124</v>
      </c>
      <c r="B1651" s="86" t="s">
        <v>1464</v>
      </c>
      <c r="C1651" s="10">
        <v>0.18</v>
      </c>
      <c r="D1651" s="10">
        <v>0.16</v>
      </c>
      <c r="E1651" s="101">
        <f t="shared" si="226"/>
        <v>6959.9988000000003</v>
      </c>
      <c r="F1651" s="207">
        <f>+$D1651*$F$2</f>
        <v>6785.92</v>
      </c>
      <c r="G1651" s="338">
        <f>+$D1651*$G$2</f>
        <v>7530.4000000000005</v>
      </c>
      <c r="H1651" s="338">
        <f>+$D1651*$H$2</f>
        <v>7967.84</v>
      </c>
    </row>
    <row r="1652" spans="1:8" ht="13.8" customHeight="1" thickBot="1" x14ac:dyDescent="0.35">
      <c r="A1652" s="364" t="s">
        <v>1469</v>
      </c>
      <c r="B1652" s="365"/>
      <c r="C1652" s="206"/>
      <c r="D1652" s="354" t="s">
        <v>3476</v>
      </c>
      <c r="E1652" s="366" t="s">
        <v>3476</v>
      </c>
      <c r="F1652" s="354" t="s">
        <v>3476</v>
      </c>
      <c r="G1652" s="355" t="s">
        <v>3476</v>
      </c>
      <c r="H1652" s="356" t="s">
        <v>3476</v>
      </c>
    </row>
    <row r="1653" spans="1:8" x14ac:dyDescent="0.25">
      <c r="A1653" s="4">
        <v>502001</v>
      </c>
      <c r="B1653" s="223" t="s">
        <v>1470</v>
      </c>
      <c r="C1653" s="12">
        <v>48.4</v>
      </c>
      <c r="D1653" s="12">
        <v>42.45</v>
      </c>
      <c r="E1653" s="130">
        <f t="shared" ref="E1653:E1716" si="227">+$C1653*$E$2</f>
        <v>1871466.344</v>
      </c>
      <c r="F1653" s="332">
        <f t="shared" ref="F1653:F1684" si="228">+$D1653*$F$2</f>
        <v>1800389.4000000001</v>
      </c>
      <c r="G1653" s="338">
        <f t="shared" ref="G1653:G1684" si="229">+$D1653*$G$2</f>
        <v>1997909.2500000002</v>
      </c>
      <c r="H1653" s="338">
        <f t="shared" ref="H1653:H1684" si="230">+$D1653*$H$2</f>
        <v>2113967.5500000003</v>
      </c>
    </row>
    <row r="1654" spans="1:8" x14ac:dyDescent="0.25">
      <c r="A1654" s="3">
        <v>502002</v>
      </c>
      <c r="B1654" s="84" t="s">
        <v>1471</v>
      </c>
      <c r="C1654" s="5">
        <v>182.94</v>
      </c>
      <c r="D1654" s="5">
        <v>160.46</v>
      </c>
      <c r="E1654" s="101">
        <f t="shared" si="227"/>
        <v>7073678.7804000005</v>
      </c>
      <c r="F1654" s="331">
        <f t="shared" si="228"/>
        <v>6805429.5200000005</v>
      </c>
      <c r="G1654" s="338">
        <f t="shared" si="229"/>
        <v>7552049.9000000004</v>
      </c>
      <c r="H1654" s="338">
        <f t="shared" si="230"/>
        <v>7990747.54</v>
      </c>
    </row>
    <row r="1655" spans="1:8" x14ac:dyDescent="0.25">
      <c r="A1655" s="3">
        <v>503001</v>
      </c>
      <c r="B1655" s="84" t="s">
        <v>1472</v>
      </c>
      <c r="C1655" s="5">
        <v>62.73</v>
      </c>
      <c r="D1655" s="5">
        <v>55.02</v>
      </c>
      <c r="E1655" s="101">
        <f t="shared" si="227"/>
        <v>2425559.5818000003</v>
      </c>
      <c r="F1655" s="331">
        <f t="shared" si="228"/>
        <v>2333508.2400000002</v>
      </c>
      <c r="G1655" s="338">
        <f t="shared" si="229"/>
        <v>2589516.3000000003</v>
      </c>
      <c r="H1655" s="338">
        <f t="shared" si="230"/>
        <v>2739940.98</v>
      </c>
    </row>
    <row r="1656" spans="1:8" x14ac:dyDescent="0.25">
      <c r="A1656" s="3">
        <v>503002</v>
      </c>
      <c r="B1656" s="84" t="s">
        <v>1473</v>
      </c>
      <c r="C1656" s="5">
        <v>153.13</v>
      </c>
      <c r="D1656" s="5">
        <v>134.31</v>
      </c>
      <c r="E1656" s="101">
        <f t="shared" si="227"/>
        <v>5921025.6458000001</v>
      </c>
      <c r="F1656" s="331">
        <f t="shared" si="228"/>
        <v>5696355.7199999997</v>
      </c>
      <c r="G1656" s="338">
        <f t="shared" si="229"/>
        <v>6321300.1500000004</v>
      </c>
      <c r="H1656" s="338">
        <f t="shared" si="230"/>
        <v>6688503.6900000004</v>
      </c>
    </row>
    <row r="1657" spans="1:8" x14ac:dyDescent="0.25">
      <c r="A1657" s="3">
        <v>503003</v>
      </c>
      <c r="B1657" s="84" t="s">
        <v>1474</v>
      </c>
      <c r="C1657" s="5">
        <v>92.91</v>
      </c>
      <c r="D1657" s="5">
        <v>81.489999999999995</v>
      </c>
      <c r="E1657" s="101">
        <f t="shared" si="227"/>
        <v>3592519.3806000003</v>
      </c>
      <c r="F1657" s="331">
        <f t="shared" si="228"/>
        <v>3456153.88</v>
      </c>
      <c r="G1657" s="338">
        <f t="shared" si="229"/>
        <v>3835326.8499999996</v>
      </c>
      <c r="H1657" s="338">
        <f t="shared" si="230"/>
        <v>4058120.51</v>
      </c>
    </row>
    <row r="1658" spans="1:8" x14ac:dyDescent="0.25">
      <c r="A1658" s="3">
        <v>503004</v>
      </c>
      <c r="B1658" s="84" t="s">
        <v>1475</v>
      </c>
      <c r="C1658" s="5">
        <v>129.26</v>
      </c>
      <c r="D1658" s="5">
        <v>113.37</v>
      </c>
      <c r="E1658" s="101">
        <f t="shared" si="227"/>
        <v>4998052.4715999998</v>
      </c>
      <c r="F1658" s="331">
        <f t="shared" si="228"/>
        <v>4808248.4400000004</v>
      </c>
      <c r="G1658" s="338">
        <f t="shared" si="229"/>
        <v>5335759.05</v>
      </c>
      <c r="H1658" s="338">
        <f t="shared" si="230"/>
        <v>5645712.6299999999</v>
      </c>
    </row>
    <row r="1659" spans="1:8" x14ac:dyDescent="0.25">
      <c r="A1659" s="3">
        <v>505001</v>
      </c>
      <c r="B1659" s="84" t="s">
        <v>1476</v>
      </c>
      <c r="C1659" s="5">
        <v>125.27</v>
      </c>
      <c r="D1659" s="5">
        <v>109.87</v>
      </c>
      <c r="E1659" s="101">
        <f t="shared" si="227"/>
        <v>4843772.4982000003</v>
      </c>
      <c r="F1659" s="331">
        <f t="shared" si="228"/>
        <v>4659806.4400000004</v>
      </c>
      <c r="G1659" s="338">
        <f t="shared" si="229"/>
        <v>5171031.55</v>
      </c>
      <c r="H1659" s="338">
        <f t="shared" si="230"/>
        <v>5471416.1299999999</v>
      </c>
    </row>
    <row r="1660" spans="1:8" x14ac:dyDescent="0.25">
      <c r="A1660" s="3">
        <v>506001</v>
      </c>
      <c r="B1660" s="84" t="s">
        <v>1477</v>
      </c>
      <c r="C1660" s="5">
        <v>286.58</v>
      </c>
      <c r="D1660" s="5">
        <v>251.36</v>
      </c>
      <c r="E1660" s="101">
        <f t="shared" si="227"/>
        <v>11081091.422800001</v>
      </c>
      <c r="F1660" s="331">
        <f t="shared" si="228"/>
        <v>10660680.32</v>
      </c>
      <c r="G1660" s="338">
        <f t="shared" si="229"/>
        <v>11830258.4</v>
      </c>
      <c r="H1660" s="338">
        <f t="shared" si="230"/>
        <v>12517476.640000001</v>
      </c>
    </row>
    <row r="1661" spans="1:8" x14ac:dyDescent="0.25">
      <c r="A1661" s="3">
        <v>507001</v>
      </c>
      <c r="B1661" s="84" t="s">
        <v>1478</v>
      </c>
      <c r="C1661" s="5">
        <v>205.43</v>
      </c>
      <c r="D1661" s="5">
        <v>180.18</v>
      </c>
      <c r="E1661" s="101">
        <f t="shared" si="227"/>
        <v>7943291.963800001</v>
      </c>
      <c r="F1661" s="331">
        <f t="shared" si="228"/>
        <v>7641794.1600000001</v>
      </c>
      <c r="G1661" s="338">
        <f t="shared" si="229"/>
        <v>8480171.7000000011</v>
      </c>
      <c r="H1661" s="338">
        <f t="shared" si="230"/>
        <v>8972783.8200000003</v>
      </c>
    </row>
    <row r="1662" spans="1:8" x14ac:dyDescent="0.25">
      <c r="A1662" s="3">
        <v>507002</v>
      </c>
      <c r="B1662" s="84" t="s">
        <v>1479</v>
      </c>
      <c r="C1662" s="5">
        <v>194.89</v>
      </c>
      <c r="D1662" s="5">
        <v>170.94</v>
      </c>
      <c r="E1662" s="101">
        <f t="shared" si="227"/>
        <v>7535745.3673999999</v>
      </c>
      <c r="F1662" s="331">
        <f t="shared" si="228"/>
        <v>7249907.2800000003</v>
      </c>
      <c r="G1662" s="338">
        <f t="shared" si="229"/>
        <v>8045291.0999999996</v>
      </c>
      <c r="H1662" s="338">
        <f t="shared" si="230"/>
        <v>8512641.0600000005</v>
      </c>
    </row>
    <row r="1663" spans="1:8" x14ac:dyDescent="0.25">
      <c r="A1663" s="3">
        <v>507003</v>
      </c>
      <c r="B1663" s="84" t="s">
        <v>1480</v>
      </c>
      <c r="C1663" s="5">
        <v>102.37</v>
      </c>
      <c r="D1663" s="5">
        <v>89.79</v>
      </c>
      <c r="E1663" s="101">
        <f t="shared" si="227"/>
        <v>3958305.9842000008</v>
      </c>
      <c r="F1663" s="331">
        <f t="shared" si="228"/>
        <v>3808173.4800000004</v>
      </c>
      <c r="G1663" s="338">
        <f t="shared" si="229"/>
        <v>4225966.3500000006</v>
      </c>
      <c r="H1663" s="338">
        <f t="shared" si="230"/>
        <v>4471452.21</v>
      </c>
    </row>
    <row r="1664" spans="1:8" x14ac:dyDescent="0.25">
      <c r="A1664" s="3">
        <v>507004</v>
      </c>
      <c r="B1664" s="84" t="s">
        <v>1481</v>
      </c>
      <c r="C1664" s="5">
        <v>93.66</v>
      </c>
      <c r="D1664" s="5">
        <v>82.15</v>
      </c>
      <c r="E1664" s="101">
        <f t="shared" si="227"/>
        <v>3621519.3756000004</v>
      </c>
      <c r="F1664" s="331">
        <f t="shared" si="228"/>
        <v>3484145.8000000003</v>
      </c>
      <c r="G1664" s="338">
        <f t="shared" si="229"/>
        <v>3866389.7500000005</v>
      </c>
      <c r="H1664" s="338">
        <f t="shared" si="230"/>
        <v>4090987.85</v>
      </c>
    </row>
    <row r="1665" spans="1:8" x14ac:dyDescent="0.25">
      <c r="A1665" s="3">
        <v>507005</v>
      </c>
      <c r="B1665" s="84" t="s">
        <v>1482</v>
      </c>
      <c r="C1665" s="5">
        <v>86.45</v>
      </c>
      <c r="D1665" s="5">
        <v>75.83</v>
      </c>
      <c r="E1665" s="101">
        <f t="shared" si="227"/>
        <v>3342732.7570000002</v>
      </c>
      <c r="F1665" s="331">
        <f t="shared" si="228"/>
        <v>3216101.96</v>
      </c>
      <c r="G1665" s="338">
        <f t="shared" si="229"/>
        <v>3568938.9499999997</v>
      </c>
      <c r="H1665" s="338">
        <f t="shared" si="230"/>
        <v>3776258.17</v>
      </c>
    </row>
    <row r="1666" spans="1:8" x14ac:dyDescent="0.25">
      <c r="A1666" s="3">
        <v>507006</v>
      </c>
      <c r="B1666" s="84" t="s">
        <v>1483</v>
      </c>
      <c r="C1666" s="5">
        <v>269.62</v>
      </c>
      <c r="D1666" s="5">
        <v>236.48</v>
      </c>
      <c r="E1666" s="101">
        <f t="shared" si="227"/>
        <v>10425304.869200001</v>
      </c>
      <c r="F1666" s="331">
        <f t="shared" si="228"/>
        <v>10029589.76</v>
      </c>
      <c r="G1666" s="338">
        <f t="shared" si="229"/>
        <v>11129931.199999999</v>
      </c>
      <c r="H1666" s="338">
        <f t="shared" si="230"/>
        <v>11776467.52</v>
      </c>
    </row>
    <row r="1667" spans="1:8" x14ac:dyDescent="0.25">
      <c r="A1667" s="3">
        <v>508001</v>
      </c>
      <c r="B1667" s="84" t="s">
        <v>1484</v>
      </c>
      <c r="C1667" s="5">
        <v>91.06</v>
      </c>
      <c r="D1667" s="5">
        <v>79.87</v>
      </c>
      <c r="E1667" s="101">
        <f t="shared" si="227"/>
        <v>3520986.0596000003</v>
      </c>
      <c r="F1667" s="331">
        <f t="shared" si="228"/>
        <v>3387446.4400000004</v>
      </c>
      <c r="G1667" s="338">
        <f t="shared" si="229"/>
        <v>3759081.5500000003</v>
      </c>
      <c r="H1667" s="338">
        <f t="shared" si="230"/>
        <v>3977446.1300000004</v>
      </c>
    </row>
    <row r="1668" spans="1:8" x14ac:dyDescent="0.25">
      <c r="A1668" s="3">
        <v>508002</v>
      </c>
      <c r="B1668" s="84" t="s">
        <v>1485</v>
      </c>
      <c r="C1668" s="5">
        <v>115.55</v>
      </c>
      <c r="D1668" s="5">
        <v>101.35</v>
      </c>
      <c r="E1668" s="101">
        <f t="shared" si="227"/>
        <v>4467932.5630000001</v>
      </c>
      <c r="F1668" s="331">
        <f t="shared" si="228"/>
        <v>4298456.2</v>
      </c>
      <c r="G1668" s="338">
        <f t="shared" si="229"/>
        <v>4770037.75</v>
      </c>
      <c r="H1668" s="338">
        <f t="shared" si="230"/>
        <v>5047128.6499999994</v>
      </c>
    </row>
    <row r="1669" spans="1:8" x14ac:dyDescent="0.25">
      <c r="A1669" s="3">
        <v>509001</v>
      </c>
      <c r="B1669" s="84" t="s">
        <v>1486</v>
      </c>
      <c r="C1669" s="5">
        <v>269.73</v>
      </c>
      <c r="D1669" s="5">
        <v>236.58</v>
      </c>
      <c r="E1669" s="101">
        <f t="shared" si="227"/>
        <v>10429558.201800002</v>
      </c>
      <c r="F1669" s="331">
        <f t="shared" si="228"/>
        <v>10033830.960000001</v>
      </c>
      <c r="G1669" s="338">
        <f t="shared" si="229"/>
        <v>11134637.700000001</v>
      </c>
      <c r="H1669" s="338">
        <f t="shared" si="230"/>
        <v>11781447.42</v>
      </c>
    </row>
    <row r="1670" spans="1:8" x14ac:dyDescent="0.25">
      <c r="A1670" s="3">
        <v>509002</v>
      </c>
      <c r="B1670" s="84" t="s">
        <v>1487</v>
      </c>
      <c r="C1670" s="5">
        <v>248.64</v>
      </c>
      <c r="D1670" s="5">
        <v>218.08</v>
      </c>
      <c r="E1670" s="101">
        <f t="shared" si="227"/>
        <v>9614078.3423999995</v>
      </c>
      <c r="F1670" s="331">
        <f t="shared" si="228"/>
        <v>9249208.9600000009</v>
      </c>
      <c r="G1670" s="338">
        <f t="shared" si="229"/>
        <v>10263935.200000001</v>
      </c>
      <c r="H1670" s="338">
        <f t="shared" si="230"/>
        <v>10860165.92</v>
      </c>
    </row>
    <row r="1671" spans="1:8" x14ac:dyDescent="0.25">
      <c r="A1671" s="3">
        <v>509003</v>
      </c>
      <c r="B1671" s="84" t="s">
        <v>1488</v>
      </c>
      <c r="C1671" s="5">
        <v>179.94</v>
      </c>
      <c r="D1671" s="5">
        <v>157.83000000000001</v>
      </c>
      <c r="E1671" s="101">
        <f t="shared" si="227"/>
        <v>6957678.800400001</v>
      </c>
      <c r="F1671" s="331">
        <f t="shared" si="228"/>
        <v>6693885.9600000009</v>
      </c>
      <c r="G1671" s="338">
        <f t="shared" si="229"/>
        <v>7428268.9500000002</v>
      </c>
      <c r="H1671" s="338">
        <f t="shared" si="230"/>
        <v>7859776.1700000009</v>
      </c>
    </row>
    <row r="1672" spans="1:8" x14ac:dyDescent="0.25">
      <c r="A1672" s="3">
        <v>509004</v>
      </c>
      <c r="B1672" s="84" t="s">
        <v>1489</v>
      </c>
      <c r="C1672" s="5">
        <v>63.34</v>
      </c>
      <c r="D1672" s="5">
        <v>55.56</v>
      </c>
      <c r="E1672" s="101">
        <f t="shared" si="227"/>
        <v>2449146.2444000002</v>
      </c>
      <c r="F1672" s="331">
        <f t="shared" si="228"/>
        <v>2356410.7200000002</v>
      </c>
      <c r="G1672" s="338">
        <f t="shared" si="229"/>
        <v>2614931.4</v>
      </c>
      <c r="H1672" s="338">
        <f t="shared" si="230"/>
        <v>2766832.44</v>
      </c>
    </row>
    <row r="1673" spans="1:8" x14ac:dyDescent="0.25">
      <c r="A1673" s="3">
        <v>509005</v>
      </c>
      <c r="B1673" s="84" t="s">
        <v>1490</v>
      </c>
      <c r="C1673" s="5">
        <v>85.52</v>
      </c>
      <c r="D1673" s="5">
        <v>75.010000000000005</v>
      </c>
      <c r="E1673" s="101">
        <f t="shared" si="227"/>
        <v>3306772.7631999999</v>
      </c>
      <c r="F1673" s="331">
        <f t="shared" si="228"/>
        <v>3181324.12</v>
      </c>
      <c r="G1673" s="338">
        <f t="shared" si="229"/>
        <v>3530345.6500000004</v>
      </c>
      <c r="H1673" s="338">
        <f t="shared" si="230"/>
        <v>3735422.99</v>
      </c>
    </row>
    <row r="1674" spans="1:8" x14ac:dyDescent="0.25">
      <c r="A1674" s="3">
        <v>509006</v>
      </c>
      <c r="B1674" s="84" t="s">
        <v>1491</v>
      </c>
      <c r="C1674" s="5">
        <v>93.34</v>
      </c>
      <c r="D1674" s="5">
        <v>81.87</v>
      </c>
      <c r="E1674" s="101">
        <f t="shared" si="227"/>
        <v>3609146.0444000005</v>
      </c>
      <c r="F1674" s="331">
        <f t="shared" si="228"/>
        <v>3472270.4400000004</v>
      </c>
      <c r="G1674" s="338">
        <f t="shared" si="229"/>
        <v>3853211.5500000003</v>
      </c>
      <c r="H1674" s="338">
        <f t="shared" si="230"/>
        <v>4077044.1300000004</v>
      </c>
    </row>
    <row r="1675" spans="1:8" x14ac:dyDescent="0.25">
      <c r="A1675" s="3">
        <v>509007</v>
      </c>
      <c r="B1675" s="84" t="s">
        <v>1492</v>
      </c>
      <c r="C1675" s="5">
        <v>215.23</v>
      </c>
      <c r="D1675" s="5">
        <v>188.78</v>
      </c>
      <c r="E1675" s="101">
        <f t="shared" si="227"/>
        <v>8322225.2318000002</v>
      </c>
      <c r="F1675" s="331">
        <f t="shared" si="228"/>
        <v>8006537.3600000003</v>
      </c>
      <c r="G1675" s="338">
        <f t="shared" si="229"/>
        <v>8884930.6999999993</v>
      </c>
      <c r="H1675" s="338">
        <f t="shared" si="230"/>
        <v>9401055.2200000007</v>
      </c>
    </row>
    <row r="1676" spans="1:8" x14ac:dyDescent="0.25">
      <c r="A1676" s="3">
        <v>510001</v>
      </c>
      <c r="B1676" s="84" t="s">
        <v>1493</v>
      </c>
      <c r="C1676" s="5">
        <v>267.02</v>
      </c>
      <c r="D1676" s="5">
        <v>234.2</v>
      </c>
      <c r="E1676" s="101">
        <f t="shared" si="227"/>
        <v>10324771.553200001</v>
      </c>
      <c r="F1676" s="331">
        <f t="shared" si="228"/>
        <v>9932890.4000000004</v>
      </c>
      <c r="G1676" s="338">
        <f t="shared" si="229"/>
        <v>11022623</v>
      </c>
      <c r="H1676" s="338">
        <f t="shared" si="230"/>
        <v>11662925.799999999</v>
      </c>
    </row>
    <row r="1677" spans="1:8" x14ac:dyDescent="0.25">
      <c r="A1677" s="3">
        <v>511001</v>
      </c>
      <c r="B1677" s="84" t="s">
        <v>1494</v>
      </c>
      <c r="C1677" s="5">
        <v>212.2</v>
      </c>
      <c r="D1677" s="5">
        <v>186.12</v>
      </c>
      <c r="E1677" s="101">
        <f t="shared" si="227"/>
        <v>8205065.2520000003</v>
      </c>
      <c r="F1677" s="331">
        <f t="shared" si="228"/>
        <v>7893721.4400000004</v>
      </c>
      <c r="G1677" s="338">
        <f t="shared" si="229"/>
        <v>8759737.8000000007</v>
      </c>
      <c r="H1677" s="338">
        <f t="shared" si="230"/>
        <v>9268589.8800000008</v>
      </c>
    </row>
    <row r="1678" spans="1:8" x14ac:dyDescent="0.25">
      <c r="A1678" s="3">
        <v>511002</v>
      </c>
      <c r="B1678" s="84" t="s">
        <v>1495</v>
      </c>
      <c r="C1678" s="5">
        <v>113.59</v>
      </c>
      <c r="D1678" s="5">
        <v>99.63</v>
      </c>
      <c r="E1678" s="101">
        <f t="shared" si="227"/>
        <v>4392145.9094000002</v>
      </c>
      <c r="F1678" s="331">
        <f t="shared" si="228"/>
        <v>4225507.5599999996</v>
      </c>
      <c r="G1678" s="338">
        <f t="shared" si="229"/>
        <v>4689085.95</v>
      </c>
      <c r="H1678" s="338">
        <f t="shared" si="230"/>
        <v>4961474.37</v>
      </c>
    </row>
    <row r="1679" spans="1:8" x14ac:dyDescent="0.25">
      <c r="A1679" s="3">
        <v>511003</v>
      </c>
      <c r="B1679" s="84" t="s">
        <v>1496</v>
      </c>
      <c r="C1679" s="5">
        <v>167.88</v>
      </c>
      <c r="D1679" s="5">
        <v>147.25</v>
      </c>
      <c r="E1679" s="101">
        <f t="shared" si="227"/>
        <v>6491358.8808000004</v>
      </c>
      <c r="F1679" s="331">
        <f t="shared" si="228"/>
        <v>6245167</v>
      </c>
      <c r="G1679" s="338">
        <f t="shared" si="229"/>
        <v>6930321.25</v>
      </c>
      <c r="H1679" s="338">
        <f t="shared" si="230"/>
        <v>7332902.75</v>
      </c>
    </row>
    <row r="1680" spans="1:8" x14ac:dyDescent="0.25">
      <c r="A1680" s="3">
        <v>512001</v>
      </c>
      <c r="B1680" s="84" t="s">
        <v>1497</v>
      </c>
      <c r="C1680" s="5">
        <v>99.11</v>
      </c>
      <c r="D1680" s="5">
        <v>86.93</v>
      </c>
      <c r="E1680" s="101">
        <f t="shared" si="227"/>
        <v>3832252.6726000002</v>
      </c>
      <c r="F1680" s="331">
        <f t="shared" si="228"/>
        <v>3686875.16</v>
      </c>
      <c r="G1680" s="338">
        <f t="shared" si="229"/>
        <v>4091360.45</v>
      </c>
      <c r="H1680" s="338">
        <f t="shared" si="230"/>
        <v>4329027.07</v>
      </c>
    </row>
    <row r="1681" spans="1:8" ht="13.8" customHeight="1" x14ac:dyDescent="0.25">
      <c r="A1681" s="3">
        <v>512002</v>
      </c>
      <c r="B1681" s="85" t="s">
        <v>1498</v>
      </c>
      <c r="C1681" s="5">
        <v>60.63</v>
      </c>
      <c r="D1681" s="5">
        <v>53.18</v>
      </c>
      <c r="E1681" s="101">
        <f t="shared" si="227"/>
        <v>2344359.5958000002</v>
      </c>
      <c r="F1681" s="331">
        <f t="shared" si="228"/>
        <v>2255470.16</v>
      </c>
      <c r="G1681" s="338">
        <f t="shared" si="229"/>
        <v>2502916.7000000002</v>
      </c>
      <c r="H1681" s="338">
        <f t="shared" si="230"/>
        <v>2648310.8199999998</v>
      </c>
    </row>
    <row r="1682" spans="1:8" x14ac:dyDescent="0.25">
      <c r="A1682" s="3">
        <v>512003</v>
      </c>
      <c r="B1682" s="84" t="s">
        <v>1499</v>
      </c>
      <c r="C1682" s="5">
        <v>54.9</v>
      </c>
      <c r="D1682" s="5">
        <v>48.15</v>
      </c>
      <c r="E1682" s="101">
        <f t="shared" si="227"/>
        <v>2122799.6340000001</v>
      </c>
      <c r="F1682" s="331">
        <f t="shared" si="228"/>
        <v>2042137.8</v>
      </c>
      <c r="G1682" s="338">
        <f t="shared" si="229"/>
        <v>2266179.75</v>
      </c>
      <c r="H1682" s="338">
        <f t="shared" si="230"/>
        <v>2397821.85</v>
      </c>
    </row>
    <row r="1683" spans="1:8" x14ac:dyDescent="0.25">
      <c r="A1683" s="3">
        <v>513001</v>
      </c>
      <c r="B1683" s="84" t="s">
        <v>1500</v>
      </c>
      <c r="C1683" s="5">
        <v>80.23</v>
      </c>
      <c r="D1683" s="5">
        <v>70.37</v>
      </c>
      <c r="E1683" s="101">
        <f t="shared" si="227"/>
        <v>3102226.1318000006</v>
      </c>
      <c r="F1683" s="331">
        <f t="shared" si="228"/>
        <v>2984532.4400000004</v>
      </c>
      <c r="G1683" s="338">
        <f t="shared" si="229"/>
        <v>3311964.0500000003</v>
      </c>
      <c r="H1683" s="338">
        <f t="shared" si="230"/>
        <v>3504355.6300000004</v>
      </c>
    </row>
    <row r="1684" spans="1:8" x14ac:dyDescent="0.25">
      <c r="A1684" s="3">
        <v>513002</v>
      </c>
      <c r="B1684" s="84" t="s">
        <v>1501</v>
      </c>
      <c r="C1684" s="5">
        <v>149.19</v>
      </c>
      <c r="D1684" s="5">
        <v>130.85</v>
      </c>
      <c r="E1684" s="101">
        <f t="shared" si="227"/>
        <v>5768679.0054000001</v>
      </c>
      <c r="F1684" s="331">
        <f t="shared" si="228"/>
        <v>5549610.2000000002</v>
      </c>
      <c r="G1684" s="338">
        <f t="shared" si="229"/>
        <v>6158455.25</v>
      </c>
      <c r="H1684" s="338">
        <f t="shared" si="230"/>
        <v>6516199.1499999994</v>
      </c>
    </row>
    <row r="1685" spans="1:8" x14ac:dyDescent="0.25">
      <c r="A1685" s="3">
        <v>513003</v>
      </c>
      <c r="B1685" s="84" t="s">
        <v>1502</v>
      </c>
      <c r="C1685" s="5">
        <v>153.53</v>
      </c>
      <c r="D1685" s="5">
        <v>134.66</v>
      </c>
      <c r="E1685" s="101">
        <f t="shared" si="227"/>
        <v>5936492.3098000009</v>
      </c>
      <c r="F1685" s="331">
        <f t="shared" ref="F1685:F1721" si="231">+$D1685*$F$2</f>
        <v>5711199.9199999999</v>
      </c>
      <c r="G1685" s="338">
        <f t="shared" ref="G1685:G1721" si="232">+$D1685*$G$2</f>
        <v>6337772.8999999994</v>
      </c>
      <c r="H1685" s="338">
        <f t="shared" ref="H1685:H1721" si="233">+$D1685*$H$2</f>
        <v>6705933.3399999999</v>
      </c>
    </row>
    <row r="1686" spans="1:8" x14ac:dyDescent="0.25">
      <c r="A1686" s="3">
        <v>513004</v>
      </c>
      <c r="B1686" s="84" t="s">
        <v>1503</v>
      </c>
      <c r="C1686" s="5">
        <v>100.62</v>
      </c>
      <c r="D1686" s="5">
        <v>88.25</v>
      </c>
      <c r="E1686" s="101">
        <f t="shared" si="227"/>
        <v>3890639.3292000005</v>
      </c>
      <c r="F1686" s="331">
        <f t="shared" si="231"/>
        <v>3742859</v>
      </c>
      <c r="G1686" s="338">
        <f t="shared" si="232"/>
        <v>4153486.25</v>
      </c>
      <c r="H1686" s="338">
        <f t="shared" si="233"/>
        <v>4394761.75</v>
      </c>
    </row>
    <row r="1687" spans="1:8" x14ac:dyDescent="0.25">
      <c r="A1687" s="3">
        <v>513005</v>
      </c>
      <c r="B1687" s="84" t="s">
        <v>1504</v>
      </c>
      <c r="C1687" s="5">
        <v>174.89</v>
      </c>
      <c r="D1687" s="5">
        <v>153.4</v>
      </c>
      <c r="E1687" s="101">
        <f t="shared" si="227"/>
        <v>6762412.1673999997</v>
      </c>
      <c r="F1687" s="331">
        <f t="shared" si="231"/>
        <v>6506000.7999999998</v>
      </c>
      <c r="G1687" s="338">
        <f t="shared" si="232"/>
        <v>7219771</v>
      </c>
      <c r="H1687" s="338">
        <f t="shared" si="233"/>
        <v>7639166.6000000006</v>
      </c>
    </row>
    <row r="1688" spans="1:8" x14ac:dyDescent="0.25">
      <c r="A1688" s="3">
        <v>513006</v>
      </c>
      <c r="B1688" s="84" t="s">
        <v>1505</v>
      </c>
      <c r="C1688" s="5">
        <v>127.63</v>
      </c>
      <c r="D1688" s="5">
        <v>111.94</v>
      </c>
      <c r="E1688" s="101">
        <f t="shared" si="227"/>
        <v>4935025.8158</v>
      </c>
      <c r="F1688" s="331">
        <f t="shared" si="231"/>
        <v>4747599.28</v>
      </c>
      <c r="G1688" s="338">
        <f t="shared" si="232"/>
        <v>5268456.0999999996</v>
      </c>
      <c r="H1688" s="338">
        <f t="shared" si="233"/>
        <v>5574500.0599999996</v>
      </c>
    </row>
    <row r="1689" spans="1:8" x14ac:dyDescent="0.25">
      <c r="A1689" s="3">
        <v>513007</v>
      </c>
      <c r="B1689" s="84" t="s">
        <v>1506</v>
      </c>
      <c r="C1689" s="5">
        <v>114.39</v>
      </c>
      <c r="D1689" s="5">
        <v>100.33</v>
      </c>
      <c r="E1689" s="101">
        <f t="shared" si="227"/>
        <v>4423079.2374</v>
      </c>
      <c r="F1689" s="331">
        <f t="shared" si="231"/>
        <v>4255195.96</v>
      </c>
      <c r="G1689" s="338">
        <f t="shared" si="232"/>
        <v>4722031.45</v>
      </c>
      <c r="H1689" s="338">
        <f t="shared" si="233"/>
        <v>4996333.67</v>
      </c>
    </row>
    <row r="1690" spans="1:8" x14ac:dyDescent="0.25">
      <c r="A1690" s="3">
        <v>513008</v>
      </c>
      <c r="B1690" s="84" t="s">
        <v>1507</v>
      </c>
      <c r="C1690" s="5">
        <v>92.53</v>
      </c>
      <c r="D1690" s="5">
        <v>81.16</v>
      </c>
      <c r="E1690" s="101">
        <f t="shared" si="227"/>
        <v>3577826.0498000002</v>
      </c>
      <c r="F1690" s="331">
        <f t="shared" si="231"/>
        <v>3442157.92</v>
      </c>
      <c r="G1690" s="338">
        <f t="shared" si="232"/>
        <v>3819795.4</v>
      </c>
      <c r="H1690" s="338">
        <f t="shared" si="233"/>
        <v>4041686.84</v>
      </c>
    </row>
    <row r="1691" spans="1:8" x14ac:dyDescent="0.25">
      <c r="A1691" s="3">
        <v>513009</v>
      </c>
      <c r="B1691" s="84" t="s">
        <v>1508</v>
      </c>
      <c r="C1691" s="5">
        <v>114.98</v>
      </c>
      <c r="D1691" s="5">
        <v>100.85</v>
      </c>
      <c r="E1691" s="101">
        <f t="shared" si="227"/>
        <v>4445892.5668000001</v>
      </c>
      <c r="F1691" s="331">
        <f t="shared" si="231"/>
        <v>4277250.2</v>
      </c>
      <c r="G1691" s="338">
        <f t="shared" si="232"/>
        <v>4746505.25</v>
      </c>
      <c r="H1691" s="338">
        <f t="shared" si="233"/>
        <v>5022229.1499999994</v>
      </c>
    </row>
    <row r="1692" spans="1:8" x14ac:dyDescent="0.25">
      <c r="A1692" s="3">
        <v>513010</v>
      </c>
      <c r="B1692" s="84" t="s">
        <v>1509</v>
      </c>
      <c r="C1692" s="5">
        <v>91.31</v>
      </c>
      <c r="D1692" s="5">
        <v>80.09</v>
      </c>
      <c r="E1692" s="101">
        <f t="shared" si="227"/>
        <v>3530652.7246000003</v>
      </c>
      <c r="F1692" s="331">
        <f t="shared" si="231"/>
        <v>3396777.08</v>
      </c>
      <c r="G1692" s="338">
        <f t="shared" si="232"/>
        <v>3769435.85</v>
      </c>
      <c r="H1692" s="338">
        <f t="shared" si="233"/>
        <v>3988401.91</v>
      </c>
    </row>
    <row r="1693" spans="1:8" x14ac:dyDescent="0.25">
      <c r="A1693" s="3">
        <v>513011</v>
      </c>
      <c r="B1693" s="84" t="s">
        <v>1510</v>
      </c>
      <c r="C1693" s="5">
        <v>106.07</v>
      </c>
      <c r="D1693" s="5">
        <v>93.03</v>
      </c>
      <c r="E1693" s="101">
        <f t="shared" si="227"/>
        <v>4101372.6262000003</v>
      </c>
      <c r="F1693" s="331">
        <f t="shared" si="231"/>
        <v>3945588.36</v>
      </c>
      <c r="G1693" s="338">
        <f t="shared" si="232"/>
        <v>4378456.95</v>
      </c>
      <c r="H1693" s="338">
        <f t="shared" si="233"/>
        <v>4632800.97</v>
      </c>
    </row>
    <row r="1694" spans="1:8" x14ac:dyDescent="0.25">
      <c r="A1694" s="3">
        <v>513012</v>
      </c>
      <c r="B1694" s="84" t="s">
        <v>1511</v>
      </c>
      <c r="C1694" s="5">
        <v>74.88</v>
      </c>
      <c r="D1694" s="5">
        <v>65.680000000000007</v>
      </c>
      <c r="E1694" s="101">
        <f t="shared" si="227"/>
        <v>2895359.5008</v>
      </c>
      <c r="F1694" s="331">
        <f t="shared" si="231"/>
        <v>2785620.16</v>
      </c>
      <c r="G1694" s="338">
        <f t="shared" si="232"/>
        <v>3091229.2</v>
      </c>
      <c r="H1694" s="338">
        <f t="shared" si="233"/>
        <v>3270798.3200000003</v>
      </c>
    </row>
    <row r="1695" spans="1:8" x14ac:dyDescent="0.25">
      <c r="A1695" s="3">
        <v>513013</v>
      </c>
      <c r="B1695" s="84" t="s">
        <v>1512</v>
      </c>
      <c r="C1695" s="5">
        <v>269.2</v>
      </c>
      <c r="D1695" s="5">
        <v>236.12</v>
      </c>
      <c r="E1695" s="101">
        <f t="shared" si="227"/>
        <v>10409064.872000001</v>
      </c>
      <c r="F1695" s="331">
        <f t="shared" si="231"/>
        <v>10014321.439999999</v>
      </c>
      <c r="G1695" s="338">
        <f t="shared" si="232"/>
        <v>11112987.800000001</v>
      </c>
      <c r="H1695" s="338">
        <f t="shared" si="233"/>
        <v>11758539.880000001</v>
      </c>
    </row>
    <row r="1696" spans="1:8" x14ac:dyDescent="0.25">
      <c r="A1696" s="3">
        <v>513014</v>
      </c>
      <c r="B1696" s="84" t="s">
        <v>1513</v>
      </c>
      <c r="C1696" s="5">
        <v>324.63</v>
      </c>
      <c r="D1696" s="5">
        <v>284.73</v>
      </c>
      <c r="E1696" s="101">
        <f t="shared" si="227"/>
        <v>12552357.835800001</v>
      </c>
      <c r="F1696" s="331">
        <f t="shared" si="231"/>
        <v>12075968.760000002</v>
      </c>
      <c r="G1696" s="338">
        <f t="shared" si="232"/>
        <v>13400817.450000001</v>
      </c>
      <c r="H1696" s="338">
        <f t="shared" si="233"/>
        <v>14179269.270000001</v>
      </c>
    </row>
    <row r="1697" spans="1:8" x14ac:dyDescent="0.25">
      <c r="A1697" s="3">
        <v>513015</v>
      </c>
      <c r="B1697" s="84" t="s">
        <v>1514</v>
      </c>
      <c r="C1697" s="5">
        <v>242.16</v>
      </c>
      <c r="D1697" s="5">
        <v>212.4</v>
      </c>
      <c r="E1697" s="101">
        <f t="shared" si="227"/>
        <v>9363518.3856000006</v>
      </c>
      <c r="F1697" s="331">
        <f t="shared" si="231"/>
        <v>9008308.8000000007</v>
      </c>
      <c r="G1697" s="338">
        <f t="shared" si="232"/>
        <v>9996606</v>
      </c>
      <c r="H1697" s="338">
        <f t="shared" si="233"/>
        <v>10577307.6</v>
      </c>
    </row>
    <row r="1698" spans="1:8" x14ac:dyDescent="0.25">
      <c r="A1698" s="3">
        <v>513016</v>
      </c>
      <c r="B1698" s="84" t="s">
        <v>1515</v>
      </c>
      <c r="C1698" s="5">
        <v>338.32</v>
      </c>
      <c r="D1698" s="5">
        <v>296.74</v>
      </c>
      <c r="E1698" s="101">
        <f t="shared" si="227"/>
        <v>13081704.411200002</v>
      </c>
      <c r="F1698" s="331">
        <f t="shared" si="231"/>
        <v>12585336.880000001</v>
      </c>
      <c r="G1698" s="338">
        <f t="shared" si="232"/>
        <v>13966068.1</v>
      </c>
      <c r="H1698" s="338">
        <f t="shared" si="233"/>
        <v>14777355.26</v>
      </c>
    </row>
    <row r="1699" spans="1:8" x14ac:dyDescent="0.25">
      <c r="A1699" s="3">
        <v>513017</v>
      </c>
      <c r="B1699" s="84" t="s">
        <v>1516</v>
      </c>
      <c r="C1699" s="5">
        <v>119.76</v>
      </c>
      <c r="D1699" s="5">
        <v>105.04</v>
      </c>
      <c r="E1699" s="101">
        <f t="shared" si="227"/>
        <v>4630719.2016000003</v>
      </c>
      <c r="F1699" s="331">
        <f t="shared" si="231"/>
        <v>4454956.4800000004</v>
      </c>
      <c r="G1699" s="338">
        <f t="shared" si="232"/>
        <v>4943707.6000000006</v>
      </c>
      <c r="H1699" s="338">
        <f t="shared" si="233"/>
        <v>5230886.96</v>
      </c>
    </row>
    <row r="1700" spans="1:8" x14ac:dyDescent="0.25">
      <c r="A1700" s="3">
        <v>513018</v>
      </c>
      <c r="B1700" s="84" t="s">
        <v>1517</v>
      </c>
      <c r="C1700" s="5">
        <v>237.28</v>
      </c>
      <c r="D1700" s="5">
        <v>208.12</v>
      </c>
      <c r="E1700" s="101">
        <f t="shared" si="227"/>
        <v>9174825.0848000012</v>
      </c>
      <c r="F1700" s="331">
        <f t="shared" si="231"/>
        <v>8826785.4399999995</v>
      </c>
      <c r="G1700" s="338">
        <f t="shared" si="232"/>
        <v>9795167.8000000007</v>
      </c>
      <c r="H1700" s="338">
        <f t="shared" si="233"/>
        <v>10364167.880000001</v>
      </c>
    </row>
    <row r="1701" spans="1:8" x14ac:dyDescent="0.25">
      <c r="A1701" s="3">
        <v>513019</v>
      </c>
      <c r="B1701" s="84" t="s">
        <v>1518</v>
      </c>
      <c r="C1701" s="5">
        <v>237.31</v>
      </c>
      <c r="D1701" s="5">
        <v>208.14</v>
      </c>
      <c r="E1701" s="101">
        <f t="shared" si="227"/>
        <v>9175985.0846000016</v>
      </c>
      <c r="F1701" s="331">
        <f t="shared" si="231"/>
        <v>8827633.6799999997</v>
      </c>
      <c r="G1701" s="338">
        <f t="shared" si="232"/>
        <v>9796109.0999999996</v>
      </c>
      <c r="H1701" s="338">
        <f t="shared" si="233"/>
        <v>10365163.859999999</v>
      </c>
    </row>
    <row r="1702" spans="1:8" ht="13.8" customHeight="1" x14ac:dyDescent="0.25">
      <c r="A1702" s="3">
        <v>513020</v>
      </c>
      <c r="B1702" s="85" t="s">
        <v>1519</v>
      </c>
      <c r="C1702" s="5">
        <v>256.01</v>
      </c>
      <c r="D1702" s="5">
        <v>224.55</v>
      </c>
      <c r="E1702" s="101">
        <f t="shared" si="227"/>
        <v>9899051.626600001</v>
      </c>
      <c r="F1702" s="331">
        <f t="shared" si="231"/>
        <v>9523614.5999999996</v>
      </c>
      <c r="G1702" s="338">
        <f t="shared" si="232"/>
        <v>10568445.75</v>
      </c>
      <c r="H1702" s="338">
        <f t="shared" si="233"/>
        <v>11182365.450000001</v>
      </c>
    </row>
    <row r="1703" spans="1:8" x14ac:dyDescent="0.25">
      <c r="A1703" s="3">
        <v>513021</v>
      </c>
      <c r="B1703" s="84" t="s">
        <v>1520</v>
      </c>
      <c r="C1703" s="5">
        <v>148.79</v>
      </c>
      <c r="D1703" s="5">
        <v>130.5</v>
      </c>
      <c r="E1703" s="101">
        <f t="shared" si="227"/>
        <v>5753212.3414000003</v>
      </c>
      <c r="F1703" s="331">
        <f t="shared" si="231"/>
        <v>5534766</v>
      </c>
      <c r="G1703" s="338">
        <f t="shared" si="232"/>
        <v>6141982.5</v>
      </c>
      <c r="H1703" s="338">
        <f t="shared" si="233"/>
        <v>6498769.5</v>
      </c>
    </row>
    <row r="1704" spans="1:8" x14ac:dyDescent="0.25">
      <c r="A1704" s="3">
        <v>513022</v>
      </c>
      <c r="B1704" s="84" t="s">
        <v>1521</v>
      </c>
      <c r="C1704" s="5">
        <v>118.99</v>
      </c>
      <c r="D1704" s="5">
        <v>104.37</v>
      </c>
      <c r="E1704" s="101">
        <f t="shared" si="227"/>
        <v>4600945.8733999999</v>
      </c>
      <c r="F1704" s="331">
        <f t="shared" si="231"/>
        <v>4426540.4400000004</v>
      </c>
      <c r="G1704" s="338">
        <f t="shared" si="232"/>
        <v>4912174.05</v>
      </c>
      <c r="H1704" s="338">
        <f t="shared" si="233"/>
        <v>5197521.63</v>
      </c>
    </row>
    <row r="1705" spans="1:8" x14ac:dyDescent="0.25">
      <c r="A1705" s="3">
        <v>513023</v>
      </c>
      <c r="B1705" s="84" t="s">
        <v>1522</v>
      </c>
      <c r="C1705" s="5">
        <v>145</v>
      </c>
      <c r="D1705" s="5">
        <v>127.18</v>
      </c>
      <c r="E1705" s="101">
        <f t="shared" si="227"/>
        <v>5606665.7000000002</v>
      </c>
      <c r="F1705" s="331">
        <f t="shared" si="231"/>
        <v>5393958.1600000001</v>
      </c>
      <c r="G1705" s="338">
        <f t="shared" si="232"/>
        <v>5985726.7000000002</v>
      </c>
      <c r="H1705" s="338">
        <f t="shared" si="233"/>
        <v>6333436.8200000003</v>
      </c>
    </row>
    <row r="1706" spans="1:8" x14ac:dyDescent="0.25">
      <c r="A1706" s="3">
        <v>513024</v>
      </c>
      <c r="B1706" s="84" t="s">
        <v>1523</v>
      </c>
      <c r="C1706" s="5">
        <v>128.96</v>
      </c>
      <c r="D1706" s="5">
        <v>113.11</v>
      </c>
      <c r="E1706" s="101">
        <f t="shared" si="227"/>
        <v>4986452.4736000011</v>
      </c>
      <c r="F1706" s="331">
        <f t="shared" si="231"/>
        <v>4797221.32</v>
      </c>
      <c r="G1706" s="339">
        <f t="shared" si="232"/>
        <v>5323522.1500000004</v>
      </c>
      <c r="H1706" s="338">
        <f t="shared" si="233"/>
        <v>5632764.8899999997</v>
      </c>
    </row>
    <row r="1707" spans="1:8" x14ac:dyDescent="0.25">
      <c r="A1707" s="3">
        <v>513025</v>
      </c>
      <c r="B1707" s="84" t="s">
        <v>1524</v>
      </c>
      <c r="C1707" s="5">
        <v>142.59</v>
      </c>
      <c r="D1707" s="5">
        <v>125.07</v>
      </c>
      <c r="E1707" s="101">
        <f t="shared" si="227"/>
        <v>5513479.0494000008</v>
      </c>
      <c r="F1707" s="331">
        <f t="shared" si="231"/>
        <v>5304468.84</v>
      </c>
      <c r="G1707" s="339">
        <f t="shared" si="232"/>
        <v>5886419.5499999998</v>
      </c>
      <c r="H1707" s="338">
        <f t="shared" si="233"/>
        <v>6228360.9299999997</v>
      </c>
    </row>
    <row r="1708" spans="1:8" x14ac:dyDescent="0.25">
      <c r="A1708" s="3">
        <v>513026</v>
      </c>
      <c r="B1708" s="84" t="s">
        <v>1525</v>
      </c>
      <c r="C1708" s="5">
        <v>105.47</v>
      </c>
      <c r="D1708" s="5">
        <v>92.51</v>
      </c>
      <c r="E1708" s="101">
        <f t="shared" si="227"/>
        <v>4078172.6302000005</v>
      </c>
      <c r="F1708" s="331">
        <f t="shared" si="231"/>
        <v>3923534.12</v>
      </c>
      <c r="G1708" s="339">
        <f t="shared" si="232"/>
        <v>4353983.1500000004</v>
      </c>
      <c r="H1708" s="338">
        <f t="shared" si="233"/>
        <v>4606905.49</v>
      </c>
    </row>
    <row r="1709" spans="1:8" x14ac:dyDescent="0.25">
      <c r="A1709" s="3">
        <v>513027</v>
      </c>
      <c r="B1709" s="84" t="s">
        <v>1526</v>
      </c>
      <c r="C1709" s="5">
        <v>104.67</v>
      </c>
      <c r="D1709" s="5">
        <v>91.81</v>
      </c>
      <c r="E1709" s="101">
        <f t="shared" si="227"/>
        <v>4047239.3022000003</v>
      </c>
      <c r="F1709" s="331">
        <f t="shared" si="231"/>
        <v>3893845.72</v>
      </c>
      <c r="G1709" s="339">
        <f t="shared" si="232"/>
        <v>4321037.6500000004</v>
      </c>
      <c r="H1709" s="338">
        <f t="shared" si="233"/>
        <v>4572046.1900000004</v>
      </c>
    </row>
    <row r="1710" spans="1:8" x14ac:dyDescent="0.25">
      <c r="A1710" s="3">
        <v>513028</v>
      </c>
      <c r="B1710" s="84" t="s">
        <v>1527</v>
      </c>
      <c r="C1710" s="5">
        <v>233.45</v>
      </c>
      <c r="D1710" s="5">
        <v>204.76</v>
      </c>
      <c r="E1710" s="101">
        <f t="shared" si="227"/>
        <v>9026731.7770000007</v>
      </c>
      <c r="F1710" s="331">
        <f t="shared" si="231"/>
        <v>8684281.1199999992</v>
      </c>
      <c r="G1710" s="339">
        <f t="shared" si="232"/>
        <v>9637029.4000000004</v>
      </c>
      <c r="H1710" s="338">
        <f t="shared" si="233"/>
        <v>10196843.24</v>
      </c>
    </row>
    <row r="1711" spans="1:8" x14ac:dyDescent="0.25">
      <c r="A1711" s="3">
        <v>513029</v>
      </c>
      <c r="B1711" s="84" t="s">
        <v>1528</v>
      </c>
      <c r="C1711" s="5">
        <v>406.85</v>
      </c>
      <c r="D1711" s="5">
        <v>356.85</v>
      </c>
      <c r="E1711" s="101">
        <f t="shared" si="227"/>
        <v>15731530.621000003</v>
      </c>
      <c r="F1711" s="331">
        <f t="shared" si="231"/>
        <v>15134722.200000001</v>
      </c>
      <c r="G1711" s="339">
        <f t="shared" si="232"/>
        <v>16795145.25</v>
      </c>
      <c r="H1711" s="338">
        <f t="shared" si="233"/>
        <v>17770773.150000002</v>
      </c>
    </row>
    <row r="1712" spans="1:8" x14ac:dyDescent="0.25">
      <c r="A1712" s="3">
        <v>513030</v>
      </c>
      <c r="B1712" s="84" t="s">
        <v>1529</v>
      </c>
      <c r="C1712" s="5">
        <v>471.52</v>
      </c>
      <c r="D1712" s="5">
        <v>413.57</v>
      </c>
      <c r="E1712" s="101">
        <f t="shared" si="227"/>
        <v>18232103.523200002</v>
      </c>
      <c r="F1712" s="331">
        <f t="shared" si="231"/>
        <v>17540330.84</v>
      </c>
      <c r="G1712" s="339">
        <f t="shared" si="232"/>
        <v>19464672.050000001</v>
      </c>
      <c r="H1712" s="338">
        <f t="shared" si="233"/>
        <v>20595372.43</v>
      </c>
    </row>
    <row r="1713" spans="1:10" x14ac:dyDescent="0.25">
      <c r="A1713" s="3">
        <v>513031</v>
      </c>
      <c r="B1713" s="84" t="s">
        <v>1530</v>
      </c>
      <c r="C1713" s="5">
        <v>489.15</v>
      </c>
      <c r="D1713" s="5">
        <v>429.03</v>
      </c>
      <c r="E1713" s="101">
        <f t="shared" si="227"/>
        <v>18913796.739</v>
      </c>
      <c r="F1713" s="331">
        <f t="shared" si="231"/>
        <v>18196020.359999999</v>
      </c>
      <c r="G1713" s="339">
        <f t="shared" si="232"/>
        <v>20192296.949999999</v>
      </c>
      <c r="H1713" s="338">
        <f t="shared" si="233"/>
        <v>21365264.969999999</v>
      </c>
    </row>
    <row r="1714" spans="1:10" x14ac:dyDescent="0.25">
      <c r="A1714" s="3">
        <v>513032</v>
      </c>
      <c r="B1714" s="84" t="s">
        <v>1531</v>
      </c>
      <c r="C1714" s="5">
        <v>94.52</v>
      </c>
      <c r="D1714" s="5">
        <v>82.9</v>
      </c>
      <c r="E1714" s="101">
        <f t="shared" si="227"/>
        <v>3654772.7032000003</v>
      </c>
      <c r="F1714" s="331">
        <f t="shared" si="231"/>
        <v>3515954.8000000003</v>
      </c>
      <c r="G1714" s="339">
        <f t="shared" si="232"/>
        <v>3901688.5000000005</v>
      </c>
      <c r="H1714" s="338">
        <f t="shared" si="233"/>
        <v>4128337.1</v>
      </c>
    </row>
    <row r="1715" spans="1:10" ht="13.8" customHeight="1" x14ac:dyDescent="0.25">
      <c r="A1715" s="3">
        <v>516002</v>
      </c>
      <c r="B1715" s="85" t="s">
        <v>1532</v>
      </c>
      <c r="C1715" s="5">
        <v>159.34</v>
      </c>
      <c r="D1715" s="5">
        <v>139.76</v>
      </c>
      <c r="E1715" s="101">
        <f t="shared" si="227"/>
        <v>6161145.6044000005</v>
      </c>
      <c r="F1715" s="331">
        <f t="shared" si="231"/>
        <v>5927501.1199999992</v>
      </c>
      <c r="G1715" s="339">
        <f t="shared" si="232"/>
        <v>6577804.3999999994</v>
      </c>
      <c r="H1715" s="338">
        <f t="shared" si="233"/>
        <v>6959908.2399999993</v>
      </c>
    </row>
    <row r="1716" spans="1:10" x14ac:dyDescent="0.25">
      <c r="A1716" s="3">
        <v>516003</v>
      </c>
      <c r="B1716" s="84" t="s">
        <v>1533</v>
      </c>
      <c r="C1716" s="5">
        <v>139.11000000000001</v>
      </c>
      <c r="D1716" s="5">
        <v>122.01</v>
      </c>
      <c r="E1716" s="101">
        <f t="shared" si="227"/>
        <v>5378919.0726000015</v>
      </c>
      <c r="F1716" s="331">
        <f t="shared" si="231"/>
        <v>5174688.12</v>
      </c>
      <c r="G1716" s="339">
        <f t="shared" si="232"/>
        <v>5742400.6500000004</v>
      </c>
      <c r="H1716" s="338">
        <f t="shared" si="233"/>
        <v>6075975.9900000002</v>
      </c>
    </row>
    <row r="1717" spans="1:10" x14ac:dyDescent="0.25">
      <c r="A1717" s="3">
        <v>516004</v>
      </c>
      <c r="B1717" s="84" t="s">
        <v>1534</v>
      </c>
      <c r="C1717" s="5">
        <v>100.18</v>
      </c>
      <c r="D1717" s="5">
        <v>87.87</v>
      </c>
      <c r="E1717" s="101">
        <f t="shared" ref="E1717:E1721" si="234">+$C1717*$E$2</f>
        <v>3873625.9988000006</v>
      </c>
      <c r="F1717" s="331">
        <f t="shared" si="231"/>
        <v>3726742.4400000004</v>
      </c>
      <c r="G1717" s="339">
        <f t="shared" si="232"/>
        <v>4135601.5500000003</v>
      </c>
      <c r="H1717" s="338">
        <f t="shared" si="233"/>
        <v>4375838.13</v>
      </c>
    </row>
    <row r="1718" spans="1:10" x14ac:dyDescent="0.25">
      <c r="A1718" s="3">
        <v>516005</v>
      </c>
      <c r="B1718" s="84" t="s">
        <v>1535</v>
      </c>
      <c r="C1718" s="5">
        <v>128.87</v>
      </c>
      <c r="D1718" s="5">
        <v>113.03</v>
      </c>
      <c r="E1718" s="101">
        <f t="shared" si="234"/>
        <v>4982972.474200001</v>
      </c>
      <c r="F1718" s="331">
        <f t="shared" si="231"/>
        <v>4793828.3600000003</v>
      </c>
      <c r="G1718" s="339">
        <f t="shared" si="232"/>
        <v>5319756.95</v>
      </c>
      <c r="H1718" s="338">
        <f t="shared" si="233"/>
        <v>5628780.9699999997</v>
      </c>
    </row>
    <row r="1719" spans="1:10" x14ac:dyDescent="0.25">
      <c r="A1719" s="3">
        <v>518001</v>
      </c>
      <c r="B1719" s="84" t="s">
        <v>1536</v>
      </c>
      <c r="C1719" s="5">
        <v>121.97</v>
      </c>
      <c r="D1719" s="5">
        <v>106.98</v>
      </c>
      <c r="E1719" s="101">
        <f t="shared" si="234"/>
        <v>4716172.5202000001</v>
      </c>
      <c r="F1719" s="331">
        <f t="shared" si="231"/>
        <v>4537235.76</v>
      </c>
      <c r="G1719" s="339">
        <f t="shared" si="232"/>
        <v>5035013.7</v>
      </c>
      <c r="H1719" s="338">
        <f t="shared" si="233"/>
        <v>5327497.0200000005</v>
      </c>
    </row>
    <row r="1720" spans="1:10" x14ac:dyDescent="0.25">
      <c r="A1720" s="3">
        <v>518002</v>
      </c>
      <c r="B1720" s="84" t="s">
        <v>1537</v>
      </c>
      <c r="C1720" s="5">
        <v>117.2</v>
      </c>
      <c r="D1720" s="5">
        <v>102.8</v>
      </c>
      <c r="E1720" s="101">
        <f t="shared" si="234"/>
        <v>4531732.5520000001</v>
      </c>
      <c r="F1720" s="331">
        <f t="shared" si="231"/>
        <v>4359953.5999999996</v>
      </c>
      <c r="G1720" s="339">
        <f t="shared" si="232"/>
        <v>4838282</v>
      </c>
      <c r="H1720" s="338">
        <f t="shared" si="233"/>
        <v>5119337.2</v>
      </c>
    </row>
    <row r="1721" spans="1:10" ht="14.4" thickBot="1" x14ac:dyDescent="0.3">
      <c r="A1721" s="8">
        <v>518003</v>
      </c>
      <c r="B1721" s="86" t="s">
        <v>1538</v>
      </c>
      <c r="C1721" s="10">
        <v>74.239999999999995</v>
      </c>
      <c r="D1721" s="10">
        <v>65.12</v>
      </c>
      <c r="E1721" s="101">
        <f t="shared" si="234"/>
        <v>2870612.8384000002</v>
      </c>
      <c r="F1721" s="207">
        <f t="shared" si="231"/>
        <v>2761869.4400000004</v>
      </c>
      <c r="G1721" s="340">
        <f t="shared" si="232"/>
        <v>3064872.8000000003</v>
      </c>
      <c r="H1721" s="338">
        <f t="shared" si="233"/>
        <v>3242910.8800000004</v>
      </c>
    </row>
    <row r="1722" spans="1:10" ht="42" thickBot="1" x14ac:dyDescent="0.3">
      <c r="A1722" s="232" t="s">
        <v>3550</v>
      </c>
      <c r="B1722" s="167"/>
      <c r="C1722" s="167"/>
      <c r="D1722" s="167"/>
      <c r="E1722" s="167"/>
      <c r="F1722" s="211"/>
      <c r="G1722" s="106"/>
      <c r="H1722" s="106"/>
      <c r="I1722" s="106"/>
      <c r="J1722" s="106"/>
    </row>
    <row r="1723" spans="1:10" ht="42" thickBot="1" x14ac:dyDescent="0.3">
      <c r="A1723" s="232" t="s">
        <v>1567</v>
      </c>
      <c r="B1723" s="108"/>
      <c r="C1723" s="35"/>
      <c r="D1723" s="35"/>
      <c r="E1723" s="35"/>
      <c r="F1723" s="36"/>
    </row>
    <row r="1724" spans="1:10" ht="42" thickBot="1" x14ac:dyDescent="0.3">
      <c r="A1724" s="232" t="s">
        <v>1567</v>
      </c>
      <c r="B1724" s="108"/>
      <c r="C1724" s="35"/>
      <c r="D1724" s="35"/>
      <c r="E1724" s="35"/>
      <c r="F1724" s="36"/>
    </row>
    <row r="1725" spans="1:10" ht="62.4" customHeight="1" thickBot="1" x14ac:dyDescent="0.3">
      <c r="A1725" s="232" t="s">
        <v>3551</v>
      </c>
      <c r="B1725" s="124"/>
      <c r="C1725" s="70"/>
      <c r="D1725" s="37"/>
      <c r="E1725" s="37"/>
      <c r="F1725" s="55"/>
    </row>
    <row r="1726" spans="1:10" ht="28.2" thickBot="1" x14ac:dyDescent="0.3">
      <c r="A1726" s="232" t="s">
        <v>3552</v>
      </c>
      <c r="B1726" s="108"/>
      <c r="C1726" s="160"/>
      <c r="D1726" s="35"/>
      <c r="E1726" s="35"/>
      <c r="F1726" s="36"/>
    </row>
    <row r="1727" spans="1:10" ht="42" thickBot="1" x14ac:dyDescent="0.3">
      <c r="A1727" s="232" t="s">
        <v>3553</v>
      </c>
      <c r="B1727" s="124"/>
      <c r="C1727" s="70"/>
      <c r="D1727" s="37"/>
      <c r="E1727" s="37"/>
      <c r="F1727" s="55"/>
    </row>
    <row r="1728" spans="1:10" ht="14.4" thickBot="1" x14ac:dyDescent="0.3">
      <c r="A1728" s="15" t="s">
        <v>1582</v>
      </c>
      <c r="B1728" s="108"/>
      <c r="C1728" s="160"/>
      <c r="D1728" s="35"/>
      <c r="E1728" s="35"/>
      <c r="F1728" s="36"/>
    </row>
    <row r="1729" spans="1:6" ht="42" thickBot="1" x14ac:dyDescent="0.3">
      <c r="A1729" s="232" t="s">
        <v>1568</v>
      </c>
      <c r="B1729" s="124"/>
      <c r="C1729" s="70"/>
      <c r="D1729" s="37"/>
      <c r="E1729" s="37"/>
      <c r="F1729" s="55"/>
    </row>
    <row r="1730" spans="1:6" ht="14.4" thickBot="1" x14ac:dyDescent="0.3">
      <c r="A1730" s="15" t="s">
        <v>1581</v>
      </c>
      <c r="B1730" s="108"/>
      <c r="C1730" s="160"/>
      <c r="D1730" s="35"/>
      <c r="E1730" s="35"/>
      <c r="F1730" s="36"/>
    </row>
    <row r="1731" spans="1:6" ht="28.2" thickBot="1" x14ac:dyDescent="0.3">
      <c r="A1731" s="232" t="s">
        <v>1569</v>
      </c>
      <c r="B1731" s="108"/>
      <c r="C1731" s="160"/>
      <c r="D1731" s="35"/>
      <c r="E1731" s="35"/>
      <c r="F1731" s="36"/>
    </row>
    <row r="1732" spans="1:6" ht="28.2" thickBot="1" x14ac:dyDescent="0.3">
      <c r="A1732" s="232" t="s">
        <v>1570</v>
      </c>
      <c r="B1732" s="108"/>
      <c r="C1732" s="160"/>
      <c r="D1732" s="35"/>
      <c r="E1732" s="35"/>
      <c r="F1732" s="36"/>
    </row>
    <row r="1733" spans="1:6" ht="42" thickBot="1" x14ac:dyDescent="0.3">
      <c r="A1733" s="232" t="s">
        <v>1571</v>
      </c>
      <c r="B1733" s="124"/>
      <c r="C1733" s="70"/>
      <c r="D1733" s="37"/>
      <c r="E1733" s="37"/>
      <c r="F1733" s="55"/>
    </row>
    <row r="1734" spans="1:6" ht="28.2" thickBot="1" x14ac:dyDescent="0.3">
      <c r="A1734" s="232" t="s">
        <v>3554</v>
      </c>
      <c r="B1734" s="108"/>
      <c r="C1734" s="160"/>
      <c r="D1734" s="35"/>
      <c r="E1734" s="35"/>
      <c r="F1734" s="36"/>
    </row>
    <row r="1735" spans="1:6" ht="42" thickBot="1" x14ac:dyDescent="0.3">
      <c r="A1735" s="232" t="s">
        <v>3555</v>
      </c>
      <c r="B1735" s="124"/>
      <c r="C1735" s="70"/>
      <c r="D1735" s="37"/>
      <c r="E1735" s="37"/>
      <c r="F1735" s="55"/>
    </row>
    <row r="1736" spans="1:6" ht="14.4" thickBot="1" x14ac:dyDescent="0.3">
      <c r="A1736" s="232" t="s">
        <v>1572</v>
      </c>
      <c r="B1736" s="108"/>
      <c r="C1736" s="160"/>
      <c r="D1736" s="35"/>
      <c r="E1736" s="35"/>
      <c r="F1736" s="36"/>
    </row>
    <row r="1737" spans="1:6" ht="28.2" thickBot="1" x14ac:dyDescent="0.3">
      <c r="A1737" s="232" t="s">
        <v>1573</v>
      </c>
      <c r="B1737" s="231"/>
      <c r="C1737" s="70"/>
      <c r="D1737" s="37"/>
      <c r="E1737" s="37"/>
      <c r="F1737" s="55"/>
    </row>
    <row r="1738" spans="1:6" ht="28.2" thickBot="1" x14ac:dyDescent="0.3">
      <c r="A1738" s="232" t="s">
        <v>3556</v>
      </c>
      <c r="B1738" s="234"/>
      <c r="C1738" s="160"/>
      <c r="D1738" s="35"/>
      <c r="E1738" s="35"/>
      <c r="F1738" s="36"/>
    </row>
    <row r="1739" spans="1:6" ht="28.2" thickBot="1" x14ac:dyDescent="0.3">
      <c r="A1739" s="232" t="s">
        <v>3557</v>
      </c>
      <c r="B1739" s="234"/>
      <c r="C1739" s="160"/>
      <c r="D1739" s="35"/>
      <c r="E1739" s="35"/>
      <c r="F1739" s="36"/>
    </row>
    <row r="1740" spans="1:6" ht="14.4" thickBot="1" x14ac:dyDescent="0.3">
      <c r="A1740" s="232" t="s">
        <v>3558</v>
      </c>
      <c r="B1740" s="231"/>
      <c r="C1740" s="70"/>
      <c r="D1740" s="37"/>
      <c r="E1740" s="37"/>
      <c r="F1740" s="55"/>
    </row>
    <row r="1741" spans="1:6" ht="14.4" thickBot="1" x14ac:dyDescent="0.3">
      <c r="A1741" s="232" t="s">
        <v>3559</v>
      </c>
      <c r="B1741" s="234"/>
      <c r="C1741" s="160"/>
      <c r="D1741" s="35"/>
      <c r="E1741" s="35"/>
      <c r="F1741" s="36"/>
    </row>
    <row r="1742" spans="1:6" ht="28.2" thickBot="1" x14ac:dyDescent="0.3">
      <c r="A1742" s="232" t="s">
        <v>3560</v>
      </c>
      <c r="B1742" s="231"/>
      <c r="C1742" s="70"/>
      <c r="D1742" s="37"/>
      <c r="E1742" s="37"/>
      <c r="F1742" s="55"/>
    </row>
    <row r="1743" spans="1:6" ht="14.4" thickBot="1" x14ac:dyDescent="0.3">
      <c r="A1743" s="232" t="s">
        <v>3561</v>
      </c>
      <c r="B1743" s="234"/>
      <c r="C1743" s="160"/>
      <c r="D1743" s="35"/>
      <c r="E1743" s="35"/>
      <c r="F1743" s="36"/>
    </row>
    <row r="1744" spans="1:6" ht="28.2" thickBot="1" x14ac:dyDescent="0.3">
      <c r="A1744" s="232" t="s">
        <v>3562</v>
      </c>
      <c r="B1744" s="231"/>
      <c r="C1744" s="70"/>
      <c r="D1744" s="37"/>
      <c r="E1744" s="37"/>
      <c r="F1744" s="55"/>
    </row>
    <row r="1745" spans="1:6" ht="14.4" thickBot="1" x14ac:dyDescent="0.3">
      <c r="A1745" s="232" t="s">
        <v>3563</v>
      </c>
      <c r="B1745" s="234"/>
      <c r="C1745" s="160"/>
      <c r="D1745" s="35"/>
      <c r="E1745" s="35"/>
      <c r="F1745" s="36"/>
    </row>
    <row r="1746" spans="1:6" ht="14.4" thickBot="1" x14ac:dyDescent="0.3">
      <c r="A1746" s="232" t="s">
        <v>3564</v>
      </c>
      <c r="B1746" s="231"/>
      <c r="C1746" s="70"/>
      <c r="D1746" s="37"/>
      <c r="E1746" s="37"/>
      <c r="F1746" s="55"/>
    </row>
    <row r="1747" spans="1:6" ht="28.2" thickBot="1" x14ac:dyDescent="0.3">
      <c r="A1747" s="232" t="s">
        <v>3565</v>
      </c>
      <c r="B1747" s="234"/>
      <c r="C1747" s="160"/>
      <c r="D1747" s="35"/>
      <c r="E1747" s="35"/>
      <c r="F1747" s="36"/>
    </row>
    <row r="1748" spans="1:6" ht="42" thickBot="1" x14ac:dyDescent="0.3">
      <c r="A1748" s="232" t="s">
        <v>3566</v>
      </c>
      <c r="B1748" s="231"/>
      <c r="C1748" s="70"/>
      <c r="D1748" s="37"/>
      <c r="E1748" s="37"/>
      <c r="F1748" s="55"/>
    </row>
    <row r="1749" spans="1:6" ht="42" thickBot="1" x14ac:dyDescent="0.3">
      <c r="A1749" s="232" t="s">
        <v>3567</v>
      </c>
      <c r="B1749" s="234"/>
      <c r="C1749" s="160"/>
      <c r="D1749" s="35"/>
      <c r="E1749" s="35"/>
      <c r="F1749" s="36"/>
    </row>
    <row r="1750" spans="1:6" ht="42" thickBot="1" x14ac:dyDescent="0.3">
      <c r="A1750" s="232" t="s">
        <v>3568</v>
      </c>
      <c r="B1750" s="231"/>
      <c r="C1750" s="70"/>
      <c r="D1750" s="37"/>
      <c r="E1750" s="37"/>
      <c r="F1750" s="55"/>
    </row>
    <row r="1751" spans="1:6" ht="28.2" thickBot="1" x14ac:dyDescent="0.3">
      <c r="A1751" s="232" t="s">
        <v>3569</v>
      </c>
      <c r="B1751" s="234"/>
      <c r="C1751" s="160"/>
      <c r="D1751" s="35"/>
      <c r="E1751" s="35"/>
      <c r="F1751" s="36"/>
    </row>
    <row r="1752" spans="1:6" ht="28.2" thickBot="1" x14ac:dyDescent="0.3">
      <c r="A1752" s="232" t="s">
        <v>3570</v>
      </c>
      <c r="B1752" s="234"/>
      <c r="C1752" s="160"/>
      <c r="D1752" s="35"/>
      <c r="E1752" s="35"/>
      <c r="F1752" s="36"/>
    </row>
    <row r="1753" spans="1:6" ht="28.2" thickBot="1" x14ac:dyDescent="0.3">
      <c r="A1753" s="232" t="s">
        <v>3571</v>
      </c>
      <c r="B1753" s="108"/>
      <c r="C1753" s="160"/>
      <c r="D1753" s="35"/>
      <c r="E1753" s="35"/>
      <c r="F1753" s="36"/>
    </row>
    <row r="1754" spans="1:6" ht="28.2" thickBot="1" x14ac:dyDescent="0.3">
      <c r="A1754" s="232" t="s">
        <v>1574</v>
      </c>
      <c r="B1754" s="108"/>
      <c r="C1754" s="160"/>
      <c r="D1754" s="35"/>
      <c r="E1754" s="35"/>
      <c r="F1754" s="36"/>
    </row>
    <row r="1755" spans="1:6" ht="42" thickBot="1" x14ac:dyDescent="0.3">
      <c r="A1755" s="232" t="s">
        <v>1575</v>
      </c>
      <c r="B1755" s="108"/>
      <c r="C1755" s="160"/>
      <c r="D1755" s="35"/>
      <c r="E1755" s="35"/>
      <c r="F1755" s="36"/>
    </row>
    <row r="1756" spans="1:6" ht="14.4" thickBot="1" x14ac:dyDescent="0.3">
      <c r="A1756" s="232" t="s">
        <v>3572</v>
      </c>
      <c r="B1756" s="124"/>
      <c r="C1756" s="70"/>
      <c r="D1756" s="37"/>
      <c r="E1756" s="37"/>
      <c r="F1756" s="55"/>
    </row>
    <row r="1757" spans="1:6" ht="42" thickBot="1" x14ac:dyDescent="0.3">
      <c r="A1757" s="232" t="s">
        <v>3573</v>
      </c>
      <c r="B1757" s="108"/>
      <c r="C1757" s="160"/>
      <c r="D1757" s="35"/>
      <c r="E1757" s="35"/>
      <c r="F1757" s="36"/>
    </row>
    <row r="1758" spans="1:6" ht="14.4" thickBot="1" x14ac:dyDescent="0.3">
      <c r="A1758" s="232" t="s">
        <v>1576</v>
      </c>
      <c r="B1758" s="108"/>
      <c r="C1758" s="160"/>
      <c r="D1758" s="35"/>
      <c r="E1758" s="35"/>
      <c r="F1758" s="36"/>
    </row>
    <row r="1759" spans="1:6" ht="28.2" thickBot="1" x14ac:dyDescent="0.3">
      <c r="A1759" s="232" t="s">
        <v>1577</v>
      </c>
      <c r="B1759" s="124"/>
      <c r="C1759" s="70"/>
      <c r="D1759" s="37"/>
      <c r="E1759" s="37"/>
      <c r="F1759" s="55"/>
    </row>
    <row r="1760" spans="1:6" ht="42" thickBot="1" x14ac:dyDescent="0.3">
      <c r="A1760" s="232" t="s">
        <v>3574</v>
      </c>
      <c r="B1760" s="108"/>
      <c r="C1760" s="160"/>
      <c r="D1760" s="35"/>
      <c r="E1760" s="35"/>
      <c r="F1760" s="36"/>
    </row>
    <row r="1761" spans="1:6" ht="28.2" thickBot="1" x14ac:dyDescent="0.3">
      <c r="A1761" s="232" t="s">
        <v>3575</v>
      </c>
      <c r="B1761" s="124"/>
      <c r="C1761" s="70"/>
      <c r="D1761" s="37"/>
      <c r="E1761" s="37"/>
      <c r="F1761" s="55"/>
    </row>
    <row r="1762" spans="1:6" ht="28.2" thickBot="1" x14ac:dyDescent="0.3">
      <c r="A1762" s="232" t="s">
        <v>3576</v>
      </c>
      <c r="B1762" s="108"/>
      <c r="C1762" s="160"/>
      <c r="D1762" s="35"/>
      <c r="E1762" s="35"/>
      <c r="F1762" s="36"/>
    </row>
    <row r="1763" spans="1:6" ht="28.2" thickBot="1" x14ac:dyDescent="0.3">
      <c r="A1763" s="232" t="s">
        <v>3577</v>
      </c>
      <c r="B1763" s="124"/>
      <c r="C1763" s="70"/>
      <c r="D1763" s="37"/>
      <c r="E1763" s="37"/>
      <c r="F1763" s="55"/>
    </row>
    <row r="1764" spans="1:6" ht="28.2" thickBot="1" x14ac:dyDescent="0.3">
      <c r="A1764" s="232" t="s">
        <v>3578</v>
      </c>
      <c r="B1764" s="108"/>
      <c r="C1764" s="160"/>
      <c r="D1764" s="35"/>
      <c r="E1764" s="35"/>
      <c r="F1764" s="36"/>
    </row>
    <row r="1765" spans="1:6" ht="28.2" thickBot="1" x14ac:dyDescent="0.3">
      <c r="A1765" s="232" t="s">
        <v>3579</v>
      </c>
      <c r="B1765" s="124"/>
      <c r="C1765" s="70"/>
      <c r="D1765" s="37"/>
      <c r="E1765" s="37"/>
      <c r="F1765" s="55"/>
    </row>
    <row r="1766" spans="1:6" ht="42" thickBot="1" x14ac:dyDescent="0.3">
      <c r="A1766" s="232" t="s">
        <v>3580</v>
      </c>
      <c r="B1766" s="108"/>
      <c r="C1766" s="160"/>
      <c r="D1766" s="35"/>
      <c r="E1766" s="35"/>
      <c r="F1766" s="36"/>
    </row>
    <row r="1767" spans="1:6" ht="14.4" thickBot="1" x14ac:dyDescent="0.3">
      <c r="A1767" s="232" t="s">
        <v>1578</v>
      </c>
      <c r="B1767" s="124"/>
      <c r="C1767" s="70"/>
      <c r="D1767" s="37"/>
      <c r="E1767" s="37"/>
      <c r="F1767" s="55"/>
    </row>
    <row r="1768" spans="1:6" ht="28.2" thickBot="1" x14ac:dyDescent="0.3">
      <c r="A1768" s="232" t="s">
        <v>3581</v>
      </c>
      <c r="B1768" s="108"/>
      <c r="C1768" s="160"/>
      <c r="D1768" s="35"/>
      <c r="E1768" s="35"/>
      <c r="F1768" s="36"/>
    </row>
    <row r="1769" spans="1:6" ht="28.2" thickBot="1" x14ac:dyDescent="0.3">
      <c r="A1769" s="232" t="s">
        <v>3582</v>
      </c>
      <c r="B1769" s="124"/>
      <c r="C1769" s="70"/>
      <c r="D1769" s="37"/>
      <c r="E1769" s="37"/>
      <c r="F1769" s="55"/>
    </row>
    <row r="1770" spans="1:6" ht="28.2" thickBot="1" x14ac:dyDescent="0.3">
      <c r="A1770" s="232" t="s">
        <v>3583</v>
      </c>
      <c r="B1770" s="108"/>
      <c r="C1770" s="160"/>
      <c r="D1770" s="35"/>
      <c r="E1770" s="35"/>
      <c r="F1770" s="36"/>
    </row>
    <row r="1771" spans="1:6" ht="28.2" thickBot="1" x14ac:dyDescent="0.3">
      <c r="A1771" s="232" t="s">
        <v>1579</v>
      </c>
      <c r="B1771" s="124"/>
      <c r="C1771" s="70"/>
      <c r="D1771" s="37"/>
      <c r="E1771" s="37"/>
      <c r="F1771" s="55"/>
    </row>
    <row r="1772" spans="1:6" ht="14.4" thickBot="1" x14ac:dyDescent="0.3">
      <c r="A1772" s="232" t="s">
        <v>3584</v>
      </c>
      <c r="B1772" s="108"/>
      <c r="C1772" s="160"/>
      <c r="D1772" s="35"/>
      <c r="E1772" s="35"/>
      <c r="F1772" s="36"/>
    </row>
    <row r="1773" spans="1:6" ht="42" thickBot="1" x14ac:dyDescent="0.3">
      <c r="A1773" s="232" t="s">
        <v>3585</v>
      </c>
      <c r="B1773" s="124"/>
      <c r="C1773" s="70"/>
      <c r="D1773" s="37"/>
      <c r="E1773" s="37"/>
      <c r="F1773" s="55"/>
    </row>
    <row r="1774" spans="1:6" ht="42" thickBot="1" x14ac:dyDescent="0.3">
      <c r="A1774" s="232" t="s">
        <v>3586</v>
      </c>
      <c r="B1774" s="108"/>
      <c r="C1774" s="160"/>
      <c r="D1774" s="35"/>
      <c r="E1774" s="35"/>
      <c r="F1774" s="36"/>
    </row>
    <row r="1775" spans="1:6" ht="14.4" thickBot="1" x14ac:dyDescent="0.3">
      <c r="A1775" s="232" t="s">
        <v>3587</v>
      </c>
      <c r="B1775" s="124"/>
      <c r="C1775" s="70"/>
      <c r="D1775" s="37"/>
      <c r="E1775" s="37"/>
      <c r="F1775" s="55"/>
    </row>
    <row r="1776" spans="1:6" ht="28.2" thickBot="1" x14ac:dyDescent="0.3">
      <c r="A1776" s="232" t="s">
        <v>3588</v>
      </c>
      <c r="B1776" s="108"/>
      <c r="C1776" s="160"/>
      <c r="D1776" s="35"/>
      <c r="E1776" s="35"/>
      <c r="F1776" s="36"/>
    </row>
    <row r="1777" spans="1:6" ht="14.4" thickBot="1" x14ac:dyDescent="0.3">
      <c r="A1777" s="232" t="s">
        <v>3589</v>
      </c>
      <c r="B1777" s="124"/>
      <c r="C1777" s="70"/>
      <c r="D1777" s="37"/>
      <c r="E1777" s="37"/>
      <c r="F1777" s="55"/>
    </row>
    <row r="1778" spans="1:6" ht="14.4" thickBot="1" x14ac:dyDescent="0.3">
      <c r="A1778" s="232" t="s">
        <v>3590</v>
      </c>
      <c r="B1778" s="108"/>
      <c r="C1778" s="160"/>
      <c r="D1778" s="35"/>
      <c r="E1778" s="35"/>
      <c r="F1778" s="36"/>
    </row>
    <row r="1779" spans="1:6" ht="14.4" thickBot="1" x14ac:dyDescent="0.3">
      <c r="A1779" s="232" t="s">
        <v>1580</v>
      </c>
      <c r="B1779" s="233"/>
      <c r="C1779" s="25"/>
      <c r="D1779" s="56"/>
      <c r="E1779" s="56"/>
      <c r="F1779" s="5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1D615-F96D-4211-A520-AC6BF1A794A5}">
  <dimension ref="A1:J2008"/>
  <sheetViews>
    <sheetView topLeftCell="A79" workbookViewId="0">
      <selection activeCell="C98" sqref="C98"/>
    </sheetView>
  </sheetViews>
  <sheetFormatPr baseColWidth="10" defaultRowHeight="13.2" x14ac:dyDescent="0.25"/>
  <cols>
    <col min="2" max="2" width="6.33203125" bestFit="1" customWidth="1"/>
    <col min="3" max="3" width="38.5546875" bestFit="1" customWidth="1"/>
    <col min="4" max="4" width="14.33203125" bestFit="1" customWidth="1"/>
    <col min="5" max="5" width="10.33203125" bestFit="1" customWidth="1"/>
    <col min="6" max="6" width="12.88671875" bestFit="1" customWidth="1"/>
    <col min="7" max="7" width="8.88671875" bestFit="1" customWidth="1"/>
    <col min="8" max="8" width="18.109375" bestFit="1" customWidth="1"/>
    <col min="9" max="9" width="18.6640625" bestFit="1" customWidth="1"/>
    <col min="10" max="10" width="45.44140625" customWidth="1"/>
    <col min="11" max="11" width="2.5546875" bestFit="1" customWidth="1"/>
  </cols>
  <sheetData>
    <row r="1" spans="1:9" ht="22.2" customHeight="1" thickBot="1" x14ac:dyDescent="0.3">
      <c r="A1" s="420" t="s">
        <v>1584</v>
      </c>
      <c r="B1" s="421"/>
      <c r="C1" s="421"/>
      <c r="D1" s="421"/>
      <c r="E1" s="421"/>
      <c r="F1" s="421"/>
      <c r="G1" s="421"/>
      <c r="H1" s="421"/>
      <c r="I1" s="422"/>
    </row>
    <row r="2" spans="1:9" ht="13.8" customHeight="1" thickBot="1" x14ac:dyDescent="0.3">
      <c r="A2" s="235" t="s">
        <v>1583</v>
      </c>
      <c r="B2" s="369" t="s">
        <v>1585</v>
      </c>
      <c r="C2" s="372"/>
      <c r="D2" s="372"/>
      <c r="E2" s="372"/>
      <c r="F2" s="372"/>
      <c r="G2" s="372"/>
      <c r="H2" s="372"/>
      <c r="I2" s="393"/>
    </row>
    <row r="3" spans="1:9" ht="13.8" customHeight="1" x14ac:dyDescent="0.25">
      <c r="B3" s="370"/>
      <c r="C3" s="373"/>
      <c r="D3" s="373"/>
      <c r="E3" s="373"/>
      <c r="F3" s="373"/>
      <c r="G3" s="373"/>
      <c r="H3" s="373"/>
      <c r="I3" s="394"/>
    </row>
    <row r="4" spans="1:9" ht="13.8" customHeight="1" x14ac:dyDescent="0.25">
      <c r="B4" s="370"/>
      <c r="C4" s="373"/>
      <c r="D4" s="373"/>
      <c r="E4" s="373"/>
      <c r="F4" s="373"/>
      <c r="G4" s="373"/>
      <c r="H4" s="373"/>
      <c r="I4" s="394"/>
    </row>
    <row r="5" spans="1:9" ht="13.8" customHeight="1" thickBot="1" x14ac:dyDescent="0.3">
      <c r="B5" s="371"/>
      <c r="C5" s="374"/>
      <c r="D5" s="374"/>
      <c r="E5" s="374"/>
      <c r="F5" s="374"/>
      <c r="G5" s="374"/>
      <c r="H5" s="374"/>
      <c r="I5" s="395"/>
    </row>
    <row r="6" spans="1:9" x14ac:dyDescent="0.25">
      <c r="B6" s="369" t="s">
        <v>1586</v>
      </c>
      <c r="C6" s="372"/>
      <c r="D6" s="372"/>
      <c r="E6" s="372"/>
      <c r="F6" s="372"/>
      <c r="G6" s="372"/>
      <c r="H6" s="372"/>
      <c r="I6" s="393"/>
    </row>
    <row r="7" spans="1:9" x14ac:dyDescent="0.25">
      <c r="B7" s="370"/>
      <c r="C7" s="373"/>
      <c r="D7" s="373"/>
      <c r="E7" s="373"/>
      <c r="F7" s="373"/>
      <c r="G7" s="373"/>
      <c r="H7" s="373"/>
      <c r="I7" s="394"/>
    </row>
    <row r="8" spans="1:9" x14ac:dyDescent="0.25">
      <c r="B8" s="370"/>
      <c r="C8" s="373"/>
      <c r="D8" s="373"/>
      <c r="E8" s="373"/>
      <c r="F8" s="373"/>
      <c r="G8" s="373"/>
      <c r="H8" s="373"/>
      <c r="I8" s="394"/>
    </row>
    <row r="9" spans="1:9" ht="13.8" thickBot="1" x14ac:dyDescent="0.3">
      <c r="B9" s="371"/>
      <c r="C9" s="374"/>
      <c r="D9" s="374"/>
      <c r="E9" s="374"/>
      <c r="F9" s="374"/>
      <c r="G9" s="374"/>
      <c r="H9" s="374"/>
      <c r="I9" s="395"/>
    </row>
    <row r="10" spans="1:9" ht="14.4" customHeight="1" thickBot="1" x14ac:dyDescent="0.3">
      <c r="A10" s="235" t="s">
        <v>1587</v>
      </c>
      <c r="B10" s="369" t="s">
        <v>1588</v>
      </c>
      <c r="C10" s="372"/>
      <c r="D10" s="372"/>
      <c r="E10" s="372"/>
      <c r="F10" s="372"/>
      <c r="G10" s="372"/>
      <c r="H10" s="372"/>
      <c r="I10" s="393"/>
    </row>
    <row r="11" spans="1:9" ht="13.2" customHeight="1" thickBot="1" x14ac:dyDescent="0.3">
      <c r="B11" s="371"/>
      <c r="C11" s="374"/>
      <c r="D11" s="374"/>
      <c r="E11" s="374"/>
      <c r="F11" s="374"/>
      <c r="G11" s="374"/>
      <c r="H11" s="374"/>
      <c r="I11" s="395"/>
    </row>
    <row r="12" spans="1:9" ht="13.2" customHeight="1" x14ac:dyDescent="0.25">
      <c r="B12" s="369" t="s">
        <v>1589</v>
      </c>
      <c r="C12" s="372"/>
      <c r="D12" s="372"/>
      <c r="E12" s="372"/>
      <c r="F12" s="372"/>
      <c r="G12" s="372"/>
      <c r="H12" s="372"/>
      <c r="I12" s="393"/>
    </row>
    <row r="13" spans="1:9" ht="18" customHeight="1" thickBot="1" x14ac:dyDescent="0.3">
      <c r="B13" s="371"/>
      <c r="C13" s="374"/>
      <c r="D13" s="374"/>
      <c r="E13" s="374"/>
      <c r="F13" s="374"/>
      <c r="G13" s="374"/>
      <c r="H13" s="374"/>
      <c r="I13" s="395"/>
    </row>
    <row r="14" spans="1:9" x14ac:dyDescent="0.25">
      <c r="B14" s="369" t="s">
        <v>1590</v>
      </c>
      <c r="C14" s="372"/>
      <c r="D14" s="372"/>
      <c r="E14" s="372"/>
      <c r="F14" s="372"/>
      <c r="G14" s="372"/>
      <c r="H14" s="372"/>
      <c r="I14" s="393"/>
    </row>
    <row r="15" spans="1:9" ht="18" customHeight="1" thickBot="1" x14ac:dyDescent="0.3">
      <c r="B15" s="371"/>
      <c r="C15" s="374"/>
      <c r="D15" s="374"/>
      <c r="E15" s="374"/>
      <c r="F15" s="374"/>
      <c r="G15" s="374"/>
      <c r="H15" s="374"/>
      <c r="I15" s="395"/>
    </row>
    <row r="16" spans="1:9" ht="13.2" customHeight="1" x14ac:dyDescent="0.25">
      <c r="B16" s="369" t="s">
        <v>1591</v>
      </c>
      <c r="C16" s="372"/>
      <c r="D16" s="372"/>
      <c r="E16" s="372"/>
      <c r="F16" s="372"/>
      <c r="G16" s="372"/>
      <c r="H16" s="372"/>
      <c r="I16" s="393"/>
    </row>
    <row r="17" spans="2:9" ht="13.8" customHeight="1" x14ac:dyDescent="0.25">
      <c r="B17" s="370"/>
      <c r="C17" s="373"/>
      <c r="D17" s="373"/>
      <c r="E17" s="373"/>
      <c r="F17" s="373"/>
      <c r="G17" s="373"/>
      <c r="H17" s="373"/>
      <c r="I17" s="394"/>
    </row>
    <row r="18" spans="2:9" ht="13.2" customHeight="1" x14ac:dyDescent="0.25">
      <c r="B18" s="370"/>
      <c r="C18" s="373"/>
      <c r="D18" s="373"/>
      <c r="E18" s="373"/>
      <c r="F18" s="373"/>
      <c r="G18" s="373"/>
      <c r="H18" s="373"/>
      <c r="I18" s="394"/>
    </row>
    <row r="19" spans="2:9" ht="13.8" customHeight="1" thickBot="1" x14ac:dyDescent="0.3">
      <c r="B19" s="371"/>
      <c r="C19" s="374"/>
      <c r="D19" s="374"/>
      <c r="E19" s="374"/>
      <c r="F19" s="374"/>
      <c r="G19" s="374"/>
      <c r="H19" s="374"/>
      <c r="I19" s="395"/>
    </row>
    <row r="20" spans="2:9" ht="13.2" customHeight="1" x14ac:dyDescent="0.25">
      <c r="B20" s="369" t="s">
        <v>1592</v>
      </c>
      <c r="C20" s="372"/>
      <c r="D20" s="372"/>
      <c r="E20" s="372"/>
      <c r="F20" s="372"/>
      <c r="G20" s="372"/>
      <c r="H20" s="372"/>
      <c r="I20" s="393"/>
    </row>
    <row r="21" spans="2:9" ht="13.8" customHeight="1" x14ac:dyDescent="0.25">
      <c r="B21" s="370"/>
      <c r="C21" s="373"/>
      <c r="D21" s="373"/>
      <c r="E21" s="373"/>
      <c r="F21" s="373"/>
      <c r="G21" s="373"/>
      <c r="H21" s="373"/>
      <c r="I21" s="394"/>
    </row>
    <row r="22" spans="2:9" ht="13.2" customHeight="1" x14ac:dyDescent="0.25">
      <c r="B22" s="370"/>
      <c r="C22" s="373"/>
      <c r="D22" s="373"/>
      <c r="E22" s="373"/>
      <c r="F22" s="373"/>
      <c r="G22" s="373"/>
      <c r="H22" s="373"/>
      <c r="I22" s="394"/>
    </row>
    <row r="23" spans="2:9" ht="13.8" customHeight="1" thickBot="1" x14ac:dyDescent="0.3">
      <c r="B23" s="371"/>
      <c r="C23" s="374"/>
      <c r="D23" s="374"/>
      <c r="E23" s="374"/>
      <c r="F23" s="374"/>
      <c r="G23" s="374"/>
      <c r="H23" s="374"/>
      <c r="I23" s="395"/>
    </row>
    <row r="24" spans="2:9" ht="13.2" customHeight="1" x14ac:dyDescent="0.25">
      <c r="B24" s="369" t="s">
        <v>1593</v>
      </c>
      <c r="C24" s="372"/>
      <c r="D24" s="372"/>
      <c r="E24" s="372"/>
      <c r="F24" s="372"/>
      <c r="G24" s="372"/>
      <c r="H24" s="372"/>
      <c r="I24" s="393"/>
    </row>
    <row r="25" spans="2:9" ht="13.8" customHeight="1" x14ac:dyDescent="0.25">
      <c r="B25" s="370"/>
      <c r="C25" s="373"/>
      <c r="D25" s="373"/>
      <c r="E25" s="373"/>
      <c r="F25" s="373"/>
      <c r="G25" s="373"/>
      <c r="H25" s="373"/>
      <c r="I25" s="394"/>
    </row>
    <row r="26" spans="2:9" ht="13.2" customHeight="1" x14ac:dyDescent="0.25">
      <c r="B26" s="370"/>
      <c r="C26" s="373"/>
      <c r="D26" s="373"/>
      <c r="E26" s="373"/>
      <c r="F26" s="373"/>
      <c r="G26" s="373"/>
      <c r="H26" s="373"/>
      <c r="I26" s="394"/>
    </row>
    <row r="27" spans="2:9" ht="13.8" customHeight="1" thickBot="1" x14ac:dyDescent="0.3">
      <c r="B27" s="371"/>
      <c r="C27" s="374"/>
      <c r="D27" s="374"/>
      <c r="E27" s="374"/>
      <c r="F27" s="374"/>
      <c r="G27" s="374"/>
      <c r="H27" s="374"/>
      <c r="I27" s="395"/>
    </row>
    <row r="28" spans="2:9" ht="13.2" customHeight="1" x14ac:dyDescent="0.25">
      <c r="B28" s="369" t="s">
        <v>1594</v>
      </c>
      <c r="C28" s="372"/>
      <c r="D28" s="372"/>
      <c r="E28" s="372"/>
      <c r="F28" s="372"/>
      <c r="G28" s="372"/>
      <c r="H28" s="372"/>
      <c r="I28" s="393"/>
    </row>
    <row r="29" spans="2:9" ht="13.8" customHeight="1" thickBot="1" x14ac:dyDescent="0.3">
      <c r="B29" s="371"/>
      <c r="C29" s="374"/>
      <c r="D29" s="374"/>
      <c r="E29" s="374"/>
      <c r="F29" s="374"/>
      <c r="G29" s="374"/>
      <c r="H29" s="374"/>
      <c r="I29" s="395"/>
    </row>
    <row r="30" spans="2:9" ht="13.2" customHeight="1" x14ac:dyDescent="0.25">
      <c r="B30" s="369" t="s">
        <v>1595</v>
      </c>
      <c r="C30" s="372"/>
      <c r="D30" s="372"/>
      <c r="E30" s="372"/>
      <c r="F30" s="372"/>
      <c r="G30" s="372"/>
      <c r="H30" s="372"/>
      <c r="I30" s="393"/>
    </row>
    <row r="31" spans="2:9" ht="13.2" customHeight="1" thickBot="1" x14ac:dyDescent="0.3">
      <c r="B31" s="371"/>
      <c r="C31" s="374"/>
      <c r="D31" s="374"/>
      <c r="E31" s="374"/>
      <c r="F31" s="374"/>
      <c r="G31" s="374"/>
      <c r="H31" s="374"/>
      <c r="I31" s="395"/>
    </row>
    <row r="32" spans="2:9" x14ac:dyDescent="0.25">
      <c r="B32" s="369" t="s">
        <v>1596</v>
      </c>
      <c r="C32" s="372"/>
      <c r="D32" s="372"/>
      <c r="E32" s="372"/>
      <c r="F32" s="372"/>
      <c r="G32" s="372"/>
      <c r="H32" s="372"/>
      <c r="I32" s="393"/>
    </row>
    <row r="33" spans="2:9" ht="13.8" thickBot="1" x14ac:dyDescent="0.3">
      <c r="B33" s="371"/>
      <c r="C33" s="374"/>
      <c r="D33" s="374"/>
      <c r="E33" s="374"/>
      <c r="F33" s="374"/>
      <c r="G33" s="374"/>
      <c r="H33" s="374"/>
      <c r="I33" s="395"/>
    </row>
    <row r="34" spans="2:9" x14ac:dyDescent="0.25">
      <c r="B34" s="369" t="s">
        <v>1597</v>
      </c>
      <c r="C34" s="372"/>
      <c r="D34" s="372"/>
      <c r="E34" s="372"/>
      <c r="F34" s="372"/>
      <c r="G34" s="372"/>
      <c r="H34" s="372"/>
      <c r="I34" s="393"/>
    </row>
    <row r="35" spans="2:9" ht="13.8" thickBot="1" x14ac:dyDescent="0.3">
      <c r="B35" s="371"/>
      <c r="C35" s="374"/>
      <c r="D35" s="374"/>
      <c r="E35" s="374"/>
      <c r="F35" s="374"/>
      <c r="G35" s="374"/>
      <c r="H35" s="374"/>
      <c r="I35" s="395"/>
    </row>
    <row r="36" spans="2:9" x14ac:dyDescent="0.25">
      <c r="B36" s="369" t="s">
        <v>1598</v>
      </c>
      <c r="C36" s="372"/>
      <c r="D36" s="372"/>
      <c r="E36" s="372"/>
      <c r="F36" s="372"/>
      <c r="G36" s="372"/>
      <c r="H36" s="372"/>
      <c r="I36" s="393"/>
    </row>
    <row r="37" spans="2:9" ht="13.8" thickBot="1" x14ac:dyDescent="0.3">
      <c r="B37" s="371"/>
      <c r="C37" s="374"/>
      <c r="D37" s="374"/>
      <c r="E37" s="374"/>
      <c r="F37" s="374"/>
      <c r="G37" s="374"/>
      <c r="H37" s="374"/>
      <c r="I37" s="395"/>
    </row>
    <row r="38" spans="2:9" ht="13.2" customHeight="1" x14ac:dyDescent="0.25">
      <c r="B38" s="369" t="s">
        <v>1599</v>
      </c>
      <c r="C38" s="372"/>
      <c r="D38" s="372"/>
      <c r="E38" s="372"/>
      <c r="F38" s="372"/>
      <c r="G38" s="372"/>
      <c r="H38" s="372"/>
      <c r="I38" s="393"/>
    </row>
    <row r="39" spans="2:9" ht="13.2" customHeight="1" x14ac:dyDescent="0.25">
      <c r="B39" s="370"/>
      <c r="C39" s="373"/>
      <c r="D39" s="373"/>
      <c r="E39" s="373"/>
      <c r="F39" s="373"/>
      <c r="G39" s="373"/>
      <c r="H39" s="373"/>
      <c r="I39" s="394"/>
    </row>
    <row r="40" spans="2:9" ht="13.2" customHeight="1" x14ac:dyDescent="0.25">
      <c r="B40" s="370"/>
      <c r="C40" s="373"/>
      <c r="D40" s="373"/>
      <c r="E40" s="373"/>
      <c r="F40" s="373"/>
      <c r="G40" s="373"/>
      <c r="H40" s="373"/>
      <c r="I40" s="394"/>
    </row>
    <row r="41" spans="2:9" ht="13.8" customHeight="1" x14ac:dyDescent="0.25">
      <c r="B41" s="370"/>
      <c r="C41" s="373"/>
      <c r="D41" s="373"/>
      <c r="E41" s="373"/>
      <c r="F41" s="373"/>
      <c r="G41" s="373"/>
      <c r="H41" s="373"/>
      <c r="I41" s="394"/>
    </row>
    <row r="42" spans="2:9" ht="13.2" customHeight="1" x14ac:dyDescent="0.25">
      <c r="B42" s="370"/>
      <c r="C42" s="373"/>
      <c r="D42" s="373"/>
      <c r="E42" s="373"/>
      <c r="F42" s="373"/>
      <c r="G42" s="373"/>
      <c r="H42" s="373"/>
      <c r="I42" s="394"/>
    </row>
    <row r="43" spans="2:9" ht="13.8" thickBot="1" x14ac:dyDescent="0.3">
      <c r="B43" s="371"/>
      <c r="C43" s="374"/>
      <c r="D43" s="374"/>
      <c r="E43" s="374"/>
      <c r="F43" s="374"/>
      <c r="G43" s="374"/>
      <c r="H43" s="374"/>
      <c r="I43" s="395"/>
    </row>
    <row r="44" spans="2:9" x14ac:dyDescent="0.25">
      <c r="B44" s="369" t="s">
        <v>1600</v>
      </c>
      <c r="C44" s="372"/>
      <c r="D44" s="372"/>
      <c r="E44" s="372"/>
      <c r="F44" s="372"/>
      <c r="G44" s="372"/>
      <c r="H44" s="372"/>
      <c r="I44" s="393"/>
    </row>
    <row r="45" spans="2:9" x14ac:dyDescent="0.25">
      <c r="B45" s="370"/>
      <c r="C45" s="373"/>
      <c r="D45" s="373"/>
      <c r="E45" s="373"/>
      <c r="F45" s="373"/>
      <c r="G45" s="373"/>
      <c r="H45" s="373"/>
      <c r="I45" s="394"/>
    </row>
    <row r="46" spans="2:9" x14ac:dyDescent="0.25">
      <c r="B46" s="370"/>
      <c r="C46" s="373"/>
      <c r="D46" s="373"/>
      <c r="E46" s="373"/>
      <c r="F46" s="373"/>
      <c r="G46" s="373"/>
      <c r="H46" s="373"/>
      <c r="I46" s="394"/>
    </row>
    <row r="47" spans="2:9" ht="13.8" thickBot="1" x14ac:dyDescent="0.3">
      <c r="B47" s="371"/>
      <c r="C47" s="374"/>
      <c r="D47" s="374"/>
      <c r="E47" s="374"/>
      <c r="F47" s="374"/>
      <c r="G47" s="374"/>
      <c r="H47" s="374"/>
      <c r="I47" s="395"/>
    </row>
    <row r="48" spans="2:9" x14ac:dyDescent="0.25">
      <c r="B48" s="369" t="s">
        <v>1601</v>
      </c>
      <c r="C48" s="372"/>
      <c r="D48" s="372"/>
      <c r="E48" s="372"/>
      <c r="F48" s="372"/>
      <c r="G48" s="372"/>
      <c r="H48" s="372"/>
      <c r="I48" s="393"/>
    </row>
    <row r="49" spans="1:9" ht="13.8" thickBot="1" x14ac:dyDescent="0.3">
      <c r="B49" s="371"/>
      <c r="C49" s="374"/>
      <c r="D49" s="374"/>
      <c r="E49" s="374"/>
      <c r="F49" s="374"/>
      <c r="G49" s="374"/>
      <c r="H49" s="374"/>
      <c r="I49" s="395"/>
    </row>
    <row r="50" spans="1:9" ht="14.4" thickBot="1" x14ac:dyDescent="0.3">
      <c r="A50" s="235" t="s">
        <v>1602</v>
      </c>
      <c r="B50" s="369" t="s">
        <v>1603</v>
      </c>
      <c r="C50" s="372"/>
      <c r="D50" s="372"/>
      <c r="E50" s="372"/>
      <c r="F50" s="372"/>
      <c r="G50" s="372"/>
      <c r="H50" s="372"/>
      <c r="I50" s="393"/>
    </row>
    <row r="51" spans="1:9" ht="13.8" thickBot="1" x14ac:dyDescent="0.3">
      <c r="B51" s="371"/>
      <c r="C51" s="374"/>
      <c r="D51" s="374"/>
      <c r="E51" s="374"/>
      <c r="F51" s="374"/>
      <c r="G51" s="374"/>
      <c r="H51" s="374"/>
      <c r="I51" s="395"/>
    </row>
    <row r="52" spans="1:9" ht="14.4" thickBot="1" x14ac:dyDescent="0.3">
      <c r="B52" s="276"/>
      <c r="C52" s="275"/>
      <c r="D52" s="275"/>
      <c r="E52" s="275"/>
      <c r="F52" s="275"/>
      <c r="G52" s="275"/>
      <c r="H52" s="275"/>
      <c r="I52" s="276"/>
    </row>
    <row r="53" spans="1:9" ht="14.4" thickBot="1" x14ac:dyDescent="0.3">
      <c r="B53" s="417" t="s">
        <v>2057</v>
      </c>
      <c r="C53" s="418"/>
      <c r="D53" s="418"/>
      <c r="E53" s="418"/>
      <c r="F53" s="418"/>
      <c r="G53" s="418"/>
      <c r="H53" s="419"/>
      <c r="I53" s="276"/>
    </row>
    <row r="54" spans="1:9" ht="14.4" thickBot="1" x14ac:dyDescent="0.3">
      <c r="B54" s="272"/>
      <c r="C54" s="273"/>
      <c r="D54" s="273"/>
      <c r="E54" s="273"/>
      <c r="F54" s="273"/>
      <c r="G54" s="273"/>
      <c r="H54" s="274"/>
      <c r="I54" s="276"/>
    </row>
    <row r="55" spans="1:9" ht="14.4" thickBot="1" x14ac:dyDescent="0.3">
      <c r="B55" s="399" t="s">
        <v>2051</v>
      </c>
      <c r="C55" s="400"/>
      <c r="D55" s="400"/>
      <c r="E55" s="400"/>
      <c r="F55" s="400"/>
      <c r="G55" s="400"/>
      <c r="H55" s="401"/>
    </row>
    <row r="56" spans="1:9" ht="13.2" customHeight="1" x14ac:dyDescent="0.25">
      <c r="B56" s="411" t="s">
        <v>2052</v>
      </c>
      <c r="C56" s="412"/>
      <c r="D56" s="412"/>
      <c r="E56" s="412"/>
      <c r="F56" s="412"/>
      <c r="G56" s="412"/>
      <c r="H56" s="413"/>
      <c r="I56" s="120"/>
    </row>
    <row r="57" spans="1:9" ht="13.2" customHeight="1" thickBot="1" x14ac:dyDescent="0.3">
      <c r="B57" s="414"/>
      <c r="C57" s="415"/>
      <c r="D57" s="415"/>
      <c r="E57" s="415"/>
      <c r="F57" s="415"/>
      <c r="G57" s="415"/>
      <c r="H57" s="416"/>
      <c r="I57" s="120"/>
    </row>
    <row r="58" spans="1:9" ht="13.2" customHeight="1" x14ac:dyDescent="0.25">
      <c r="B58" s="405" t="s">
        <v>2053</v>
      </c>
      <c r="C58" s="406"/>
      <c r="D58" s="406"/>
      <c r="E58" s="406"/>
      <c r="F58" s="406"/>
      <c r="G58" s="406"/>
      <c r="H58" s="407"/>
      <c r="I58" s="254"/>
    </row>
    <row r="59" spans="1:9" ht="13.8" customHeight="1" thickBot="1" x14ac:dyDescent="0.3">
      <c r="B59" s="408"/>
      <c r="C59" s="409"/>
      <c r="D59" s="409"/>
      <c r="E59" s="409"/>
      <c r="F59" s="409"/>
      <c r="G59" s="409"/>
      <c r="H59" s="410"/>
      <c r="I59" s="254"/>
    </row>
    <row r="60" spans="1:9" ht="25.8" customHeight="1" thickBot="1" x14ac:dyDescent="0.3">
      <c r="B60" s="256" t="s">
        <v>1605</v>
      </c>
      <c r="C60" s="256" t="s">
        <v>1604</v>
      </c>
      <c r="D60" s="241"/>
      <c r="E60" s="241"/>
      <c r="F60" s="241"/>
      <c r="G60" s="257"/>
      <c r="H60" s="258" t="s">
        <v>1606</v>
      </c>
      <c r="I60" s="242"/>
    </row>
    <row r="61" spans="1:9" ht="13.2" customHeight="1" x14ac:dyDescent="0.25">
      <c r="B61" s="245">
        <v>1101</v>
      </c>
      <c r="C61" s="246" t="s">
        <v>1627</v>
      </c>
      <c r="D61" s="246"/>
      <c r="E61" s="246"/>
      <c r="F61" s="246"/>
      <c r="G61" s="246"/>
      <c r="H61" s="247">
        <v>9</v>
      </c>
    </row>
    <row r="62" spans="1:9" ht="13.8" customHeight="1" x14ac:dyDescent="0.25">
      <c r="B62" s="248">
        <v>1102</v>
      </c>
      <c r="C62" s="243" t="s">
        <v>1628</v>
      </c>
      <c r="D62" s="243"/>
      <c r="E62" s="243"/>
      <c r="F62" s="243"/>
      <c r="G62" s="243"/>
      <c r="H62" s="249">
        <v>20</v>
      </c>
    </row>
    <row r="63" spans="1:9" ht="13.2" customHeight="1" x14ac:dyDescent="0.25">
      <c r="B63" s="248">
        <v>1103</v>
      </c>
      <c r="C63" s="243" t="s">
        <v>1629</v>
      </c>
      <c r="D63" s="243"/>
      <c r="E63" s="243"/>
      <c r="F63" s="243"/>
      <c r="G63" s="243"/>
      <c r="H63" s="249">
        <v>8</v>
      </c>
    </row>
    <row r="64" spans="1:9" ht="13.8" customHeight="1" x14ac:dyDescent="0.25">
      <c r="B64" s="248">
        <v>1104</v>
      </c>
      <c r="C64" s="243" t="s">
        <v>1630</v>
      </c>
      <c r="D64" s="243"/>
      <c r="E64" s="243"/>
      <c r="F64" s="243"/>
      <c r="G64" s="243"/>
      <c r="H64" s="249">
        <v>20</v>
      </c>
    </row>
    <row r="65" spans="2:10" ht="13.8" customHeight="1" x14ac:dyDescent="0.25">
      <c r="B65" s="248">
        <v>1105</v>
      </c>
      <c r="C65" s="243" t="s">
        <v>1631</v>
      </c>
      <c r="D65" s="243"/>
      <c r="E65" s="243"/>
      <c r="F65" s="243"/>
      <c r="G65" s="243"/>
      <c r="H65" s="249">
        <v>13</v>
      </c>
    </row>
    <row r="66" spans="2:10" ht="13.2" customHeight="1" x14ac:dyDescent="0.25">
      <c r="B66" s="248">
        <v>1106</v>
      </c>
      <c r="C66" s="243" t="s">
        <v>1632</v>
      </c>
      <c r="D66" s="243"/>
      <c r="E66" s="243"/>
      <c r="F66" s="243"/>
      <c r="G66" s="243"/>
      <c r="H66" s="249">
        <v>20</v>
      </c>
    </row>
    <row r="67" spans="2:10" ht="13.8" customHeight="1" x14ac:dyDescent="0.25">
      <c r="B67" s="248">
        <v>1107</v>
      </c>
      <c r="C67" s="243" t="s">
        <v>1633</v>
      </c>
      <c r="D67" s="243"/>
      <c r="E67" s="243"/>
      <c r="F67" s="243"/>
      <c r="G67" s="243"/>
      <c r="H67" s="249">
        <v>12</v>
      </c>
      <c r="I67" s="277"/>
      <c r="J67" s="278"/>
    </row>
    <row r="68" spans="2:10" ht="13.8" customHeight="1" thickBot="1" x14ac:dyDescent="0.3">
      <c r="B68" s="250">
        <v>1108</v>
      </c>
      <c r="C68" s="251" t="s">
        <v>1634</v>
      </c>
      <c r="D68" s="251"/>
      <c r="E68" s="251"/>
      <c r="F68" s="251"/>
      <c r="G68" s="251"/>
      <c r="H68" s="252">
        <v>13</v>
      </c>
      <c r="I68" s="277"/>
      <c r="J68" s="278"/>
    </row>
    <row r="69" spans="2:10" ht="13.2" customHeight="1" x14ac:dyDescent="0.25">
      <c r="B69" s="405" t="s">
        <v>1607</v>
      </c>
      <c r="C69" s="406"/>
      <c r="D69" s="406"/>
      <c r="E69" s="406"/>
      <c r="F69" s="406"/>
      <c r="G69" s="406"/>
      <c r="H69" s="407"/>
      <c r="I69" s="277"/>
      <c r="J69" s="278"/>
    </row>
    <row r="70" spans="2:10" ht="13.8" customHeight="1" thickBot="1" x14ac:dyDescent="0.3">
      <c r="B70" s="408"/>
      <c r="C70" s="409"/>
      <c r="D70" s="409"/>
      <c r="E70" s="409"/>
      <c r="F70" s="409"/>
      <c r="G70" s="409"/>
      <c r="H70" s="410"/>
      <c r="I70" s="277"/>
      <c r="J70" s="278"/>
    </row>
    <row r="71" spans="2:10" ht="13.8" customHeight="1" thickBot="1" x14ac:dyDescent="0.3">
      <c r="B71" s="245">
        <v>1109</v>
      </c>
      <c r="C71" s="246" t="s">
        <v>1635</v>
      </c>
      <c r="D71" s="246"/>
      <c r="E71" s="246"/>
      <c r="F71" s="246"/>
      <c r="G71" s="246"/>
      <c r="H71" s="247">
        <v>23</v>
      </c>
      <c r="I71" s="277"/>
      <c r="J71" s="278"/>
    </row>
    <row r="72" spans="2:10" ht="13.8" x14ac:dyDescent="0.25">
      <c r="B72" s="245">
        <v>1110</v>
      </c>
      <c r="C72" s="243" t="s">
        <v>1608</v>
      </c>
      <c r="D72" s="243"/>
      <c r="E72" s="243"/>
      <c r="F72" s="243"/>
      <c r="G72" s="243"/>
      <c r="H72" s="249">
        <v>21</v>
      </c>
      <c r="I72" s="277"/>
      <c r="J72" s="278"/>
    </row>
    <row r="73" spans="2:10" ht="13.8" x14ac:dyDescent="0.25">
      <c r="B73" s="248">
        <v>1111</v>
      </c>
      <c r="C73" s="243" t="s">
        <v>1609</v>
      </c>
      <c r="D73" s="243"/>
      <c r="E73" s="243"/>
      <c r="F73" s="243"/>
      <c r="G73" s="243"/>
      <c r="H73" s="281">
        <v>22</v>
      </c>
      <c r="I73" s="277"/>
      <c r="J73" s="278"/>
    </row>
    <row r="74" spans="2:10" ht="13.8" x14ac:dyDescent="0.25">
      <c r="B74" s="248">
        <v>1112</v>
      </c>
      <c r="C74" s="243" t="s">
        <v>1610</v>
      </c>
      <c r="D74" s="243"/>
      <c r="E74" s="243"/>
      <c r="F74" s="243"/>
      <c r="G74" s="243"/>
      <c r="H74" s="281">
        <v>23</v>
      </c>
      <c r="I74" s="277"/>
      <c r="J74" s="278"/>
    </row>
    <row r="75" spans="2:10" ht="13.8" x14ac:dyDescent="0.25">
      <c r="B75" s="248">
        <v>1113</v>
      </c>
      <c r="C75" s="243" t="s">
        <v>1636</v>
      </c>
      <c r="D75" s="243"/>
      <c r="E75" s="243"/>
      <c r="F75" s="243"/>
      <c r="G75" s="243"/>
      <c r="H75" s="281">
        <v>21</v>
      </c>
      <c r="I75" s="277"/>
      <c r="J75" s="278"/>
    </row>
    <row r="76" spans="2:10" ht="13.8" x14ac:dyDescent="0.25">
      <c r="B76" s="248">
        <v>1114</v>
      </c>
      <c r="C76" s="243" t="s">
        <v>1637</v>
      </c>
      <c r="D76" s="243"/>
      <c r="E76" s="243"/>
      <c r="F76" s="243"/>
      <c r="G76" s="243"/>
      <c r="H76" s="281">
        <v>21</v>
      </c>
      <c r="I76" s="277"/>
      <c r="J76" s="278"/>
    </row>
    <row r="77" spans="2:10" ht="13.8" x14ac:dyDescent="0.25">
      <c r="B77" s="248">
        <v>1115</v>
      </c>
      <c r="C77" s="243" t="s">
        <v>1638</v>
      </c>
      <c r="D77" s="243"/>
      <c r="E77" s="243"/>
      <c r="F77" s="243"/>
      <c r="G77" s="243"/>
      <c r="H77" s="264">
        <v>23</v>
      </c>
      <c r="I77" s="277"/>
      <c r="J77" s="278"/>
    </row>
    <row r="78" spans="2:10" ht="13.8" x14ac:dyDescent="0.25">
      <c r="B78" s="248">
        <v>1116</v>
      </c>
      <c r="C78" s="243" t="s">
        <v>1639</v>
      </c>
      <c r="D78" s="243"/>
      <c r="E78" s="243"/>
      <c r="F78" s="243"/>
      <c r="G78" s="243"/>
      <c r="H78" s="249">
        <v>22</v>
      </c>
      <c r="I78" s="277"/>
      <c r="J78" s="279"/>
    </row>
    <row r="79" spans="2:10" ht="13.8" x14ac:dyDescent="0.25">
      <c r="B79" s="248">
        <v>1117</v>
      </c>
      <c r="C79" s="243" t="s">
        <v>2058</v>
      </c>
      <c r="D79" s="243"/>
      <c r="E79" s="243"/>
      <c r="F79" s="243"/>
      <c r="G79" s="243"/>
      <c r="H79" s="249">
        <v>23</v>
      </c>
      <c r="I79" s="277"/>
      <c r="J79" s="279"/>
    </row>
    <row r="80" spans="2:10" ht="13.8" x14ac:dyDescent="0.25">
      <c r="B80" s="268">
        <v>1118</v>
      </c>
      <c r="C80" s="270" t="s">
        <v>1640</v>
      </c>
      <c r="D80" s="260"/>
      <c r="E80" s="260"/>
      <c r="F80" s="260"/>
      <c r="G80" s="260"/>
      <c r="H80" s="263">
        <v>21</v>
      </c>
      <c r="I80" s="277"/>
      <c r="J80" s="279"/>
    </row>
    <row r="81" spans="2:10" ht="14.4" thickBot="1" x14ac:dyDescent="0.3">
      <c r="B81" s="250">
        <v>1119</v>
      </c>
      <c r="C81" s="251" t="s">
        <v>1641</v>
      </c>
      <c r="D81" s="251"/>
      <c r="E81" s="251"/>
      <c r="F81" s="251"/>
      <c r="G81" s="251"/>
      <c r="H81" s="252">
        <v>22</v>
      </c>
      <c r="I81" s="277"/>
      <c r="J81" s="279"/>
    </row>
    <row r="82" spans="2:10" ht="13.8" customHeight="1" x14ac:dyDescent="0.25">
      <c r="B82" s="405" t="s">
        <v>1611</v>
      </c>
      <c r="C82" s="406"/>
      <c r="D82" s="406"/>
      <c r="E82" s="406"/>
      <c r="F82" s="406"/>
      <c r="G82" s="406"/>
      <c r="H82" s="407"/>
      <c r="I82" s="277"/>
      <c r="J82" s="279"/>
    </row>
    <row r="83" spans="2:10" ht="13.8" thickBot="1" x14ac:dyDescent="0.3">
      <c r="B83" s="408"/>
      <c r="C83" s="409"/>
      <c r="D83" s="409"/>
      <c r="E83" s="409"/>
      <c r="F83" s="409"/>
      <c r="G83" s="409"/>
      <c r="H83" s="410"/>
      <c r="I83" s="277"/>
      <c r="J83" s="279"/>
    </row>
    <row r="84" spans="2:10" ht="13.8" x14ac:dyDescent="0.25">
      <c r="B84" s="245">
        <v>1120</v>
      </c>
      <c r="C84" s="246" t="s">
        <v>1612</v>
      </c>
      <c r="D84" s="246"/>
      <c r="E84" s="246"/>
      <c r="F84" s="246"/>
      <c r="G84" s="246"/>
      <c r="H84" s="247">
        <v>22</v>
      </c>
      <c r="I84" s="277"/>
      <c r="J84" s="279"/>
    </row>
    <row r="85" spans="2:10" ht="13.8" x14ac:dyDescent="0.25">
      <c r="B85" s="248">
        <v>1121</v>
      </c>
      <c r="C85" s="243" t="s">
        <v>1613</v>
      </c>
      <c r="D85" s="253"/>
      <c r="E85" s="253"/>
      <c r="F85" s="253"/>
      <c r="G85" s="253"/>
      <c r="H85" s="249">
        <v>22</v>
      </c>
      <c r="I85" s="277"/>
      <c r="J85" s="279"/>
    </row>
    <row r="86" spans="2:10" ht="13.8" x14ac:dyDescent="0.25">
      <c r="B86" s="248">
        <v>1122</v>
      </c>
      <c r="C86" s="243" t="s">
        <v>1614</v>
      </c>
      <c r="D86" s="253"/>
      <c r="E86" s="253"/>
      <c r="F86" s="253"/>
      <c r="G86" s="253"/>
      <c r="H86" s="249">
        <v>23</v>
      </c>
      <c r="I86" s="277"/>
      <c r="J86" s="279"/>
    </row>
    <row r="87" spans="2:10" ht="13.8" x14ac:dyDescent="0.25">
      <c r="B87" s="248">
        <v>1123</v>
      </c>
      <c r="C87" s="243" t="s">
        <v>1615</v>
      </c>
      <c r="D87" s="253"/>
      <c r="E87" s="253"/>
      <c r="F87" s="253"/>
      <c r="G87" s="253"/>
      <c r="H87" s="249">
        <v>22</v>
      </c>
      <c r="I87" s="277"/>
      <c r="J87" s="280"/>
    </row>
    <row r="88" spans="2:10" ht="13.8" x14ac:dyDescent="0.25">
      <c r="B88" s="248">
        <v>1124</v>
      </c>
      <c r="C88" s="243" t="s">
        <v>1616</v>
      </c>
      <c r="D88" s="253"/>
      <c r="E88" s="253"/>
      <c r="F88" s="253"/>
      <c r="G88" s="253"/>
      <c r="H88" s="249">
        <v>23</v>
      </c>
      <c r="I88" s="277"/>
      <c r="J88" s="280"/>
    </row>
    <row r="89" spans="2:10" ht="13.8" x14ac:dyDescent="0.25">
      <c r="B89" s="248">
        <v>1125</v>
      </c>
      <c r="C89" s="243" t="s">
        <v>1617</v>
      </c>
      <c r="D89" s="253"/>
      <c r="E89" s="253"/>
      <c r="F89" s="253"/>
      <c r="G89" s="253"/>
      <c r="H89" s="249">
        <v>20</v>
      </c>
      <c r="I89" s="277"/>
      <c r="J89" s="280"/>
    </row>
    <row r="90" spans="2:10" ht="13.8" x14ac:dyDescent="0.25">
      <c r="B90" s="248">
        <v>1126</v>
      </c>
      <c r="C90" s="243" t="s">
        <v>1618</v>
      </c>
      <c r="D90" s="253"/>
      <c r="E90" s="253"/>
      <c r="F90" s="253"/>
      <c r="G90" s="253"/>
      <c r="H90" s="249">
        <v>20</v>
      </c>
      <c r="I90" s="277"/>
      <c r="J90" s="280"/>
    </row>
    <row r="91" spans="2:10" ht="13.8" x14ac:dyDescent="0.25">
      <c r="B91" s="248">
        <v>1127</v>
      </c>
      <c r="C91" s="243" t="s">
        <v>1619</v>
      </c>
      <c r="D91" s="253"/>
      <c r="E91" s="253"/>
      <c r="F91" s="253"/>
      <c r="G91" s="253"/>
      <c r="H91" s="249">
        <v>21</v>
      </c>
      <c r="I91" s="277"/>
      <c r="J91" s="280"/>
    </row>
    <row r="92" spans="2:10" ht="13.8" x14ac:dyDescent="0.25">
      <c r="B92" s="248">
        <v>1128</v>
      </c>
      <c r="C92" s="243" t="s">
        <v>1620</v>
      </c>
      <c r="D92" s="243"/>
      <c r="E92" s="243"/>
      <c r="F92" s="243"/>
      <c r="G92" s="243"/>
      <c r="H92" s="249">
        <v>22</v>
      </c>
      <c r="I92" s="277"/>
      <c r="J92" s="280"/>
    </row>
    <row r="93" spans="2:10" ht="14.4" thickBot="1" x14ac:dyDescent="0.3">
      <c r="B93" s="250">
        <v>1129</v>
      </c>
      <c r="C93" s="251" t="s">
        <v>1642</v>
      </c>
      <c r="D93" s="251"/>
      <c r="E93" s="251"/>
      <c r="F93" s="251"/>
      <c r="G93" s="251"/>
      <c r="H93" s="252">
        <v>23</v>
      </c>
      <c r="I93" s="277"/>
      <c r="J93" s="280"/>
    </row>
    <row r="94" spans="2:10" ht="14.4" thickBot="1" x14ac:dyDescent="0.3">
      <c r="B94" s="399" t="s">
        <v>1621</v>
      </c>
      <c r="C94" s="400"/>
      <c r="D94" s="400"/>
      <c r="E94" s="400"/>
      <c r="F94" s="400"/>
      <c r="G94" s="400"/>
      <c r="H94" s="401"/>
      <c r="I94" s="277"/>
      <c r="J94" s="280"/>
    </row>
    <row r="95" spans="2:10" ht="13.8" x14ac:dyDescent="0.25">
      <c r="B95" s="245">
        <v>1130</v>
      </c>
      <c r="C95" s="246" t="s">
        <v>1643</v>
      </c>
      <c r="D95" s="266"/>
      <c r="E95" s="266"/>
      <c r="F95" s="266"/>
      <c r="G95" s="266"/>
      <c r="H95" s="267">
        <v>22</v>
      </c>
    </row>
    <row r="96" spans="2:10" ht="13.8" x14ac:dyDescent="0.25">
      <c r="B96" s="248">
        <v>1131</v>
      </c>
      <c r="C96" s="243" t="s">
        <v>1622</v>
      </c>
      <c r="D96" s="243"/>
      <c r="E96" s="243"/>
      <c r="F96" s="243"/>
      <c r="G96" s="243"/>
      <c r="H96" s="249">
        <v>23</v>
      </c>
    </row>
    <row r="97" spans="2:8" ht="13.8" x14ac:dyDescent="0.25">
      <c r="B97" s="248">
        <v>1132</v>
      </c>
      <c r="C97" s="243" t="s">
        <v>1623</v>
      </c>
      <c r="D97" s="243"/>
      <c r="E97" s="243"/>
      <c r="F97" s="243"/>
      <c r="G97" s="243"/>
      <c r="H97" s="249">
        <v>20</v>
      </c>
    </row>
    <row r="98" spans="2:8" ht="14.4" thickBot="1" x14ac:dyDescent="0.3">
      <c r="B98" s="248">
        <v>1133</v>
      </c>
      <c r="C98" s="243" t="s">
        <v>1624</v>
      </c>
      <c r="D98" s="243"/>
      <c r="E98" s="243"/>
      <c r="F98" s="243"/>
      <c r="G98" s="243"/>
      <c r="H98" s="249">
        <v>20</v>
      </c>
    </row>
    <row r="99" spans="2:8" ht="14.4" thickBot="1" x14ac:dyDescent="0.3">
      <c r="B99" s="399" t="s">
        <v>2054</v>
      </c>
      <c r="C99" s="400"/>
      <c r="D99" s="400"/>
      <c r="E99" s="400"/>
      <c r="F99" s="400"/>
      <c r="G99" s="400"/>
      <c r="H99" s="401"/>
    </row>
    <row r="100" spans="2:8" ht="13.8" x14ac:dyDescent="0.25">
      <c r="B100" s="245">
        <v>1134</v>
      </c>
      <c r="C100" s="246" t="s">
        <v>1644</v>
      </c>
      <c r="D100" s="246"/>
      <c r="E100" s="246"/>
      <c r="F100" s="246"/>
      <c r="G100" s="246"/>
      <c r="H100" s="247">
        <v>23</v>
      </c>
    </row>
    <row r="101" spans="2:8" ht="13.8" x14ac:dyDescent="0.25">
      <c r="B101" s="248">
        <v>1135</v>
      </c>
      <c r="C101" s="243" t="s">
        <v>1645</v>
      </c>
      <c r="D101" s="243"/>
      <c r="E101" s="243"/>
      <c r="F101" s="243"/>
      <c r="G101" s="243"/>
      <c r="H101" s="249">
        <v>23</v>
      </c>
    </row>
    <row r="102" spans="2:8" ht="13.8" x14ac:dyDescent="0.25">
      <c r="B102" s="248">
        <v>1136</v>
      </c>
      <c r="C102" s="243" t="s">
        <v>1646</v>
      </c>
      <c r="D102" s="243"/>
      <c r="E102" s="243"/>
      <c r="F102" s="243"/>
      <c r="G102" s="243"/>
      <c r="H102" s="249">
        <v>23</v>
      </c>
    </row>
    <row r="103" spans="2:8" ht="13.8" x14ac:dyDescent="0.25">
      <c r="B103" s="248">
        <v>1137</v>
      </c>
      <c r="C103" s="243" t="s">
        <v>1647</v>
      </c>
      <c r="D103" s="243"/>
      <c r="E103" s="243"/>
      <c r="F103" s="243"/>
      <c r="G103" s="243"/>
      <c r="H103" s="249">
        <v>22</v>
      </c>
    </row>
    <row r="104" spans="2:8" ht="13.8" x14ac:dyDescent="0.25">
      <c r="B104" s="248">
        <v>1138</v>
      </c>
      <c r="C104" s="243" t="s">
        <v>1648</v>
      </c>
      <c r="D104" s="243"/>
      <c r="E104" s="243"/>
      <c r="F104" s="243"/>
      <c r="G104" s="243"/>
      <c r="H104" s="249">
        <v>13</v>
      </c>
    </row>
    <row r="105" spans="2:8" ht="13.8" x14ac:dyDescent="0.25">
      <c r="B105" s="248">
        <v>1139</v>
      </c>
      <c r="C105" s="243" t="s">
        <v>1649</v>
      </c>
      <c r="D105" s="243"/>
      <c r="E105" s="243"/>
      <c r="F105" s="243"/>
      <c r="G105" s="243"/>
      <c r="H105" s="249">
        <v>20</v>
      </c>
    </row>
    <row r="106" spans="2:8" ht="14.4" thickBot="1" x14ac:dyDescent="0.3">
      <c r="B106" s="268">
        <v>1140</v>
      </c>
      <c r="C106" s="255" t="s">
        <v>1650</v>
      </c>
      <c r="D106" s="255"/>
      <c r="E106" s="255"/>
      <c r="F106" s="255"/>
      <c r="G106" s="255"/>
      <c r="H106" s="263">
        <v>13</v>
      </c>
    </row>
    <row r="107" spans="2:8" ht="14.4" thickBot="1" x14ac:dyDescent="0.3">
      <c r="B107" s="399" t="s">
        <v>2056</v>
      </c>
      <c r="C107" s="400"/>
      <c r="D107" s="400"/>
      <c r="E107" s="400"/>
      <c r="F107" s="400"/>
      <c r="G107" s="400"/>
      <c r="H107" s="401"/>
    </row>
    <row r="108" spans="2:8" ht="13.8" x14ac:dyDescent="0.25">
      <c r="B108" s="248">
        <v>1141</v>
      </c>
      <c r="C108" s="243" t="s">
        <v>1651</v>
      </c>
      <c r="D108" s="243"/>
      <c r="E108" s="243"/>
      <c r="F108" s="243"/>
      <c r="G108" s="243"/>
      <c r="H108" s="249">
        <v>12</v>
      </c>
    </row>
    <row r="109" spans="2:8" ht="13.8" x14ac:dyDescent="0.25">
      <c r="B109" s="248">
        <v>1142</v>
      </c>
      <c r="C109" s="243" t="s">
        <v>1652</v>
      </c>
      <c r="D109" s="243"/>
      <c r="E109" s="243"/>
      <c r="F109" s="243"/>
      <c r="G109" s="243"/>
      <c r="H109" s="249">
        <v>13</v>
      </c>
    </row>
    <row r="110" spans="2:8" ht="13.8" x14ac:dyDescent="0.25">
      <c r="B110" s="248">
        <v>1143</v>
      </c>
      <c r="C110" s="243" t="s">
        <v>1653</v>
      </c>
      <c r="D110" s="243"/>
      <c r="E110" s="243"/>
      <c r="F110" s="243"/>
      <c r="G110" s="243"/>
      <c r="H110" s="249">
        <v>12</v>
      </c>
    </row>
    <row r="111" spans="2:8" ht="13.8" x14ac:dyDescent="0.25">
      <c r="B111" s="248">
        <v>1144</v>
      </c>
      <c r="C111" s="243" t="s">
        <v>1654</v>
      </c>
      <c r="D111" s="243"/>
      <c r="E111" s="243"/>
      <c r="F111" s="243"/>
      <c r="G111" s="243"/>
      <c r="H111" s="249">
        <v>20</v>
      </c>
    </row>
    <row r="112" spans="2:8" ht="13.8" x14ac:dyDescent="0.25">
      <c r="B112" s="248">
        <v>1145</v>
      </c>
      <c r="C112" s="243" t="s">
        <v>1655</v>
      </c>
      <c r="D112" s="243"/>
      <c r="E112" s="243"/>
      <c r="F112" s="243"/>
      <c r="G112" s="243"/>
      <c r="H112" s="249">
        <v>12</v>
      </c>
    </row>
    <row r="113" spans="2:8" ht="13.8" x14ac:dyDescent="0.25">
      <c r="B113" s="248">
        <v>1146</v>
      </c>
      <c r="C113" s="243" t="s">
        <v>1656</v>
      </c>
      <c r="D113" s="243"/>
      <c r="E113" s="243"/>
      <c r="F113" s="243"/>
      <c r="G113" s="243"/>
      <c r="H113" s="249">
        <v>13</v>
      </c>
    </row>
    <row r="114" spans="2:8" ht="13.8" x14ac:dyDescent="0.25">
      <c r="B114" s="248">
        <v>1147</v>
      </c>
      <c r="C114" s="243" t="s">
        <v>1657</v>
      </c>
      <c r="D114" s="243"/>
      <c r="E114" s="243"/>
      <c r="F114" s="243"/>
      <c r="G114" s="243"/>
      <c r="H114" s="249">
        <v>12</v>
      </c>
    </row>
    <row r="115" spans="2:8" ht="13.8" x14ac:dyDescent="0.25">
      <c r="B115" s="248">
        <v>1148</v>
      </c>
      <c r="C115" s="243" t="s">
        <v>1658</v>
      </c>
      <c r="D115" s="243"/>
      <c r="E115" s="243"/>
      <c r="F115" s="243"/>
      <c r="G115" s="243"/>
      <c r="H115" s="249">
        <v>12</v>
      </c>
    </row>
    <row r="116" spans="2:8" ht="13.8" x14ac:dyDescent="0.25">
      <c r="B116" s="248">
        <v>1149</v>
      </c>
      <c r="C116" s="243" t="s">
        <v>1659</v>
      </c>
      <c r="D116" s="243"/>
      <c r="E116" s="243"/>
      <c r="F116" s="255"/>
      <c r="G116" s="255"/>
      <c r="H116" s="249">
        <v>12</v>
      </c>
    </row>
    <row r="117" spans="2:8" ht="13.8" x14ac:dyDescent="0.25">
      <c r="B117" s="248">
        <v>1150</v>
      </c>
      <c r="C117" s="243" t="s">
        <v>1660</v>
      </c>
      <c r="D117" s="243"/>
      <c r="E117" s="243"/>
      <c r="F117" s="271"/>
      <c r="G117" s="271"/>
      <c r="H117" s="249">
        <v>20</v>
      </c>
    </row>
    <row r="118" spans="2:8" ht="13.8" x14ac:dyDescent="0.25">
      <c r="B118" s="248">
        <v>1151</v>
      </c>
      <c r="C118" s="243" t="s">
        <v>1661</v>
      </c>
      <c r="D118" s="243"/>
      <c r="E118" s="243"/>
      <c r="F118" s="243"/>
      <c r="G118" s="243"/>
      <c r="H118" s="249">
        <v>10</v>
      </c>
    </row>
    <row r="119" spans="2:8" ht="13.8" x14ac:dyDescent="0.25">
      <c r="B119" s="248">
        <v>1152</v>
      </c>
      <c r="C119" s="243" t="s">
        <v>1662</v>
      </c>
      <c r="D119" s="243"/>
      <c r="E119" s="243"/>
      <c r="F119" s="243"/>
      <c r="G119" s="243"/>
      <c r="H119" s="249">
        <v>20</v>
      </c>
    </row>
    <row r="120" spans="2:8" ht="13.8" x14ac:dyDescent="0.25">
      <c r="B120" s="248">
        <v>1153</v>
      </c>
      <c r="C120" s="243" t="s">
        <v>1663</v>
      </c>
      <c r="D120" s="243"/>
      <c r="E120" s="243"/>
      <c r="F120" s="243"/>
      <c r="G120" s="243"/>
      <c r="H120" s="249">
        <v>10</v>
      </c>
    </row>
    <row r="121" spans="2:8" ht="14.4" thickBot="1" x14ac:dyDescent="0.3">
      <c r="B121" s="250">
        <v>1154</v>
      </c>
      <c r="C121" s="251" t="s">
        <v>1664</v>
      </c>
      <c r="D121" s="251"/>
      <c r="E121" s="251"/>
      <c r="F121" s="282"/>
      <c r="G121" s="282"/>
      <c r="H121" s="252">
        <v>13</v>
      </c>
    </row>
    <row r="122" spans="2:8" ht="14.4" thickBot="1" x14ac:dyDescent="0.3">
      <c r="B122" s="399" t="s">
        <v>2059</v>
      </c>
      <c r="C122" s="400"/>
      <c r="D122" s="400"/>
      <c r="E122" s="400"/>
      <c r="F122" s="400"/>
      <c r="G122" s="400"/>
      <c r="H122" s="401"/>
    </row>
    <row r="123" spans="2:8" ht="13.8" x14ac:dyDescent="0.25">
      <c r="B123" s="245">
        <v>1155</v>
      </c>
      <c r="C123" s="246" t="s">
        <v>1665</v>
      </c>
      <c r="D123" s="246"/>
      <c r="E123" s="246"/>
      <c r="F123" s="246"/>
      <c r="G123" s="246"/>
      <c r="H123" s="247">
        <v>22</v>
      </c>
    </row>
    <row r="124" spans="2:8" ht="13.8" x14ac:dyDescent="0.25">
      <c r="B124" s="248">
        <v>1156</v>
      </c>
      <c r="C124" s="243" t="s">
        <v>1666</v>
      </c>
      <c r="D124" s="243"/>
      <c r="E124" s="243"/>
      <c r="F124" s="243"/>
      <c r="G124" s="243"/>
      <c r="H124" s="249">
        <v>22</v>
      </c>
    </row>
    <row r="125" spans="2:8" ht="13.8" x14ac:dyDescent="0.25">
      <c r="B125" s="248">
        <v>1157</v>
      </c>
      <c r="C125" s="243" t="s">
        <v>1667</v>
      </c>
      <c r="D125" s="243"/>
      <c r="E125" s="243"/>
      <c r="F125" s="243"/>
      <c r="G125" s="243"/>
      <c r="H125" s="249">
        <v>22</v>
      </c>
    </row>
    <row r="126" spans="2:8" ht="13.8" x14ac:dyDescent="0.25">
      <c r="B126" s="248">
        <v>1158</v>
      </c>
      <c r="C126" s="243" t="s">
        <v>1668</v>
      </c>
      <c r="D126" s="243"/>
      <c r="E126" s="243"/>
      <c r="F126" s="243"/>
      <c r="G126" s="243"/>
      <c r="H126" s="249">
        <v>22</v>
      </c>
    </row>
    <row r="127" spans="2:8" ht="13.8" x14ac:dyDescent="0.25">
      <c r="B127" s="248">
        <v>1159</v>
      </c>
      <c r="C127" s="243" t="s">
        <v>1669</v>
      </c>
      <c r="D127" s="243"/>
      <c r="E127" s="243"/>
      <c r="F127" s="243"/>
      <c r="G127" s="243"/>
      <c r="H127" s="249">
        <v>20</v>
      </c>
    </row>
    <row r="128" spans="2:8" ht="13.8" x14ac:dyDescent="0.25">
      <c r="B128" s="248">
        <v>1160</v>
      </c>
      <c r="C128" s="243" t="s">
        <v>1670</v>
      </c>
      <c r="D128" s="243"/>
      <c r="E128" s="243"/>
      <c r="F128" s="243"/>
      <c r="G128" s="243"/>
      <c r="H128" s="249">
        <v>22</v>
      </c>
    </row>
    <row r="129" spans="2:8" ht="13.8" x14ac:dyDescent="0.25">
      <c r="B129" s="248">
        <v>1161</v>
      </c>
      <c r="C129" s="243" t="s">
        <v>1671</v>
      </c>
      <c r="D129" s="243"/>
      <c r="E129" s="243"/>
      <c r="F129" s="243"/>
      <c r="G129" s="243"/>
      <c r="H129" s="249">
        <v>23</v>
      </c>
    </row>
    <row r="130" spans="2:8" ht="13.8" x14ac:dyDescent="0.25">
      <c r="B130" s="248">
        <v>1162</v>
      </c>
      <c r="C130" s="243" t="s">
        <v>1672</v>
      </c>
      <c r="D130" s="243"/>
      <c r="E130" s="243"/>
      <c r="F130" s="243"/>
      <c r="G130" s="243"/>
      <c r="H130" s="249">
        <v>20</v>
      </c>
    </row>
    <row r="131" spans="2:8" ht="13.8" x14ac:dyDescent="0.25">
      <c r="B131" s="248">
        <v>1163</v>
      </c>
      <c r="C131" s="243" t="s">
        <v>1673</v>
      </c>
      <c r="D131" s="243"/>
      <c r="E131" s="243"/>
      <c r="F131" s="243"/>
      <c r="G131" s="243"/>
      <c r="H131" s="249">
        <v>20</v>
      </c>
    </row>
    <row r="132" spans="2:8" ht="13.8" x14ac:dyDescent="0.25">
      <c r="B132" s="248">
        <v>1164</v>
      </c>
      <c r="C132" s="243" t="s">
        <v>1674</v>
      </c>
      <c r="D132" s="243"/>
      <c r="E132" s="243"/>
      <c r="F132" s="243"/>
      <c r="G132" s="243"/>
      <c r="H132" s="249">
        <v>22</v>
      </c>
    </row>
    <row r="133" spans="2:8" ht="14.4" thickBot="1" x14ac:dyDescent="0.3">
      <c r="B133" s="250">
        <v>1165</v>
      </c>
      <c r="C133" s="251" t="s">
        <v>1675</v>
      </c>
      <c r="D133" s="251"/>
      <c r="E133" s="251"/>
      <c r="F133" s="251"/>
      <c r="G133" s="251"/>
      <c r="H133" s="252">
        <v>22</v>
      </c>
    </row>
    <row r="134" spans="2:8" ht="14.4" thickBot="1" x14ac:dyDescent="0.3">
      <c r="B134" s="402" t="s">
        <v>2060</v>
      </c>
      <c r="C134" s="403"/>
      <c r="D134" s="403"/>
      <c r="E134" s="403"/>
      <c r="F134" s="403"/>
      <c r="G134" s="403"/>
      <c r="H134" s="404"/>
    </row>
    <row r="135" spans="2:8" ht="13.8" x14ac:dyDescent="0.25">
      <c r="B135" s="245">
        <v>1166</v>
      </c>
      <c r="C135" s="246" t="s">
        <v>1676</v>
      </c>
      <c r="D135" s="266"/>
      <c r="E135" s="246"/>
      <c r="F135" s="246"/>
      <c r="G135" s="246"/>
      <c r="H135" s="247">
        <v>13</v>
      </c>
    </row>
    <row r="136" spans="2:8" ht="13.8" x14ac:dyDescent="0.25">
      <c r="B136" s="248">
        <v>1167</v>
      </c>
      <c r="C136" s="243" t="s">
        <v>1677</v>
      </c>
      <c r="D136" s="253"/>
      <c r="E136" s="243"/>
      <c r="F136" s="243"/>
      <c r="G136" s="243"/>
      <c r="H136" s="249">
        <v>20</v>
      </c>
    </row>
    <row r="137" spans="2:8" ht="13.8" x14ac:dyDescent="0.25">
      <c r="B137" s="248">
        <v>1168</v>
      </c>
      <c r="C137" s="243" t="s">
        <v>1678</v>
      </c>
      <c r="D137" s="253"/>
      <c r="E137" s="243"/>
      <c r="F137" s="243"/>
      <c r="G137" s="243"/>
      <c r="H137" s="249">
        <v>20</v>
      </c>
    </row>
    <row r="138" spans="2:8" ht="13.8" x14ac:dyDescent="0.25">
      <c r="B138" s="248">
        <v>1169</v>
      </c>
      <c r="C138" s="243" t="s">
        <v>1679</v>
      </c>
      <c r="D138" s="253"/>
      <c r="E138" s="243"/>
      <c r="F138" s="243"/>
      <c r="G138" s="243"/>
      <c r="H138" s="249">
        <v>13</v>
      </c>
    </row>
    <row r="139" spans="2:8" ht="13.8" x14ac:dyDescent="0.25">
      <c r="B139" s="248">
        <v>1170</v>
      </c>
      <c r="C139" s="243" t="s">
        <v>1680</v>
      </c>
      <c r="D139" s="253"/>
      <c r="E139" s="243"/>
      <c r="F139" s="243"/>
      <c r="G139" s="243"/>
      <c r="H139" s="249">
        <v>13</v>
      </c>
    </row>
    <row r="140" spans="2:8" ht="13.8" x14ac:dyDescent="0.25">
      <c r="B140" s="248">
        <v>1171</v>
      </c>
      <c r="C140" s="243" t="s">
        <v>1681</v>
      </c>
      <c r="D140" s="253"/>
      <c r="E140" s="243"/>
      <c r="F140" s="243"/>
      <c r="G140" s="243"/>
      <c r="H140" s="249">
        <v>13</v>
      </c>
    </row>
    <row r="141" spans="2:8" ht="13.8" x14ac:dyDescent="0.25">
      <c r="B141" s="248">
        <v>1172</v>
      </c>
      <c r="C141" s="243" t="s">
        <v>1682</v>
      </c>
      <c r="D141" s="253"/>
      <c r="E141" s="243"/>
      <c r="F141" s="243"/>
      <c r="G141" s="243"/>
      <c r="H141" s="249">
        <v>12</v>
      </c>
    </row>
    <row r="142" spans="2:8" ht="13.8" x14ac:dyDescent="0.25">
      <c r="B142" s="248">
        <v>1173</v>
      </c>
      <c r="C142" s="243" t="s">
        <v>1683</v>
      </c>
      <c r="D142" s="253"/>
      <c r="E142" s="243"/>
      <c r="F142" s="243"/>
      <c r="G142" s="243"/>
      <c r="H142" s="249">
        <v>12</v>
      </c>
    </row>
    <row r="143" spans="2:8" ht="13.8" x14ac:dyDescent="0.25">
      <c r="B143" s="248">
        <v>1174</v>
      </c>
      <c r="C143" s="243" t="s">
        <v>1684</v>
      </c>
      <c r="D143" s="253"/>
      <c r="E143" s="243"/>
      <c r="F143" s="243"/>
      <c r="G143" s="243"/>
      <c r="H143" s="249">
        <v>12</v>
      </c>
    </row>
    <row r="144" spans="2:8" ht="13.8" x14ac:dyDescent="0.25">
      <c r="B144" s="248">
        <v>1175</v>
      </c>
      <c r="C144" s="243" t="s">
        <v>1685</v>
      </c>
      <c r="D144" s="253"/>
      <c r="E144" s="243"/>
      <c r="F144" s="243"/>
      <c r="G144" s="243"/>
      <c r="H144" s="249">
        <v>12</v>
      </c>
    </row>
    <row r="145" spans="2:8" ht="14.4" thickBot="1" x14ac:dyDescent="0.3">
      <c r="B145" s="250">
        <v>1176</v>
      </c>
      <c r="C145" s="251" t="s">
        <v>1686</v>
      </c>
      <c r="D145" s="265"/>
      <c r="E145" s="251"/>
      <c r="F145" s="251"/>
      <c r="G145" s="251"/>
      <c r="H145" s="252">
        <v>12</v>
      </c>
    </row>
    <row r="146" spans="2:8" ht="14.4" thickBot="1" x14ac:dyDescent="0.3">
      <c r="B146" s="399" t="s">
        <v>2061</v>
      </c>
      <c r="C146" s="400"/>
      <c r="D146" s="400"/>
      <c r="E146" s="400"/>
      <c r="F146" s="400"/>
      <c r="G146" s="400"/>
      <c r="H146" s="401"/>
    </row>
    <row r="147" spans="2:8" ht="13.8" x14ac:dyDescent="0.25">
      <c r="B147" s="245">
        <v>1177</v>
      </c>
      <c r="C147" s="246" t="s">
        <v>1687</v>
      </c>
      <c r="D147" s="246"/>
      <c r="E147" s="246"/>
      <c r="F147" s="246"/>
      <c r="G147" s="246"/>
      <c r="H147" s="247">
        <v>13</v>
      </c>
    </row>
    <row r="148" spans="2:8" ht="13.8" x14ac:dyDescent="0.25">
      <c r="B148" s="248">
        <v>1178</v>
      </c>
      <c r="C148" s="243" t="s">
        <v>1688</v>
      </c>
      <c r="D148" s="243"/>
      <c r="E148" s="243"/>
      <c r="F148" s="243"/>
      <c r="G148" s="243"/>
      <c r="H148" s="249">
        <v>13</v>
      </c>
    </row>
    <row r="149" spans="2:8" ht="13.8" x14ac:dyDescent="0.25">
      <c r="B149" s="248">
        <v>1179</v>
      </c>
      <c r="C149" s="243" t="s">
        <v>1689</v>
      </c>
      <c r="D149" s="243"/>
      <c r="E149" s="243"/>
      <c r="F149" s="243"/>
      <c r="G149" s="243"/>
      <c r="H149" s="249">
        <v>12</v>
      </c>
    </row>
    <row r="150" spans="2:8" ht="13.8" x14ac:dyDescent="0.25">
      <c r="B150" s="248">
        <v>1180</v>
      </c>
      <c r="C150" s="243" t="s">
        <v>1690</v>
      </c>
      <c r="D150" s="243"/>
      <c r="E150" s="243"/>
      <c r="F150" s="243"/>
      <c r="G150" s="243"/>
      <c r="H150" s="249">
        <v>10</v>
      </c>
    </row>
    <row r="151" spans="2:8" ht="13.8" x14ac:dyDescent="0.25">
      <c r="B151" s="248">
        <v>1181</v>
      </c>
      <c r="C151" s="243" t="s">
        <v>1691</v>
      </c>
      <c r="D151" s="243"/>
      <c r="E151" s="243"/>
      <c r="F151" s="243"/>
      <c r="G151" s="243"/>
      <c r="H151" s="249">
        <v>10</v>
      </c>
    </row>
    <row r="152" spans="2:8" ht="13.8" x14ac:dyDescent="0.25">
      <c r="B152" s="248">
        <v>1182</v>
      </c>
      <c r="C152" s="243" t="s">
        <v>1692</v>
      </c>
      <c r="D152" s="243"/>
      <c r="E152" s="243"/>
      <c r="F152" s="243"/>
      <c r="G152" s="243"/>
      <c r="H152" s="249">
        <v>10</v>
      </c>
    </row>
    <row r="153" spans="2:8" ht="13.8" x14ac:dyDescent="0.25">
      <c r="B153" s="248">
        <v>1183</v>
      </c>
      <c r="C153" s="243" t="s">
        <v>1693</v>
      </c>
      <c r="D153" s="243"/>
      <c r="E153" s="243"/>
      <c r="F153" s="243"/>
      <c r="G153" s="243"/>
      <c r="H153" s="249">
        <v>12</v>
      </c>
    </row>
    <row r="154" spans="2:8" ht="13.8" x14ac:dyDescent="0.25">
      <c r="B154" s="248">
        <v>1184</v>
      </c>
      <c r="C154" s="243" t="s">
        <v>1694</v>
      </c>
      <c r="D154" s="243"/>
      <c r="E154" s="243"/>
      <c r="F154" s="243"/>
      <c r="G154" s="243"/>
      <c r="H154" s="249">
        <v>13</v>
      </c>
    </row>
    <row r="155" spans="2:8" ht="13.8" x14ac:dyDescent="0.25">
      <c r="B155" s="248">
        <v>1185</v>
      </c>
      <c r="C155" s="243" t="s">
        <v>1695</v>
      </c>
      <c r="D155" s="243"/>
      <c r="E155" s="243"/>
      <c r="F155" s="243"/>
      <c r="G155" s="243"/>
      <c r="H155" s="249">
        <v>13</v>
      </c>
    </row>
    <row r="156" spans="2:8" ht="13.8" x14ac:dyDescent="0.25">
      <c r="B156" s="248">
        <v>1186</v>
      </c>
      <c r="C156" s="243" t="s">
        <v>1696</v>
      </c>
      <c r="D156" s="243"/>
      <c r="E156" s="243"/>
      <c r="F156" s="243"/>
      <c r="G156" s="243"/>
      <c r="H156" s="249">
        <v>22</v>
      </c>
    </row>
    <row r="157" spans="2:8" ht="13.8" x14ac:dyDescent="0.25">
      <c r="B157" s="248">
        <v>1187</v>
      </c>
      <c r="C157" s="243" t="s">
        <v>1697</v>
      </c>
      <c r="D157" s="243"/>
      <c r="E157" s="243"/>
      <c r="F157" s="243"/>
      <c r="G157" s="243"/>
      <c r="H157" s="249">
        <v>13</v>
      </c>
    </row>
    <row r="158" spans="2:8" ht="13.8" x14ac:dyDescent="0.25">
      <c r="B158" s="248">
        <v>1188</v>
      </c>
      <c r="C158" s="243" t="s">
        <v>1698</v>
      </c>
      <c r="D158" s="243"/>
      <c r="E158" s="243"/>
      <c r="F158" s="243"/>
      <c r="G158" s="243"/>
      <c r="H158" s="249">
        <v>10</v>
      </c>
    </row>
    <row r="159" spans="2:8" ht="14.4" thickBot="1" x14ac:dyDescent="0.3">
      <c r="B159" s="248">
        <v>1189</v>
      </c>
      <c r="C159" s="243" t="s">
        <v>1699</v>
      </c>
      <c r="D159" s="243"/>
      <c r="E159" s="243"/>
      <c r="F159" s="243"/>
      <c r="G159" s="243"/>
      <c r="H159" s="249">
        <v>10</v>
      </c>
    </row>
    <row r="160" spans="2:8" ht="14.4" thickBot="1" x14ac:dyDescent="0.3">
      <c r="B160" s="399" t="s">
        <v>2062</v>
      </c>
      <c r="C160" s="400"/>
      <c r="D160" s="400"/>
      <c r="E160" s="400"/>
      <c r="F160" s="400"/>
      <c r="G160" s="400"/>
      <c r="H160" s="401"/>
    </row>
    <row r="161" spans="2:8" ht="13.8" x14ac:dyDescent="0.25">
      <c r="B161" s="248">
        <v>1190</v>
      </c>
      <c r="C161" s="243" t="s">
        <v>1700</v>
      </c>
      <c r="D161" s="243"/>
      <c r="E161" s="243"/>
      <c r="F161" s="243"/>
      <c r="G161" s="243"/>
      <c r="H161" s="249">
        <v>22</v>
      </c>
    </row>
    <row r="162" spans="2:8" ht="13.8" x14ac:dyDescent="0.25">
      <c r="B162" s="248">
        <v>1191</v>
      </c>
      <c r="C162" s="243" t="s">
        <v>1701</v>
      </c>
      <c r="D162" s="243"/>
      <c r="E162" s="243"/>
      <c r="F162" s="243"/>
      <c r="G162" s="243"/>
      <c r="H162" s="249">
        <v>23</v>
      </c>
    </row>
    <row r="163" spans="2:8" ht="13.8" x14ac:dyDescent="0.25">
      <c r="B163" s="248">
        <v>1192</v>
      </c>
      <c r="C163" s="243" t="s">
        <v>1702</v>
      </c>
      <c r="D163" s="243"/>
      <c r="E163" s="243"/>
      <c r="F163" s="243"/>
      <c r="G163" s="243"/>
      <c r="H163" s="249">
        <v>22</v>
      </c>
    </row>
    <row r="164" spans="2:8" ht="13.8" x14ac:dyDescent="0.25">
      <c r="B164" s="248">
        <v>1193</v>
      </c>
      <c r="C164" s="243" t="s">
        <v>1703</v>
      </c>
      <c r="D164" s="243"/>
      <c r="E164" s="243"/>
      <c r="F164" s="243"/>
      <c r="G164" s="243"/>
      <c r="H164" s="249">
        <v>22</v>
      </c>
    </row>
    <row r="165" spans="2:8" ht="13.8" x14ac:dyDescent="0.25">
      <c r="B165" s="248">
        <v>1194</v>
      </c>
      <c r="C165" s="243" t="s">
        <v>1704</v>
      </c>
      <c r="D165" s="243"/>
      <c r="E165" s="243"/>
      <c r="F165" s="243"/>
      <c r="G165" s="243"/>
      <c r="H165" s="249">
        <v>22</v>
      </c>
    </row>
    <row r="166" spans="2:8" ht="13.8" x14ac:dyDescent="0.25">
      <c r="B166" s="248">
        <v>1195</v>
      </c>
      <c r="C166" s="243" t="s">
        <v>1705</v>
      </c>
      <c r="D166" s="243"/>
      <c r="E166" s="243"/>
      <c r="F166" s="243"/>
      <c r="G166" s="243"/>
      <c r="H166" s="249">
        <v>23</v>
      </c>
    </row>
    <row r="167" spans="2:8" ht="13.8" x14ac:dyDescent="0.25">
      <c r="B167" s="248">
        <v>1196</v>
      </c>
      <c r="C167" s="243" t="s">
        <v>1706</v>
      </c>
      <c r="D167" s="243"/>
      <c r="E167" s="243"/>
      <c r="F167" s="243"/>
      <c r="G167" s="243"/>
      <c r="H167" s="249">
        <v>20</v>
      </c>
    </row>
    <row r="168" spans="2:8" ht="13.8" x14ac:dyDescent="0.25">
      <c r="B168" s="248">
        <v>1197</v>
      </c>
      <c r="C168" s="243" t="s">
        <v>1707</v>
      </c>
      <c r="D168" s="243"/>
      <c r="E168" s="243"/>
      <c r="F168" s="243"/>
      <c r="G168" s="243"/>
      <c r="H168" s="249">
        <v>13</v>
      </c>
    </row>
    <row r="169" spans="2:8" ht="13.8" x14ac:dyDescent="0.25">
      <c r="B169" s="248">
        <v>1198</v>
      </c>
      <c r="C169" s="243" t="s">
        <v>1708</v>
      </c>
      <c r="D169" s="243"/>
      <c r="E169" s="243"/>
      <c r="F169" s="243"/>
      <c r="G169" s="243"/>
      <c r="H169" s="249">
        <v>12</v>
      </c>
    </row>
    <row r="170" spans="2:8" ht="14.4" thickBot="1" x14ac:dyDescent="0.3">
      <c r="B170" s="250">
        <v>1199</v>
      </c>
      <c r="C170" s="251" t="s">
        <v>1709</v>
      </c>
      <c r="D170" s="251"/>
      <c r="E170" s="251"/>
      <c r="F170" s="251"/>
      <c r="G170" s="251"/>
      <c r="H170" s="252">
        <v>20</v>
      </c>
    </row>
    <row r="171" spans="2:8" ht="14.4" thickBot="1" x14ac:dyDescent="0.3">
      <c r="B171" s="399" t="s">
        <v>2063</v>
      </c>
      <c r="C171" s="400"/>
      <c r="D171" s="400"/>
      <c r="E171" s="400"/>
      <c r="F171" s="400"/>
      <c r="G171" s="400"/>
      <c r="H171" s="401"/>
    </row>
    <row r="172" spans="2:8" ht="13.8" x14ac:dyDescent="0.25">
      <c r="B172" s="245">
        <v>1200</v>
      </c>
      <c r="C172" s="246" t="s">
        <v>1710</v>
      </c>
      <c r="D172" s="246"/>
      <c r="E172" s="246"/>
      <c r="F172" s="246"/>
      <c r="G172" s="246"/>
      <c r="H172" s="247">
        <v>20</v>
      </c>
    </row>
    <row r="173" spans="2:8" ht="13.8" x14ac:dyDescent="0.25">
      <c r="B173" s="248">
        <v>1201</v>
      </c>
      <c r="C173" s="243" t="s">
        <v>1711</v>
      </c>
      <c r="D173" s="243"/>
      <c r="E173" s="243"/>
      <c r="F173" s="243"/>
      <c r="G173" s="243"/>
      <c r="H173" s="249">
        <v>20</v>
      </c>
    </row>
    <row r="174" spans="2:8" ht="13.8" x14ac:dyDescent="0.25">
      <c r="B174" s="248">
        <v>1202</v>
      </c>
      <c r="C174" s="243" t="s">
        <v>1712</v>
      </c>
      <c r="D174" s="243"/>
      <c r="E174" s="243"/>
      <c r="F174" s="243"/>
      <c r="G174" s="243"/>
      <c r="H174" s="249">
        <v>20</v>
      </c>
    </row>
    <row r="175" spans="2:8" ht="13.8" x14ac:dyDescent="0.25">
      <c r="B175" s="248">
        <v>1203</v>
      </c>
      <c r="C175" s="243" t="s">
        <v>1713</v>
      </c>
      <c r="D175" s="243"/>
      <c r="E175" s="243"/>
      <c r="F175" s="243"/>
      <c r="G175" s="243"/>
      <c r="H175" s="249">
        <v>20</v>
      </c>
    </row>
    <row r="176" spans="2:8" ht="13.8" x14ac:dyDescent="0.25">
      <c r="B176" s="248">
        <v>1204</v>
      </c>
      <c r="C176" s="243" t="s">
        <v>1714</v>
      </c>
      <c r="D176" s="243"/>
      <c r="E176" s="243"/>
      <c r="F176" s="243"/>
      <c r="G176" s="243"/>
      <c r="H176" s="249">
        <v>20</v>
      </c>
    </row>
    <row r="177" spans="2:8" ht="13.8" x14ac:dyDescent="0.25">
      <c r="B177" s="248">
        <v>1205</v>
      </c>
      <c r="C177" s="243" t="s">
        <v>1715</v>
      </c>
      <c r="D177" s="243"/>
      <c r="E177" s="243"/>
      <c r="F177" s="243"/>
      <c r="G177" s="243"/>
      <c r="H177" s="249">
        <v>22</v>
      </c>
    </row>
    <row r="178" spans="2:8" ht="13.8" x14ac:dyDescent="0.25">
      <c r="B178" s="248">
        <v>1206</v>
      </c>
      <c r="C178" s="243" t="s">
        <v>1716</v>
      </c>
      <c r="D178" s="243"/>
      <c r="E178" s="243"/>
      <c r="F178" s="243"/>
      <c r="G178" s="243"/>
      <c r="H178" s="249">
        <v>22</v>
      </c>
    </row>
    <row r="179" spans="2:8" ht="13.8" x14ac:dyDescent="0.25">
      <c r="B179" s="248">
        <v>1207</v>
      </c>
      <c r="C179" s="243" t="s">
        <v>1717</v>
      </c>
      <c r="D179" s="243"/>
      <c r="E179" s="243"/>
      <c r="F179" s="243"/>
      <c r="G179" s="243"/>
      <c r="H179" s="249">
        <v>22</v>
      </c>
    </row>
    <row r="180" spans="2:8" ht="13.8" x14ac:dyDescent="0.25">
      <c r="B180" s="248">
        <v>1208</v>
      </c>
      <c r="C180" s="243" t="s">
        <v>1718</v>
      </c>
      <c r="D180" s="243"/>
      <c r="E180" s="243"/>
      <c r="F180" s="243"/>
      <c r="G180" s="243"/>
      <c r="H180" s="249">
        <v>22</v>
      </c>
    </row>
    <row r="181" spans="2:8" ht="13.8" x14ac:dyDescent="0.25">
      <c r="B181" s="248">
        <v>1209</v>
      </c>
      <c r="C181" s="243" t="s">
        <v>1719</v>
      </c>
      <c r="D181" s="243"/>
      <c r="E181" s="243"/>
      <c r="F181" s="243"/>
      <c r="G181" s="243"/>
      <c r="H181" s="249">
        <v>22</v>
      </c>
    </row>
    <row r="182" spans="2:8" ht="13.8" x14ac:dyDescent="0.25">
      <c r="B182" s="248">
        <v>1210</v>
      </c>
      <c r="C182" s="243" t="s">
        <v>1720</v>
      </c>
      <c r="D182" s="243"/>
      <c r="E182" s="243"/>
      <c r="F182" s="243"/>
      <c r="G182" s="243"/>
      <c r="H182" s="249">
        <v>22</v>
      </c>
    </row>
    <row r="183" spans="2:8" ht="13.8" x14ac:dyDescent="0.25">
      <c r="B183" s="248">
        <v>1211</v>
      </c>
      <c r="C183" s="243" t="s">
        <v>1721</v>
      </c>
      <c r="D183" s="243"/>
      <c r="E183" s="243"/>
      <c r="F183" s="243"/>
      <c r="G183" s="243"/>
      <c r="H183" s="249">
        <v>13</v>
      </c>
    </row>
    <row r="184" spans="2:8" ht="13.8" x14ac:dyDescent="0.25">
      <c r="B184" s="248">
        <v>1212</v>
      </c>
      <c r="C184" s="243" t="s">
        <v>1722</v>
      </c>
      <c r="D184" s="243"/>
      <c r="E184" s="243"/>
      <c r="F184" s="243"/>
      <c r="G184" s="243"/>
      <c r="H184" s="249">
        <v>13</v>
      </c>
    </row>
    <row r="185" spans="2:8" ht="13.8" x14ac:dyDescent="0.25">
      <c r="B185" s="248">
        <v>1213</v>
      </c>
      <c r="C185" s="243" t="s">
        <v>1723</v>
      </c>
      <c r="D185" s="243"/>
      <c r="E185" s="243"/>
      <c r="F185" s="243"/>
      <c r="G185" s="243"/>
      <c r="H185" s="249">
        <v>13</v>
      </c>
    </row>
    <row r="186" spans="2:8" ht="13.8" x14ac:dyDescent="0.25">
      <c r="B186" s="248">
        <v>1214</v>
      </c>
      <c r="C186" s="243" t="s">
        <v>1724</v>
      </c>
      <c r="D186" s="243"/>
      <c r="E186" s="243"/>
      <c r="F186" s="243"/>
      <c r="G186" s="243"/>
      <c r="H186" s="249">
        <v>10</v>
      </c>
    </row>
    <row r="187" spans="2:8" ht="13.8" x14ac:dyDescent="0.25">
      <c r="B187" s="248">
        <v>1215</v>
      </c>
      <c r="C187" s="243" t="s">
        <v>1725</v>
      </c>
      <c r="D187" s="243"/>
      <c r="E187" s="243"/>
      <c r="F187" s="243"/>
      <c r="G187" s="243"/>
      <c r="H187" s="249">
        <v>10</v>
      </c>
    </row>
    <row r="188" spans="2:8" ht="13.8" x14ac:dyDescent="0.25">
      <c r="B188" s="248">
        <v>1216</v>
      </c>
      <c r="C188" s="243" t="s">
        <v>1726</v>
      </c>
      <c r="D188" s="243"/>
      <c r="E188" s="243"/>
      <c r="F188" s="243"/>
      <c r="G188" s="243"/>
      <c r="H188" s="249">
        <v>12</v>
      </c>
    </row>
    <row r="189" spans="2:8" ht="14.4" thickBot="1" x14ac:dyDescent="0.3">
      <c r="B189" s="250">
        <v>1217</v>
      </c>
      <c r="C189" s="251" t="s">
        <v>1727</v>
      </c>
      <c r="D189" s="251"/>
      <c r="E189" s="251"/>
      <c r="F189" s="251"/>
      <c r="G189" s="251"/>
      <c r="H189" s="252">
        <v>12</v>
      </c>
    </row>
    <row r="190" spans="2:8" ht="14.4" thickBot="1" x14ac:dyDescent="0.3">
      <c r="B190" s="399" t="s">
        <v>2064</v>
      </c>
      <c r="C190" s="400"/>
      <c r="D190" s="400"/>
      <c r="E190" s="400"/>
      <c r="F190" s="400"/>
      <c r="G190" s="400"/>
      <c r="H190" s="401"/>
    </row>
    <row r="191" spans="2:8" ht="13.8" x14ac:dyDescent="0.25">
      <c r="B191" s="245">
        <v>1218</v>
      </c>
      <c r="C191" s="246" t="s">
        <v>1728</v>
      </c>
      <c r="D191" s="246"/>
      <c r="E191" s="246"/>
      <c r="F191" s="246"/>
      <c r="G191" s="246"/>
      <c r="H191" s="247">
        <v>23</v>
      </c>
    </row>
    <row r="192" spans="2:8" ht="13.8" x14ac:dyDescent="0.25">
      <c r="B192" s="248">
        <v>1219</v>
      </c>
      <c r="C192" s="243" t="s">
        <v>1729</v>
      </c>
      <c r="D192" s="243"/>
      <c r="E192" s="243"/>
      <c r="F192" s="243"/>
      <c r="G192" s="243"/>
      <c r="H192" s="249">
        <v>23</v>
      </c>
    </row>
    <row r="193" spans="2:8" ht="13.8" x14ac:dyDescent="0.25">
      <c r="B193" s="248">
        <v>1220</v>
      </c>
      <c r="C193" s="243" t="s">
        <v>1730</v>
      </c>
      <c r="D193" s="243"/>
      <c r="E193" s="243"/>
      <c r="F193" s="243"/>
      <c r="G193" s="243"/>
      <c r="H193" s="249">
        <v>23</v>
      </c>
    </row>
    <row r="194" spans="2:8" ht="13.8" x14ac:dyDescent="0.25">
      <c r="B194" s="248">
        <v>1221</v>
      </c>
      <c r="C194" s="243" t="s">
        <v>1731</v>
      </c>
      <c r="D194" s="243"/>
      <c r="E194" s="243"/>
      <c r="F194" s="243"/>
      <c r="G194" s="243"/>
      <c r="H194" s="249">
        <v>23</v>
      </c>
    </row>
    <row r="195" spans="2:8" ht="14.4" thickBot="1" x14ac:dyDescent="0.3">
      <c r="B195" s="250">
        <v>1222</v>
      </c>
      <c r="C195" s="251" t="s">
        <v>1732</v>
      </c>
      <c r="D195" s="251"/>
      <c r="E195" s="251"/>
      <c r="F195" s="251"/>
      <c r="G195" s="251"/>
      <c r="H195" s="252">
        <v>23</v>
      </c>
    </row>
    <row r="196" spans="2:8" ht="14.4" thickBot="1" x14ac:dyDescent="0.3">
      <c r="B196" s="399" t="s">
        <v>2065</v>
      </c>
      <c r="C196" s="400"/>
      <c r="D196" s="400"/>
      <c r="E196" s="400"/>
      <c r="F196" s="400"/>
      <c r="G196" s="400"/>
      <c r="H196" s="401"/>
    </row>
    <row r="197" spans="2:8" ht="13.8" x14ac:dyDescent="0.25">
      <c r="B197" s="243">
        <v>1223</v>
      </c>
      <c r="C197" s="243" t="s">
        <v>1733</v>
      </c>
      <c r="D197" s="243"/>
      <c r="E197" s="243"/>
      <c r="F197" s="243"/>
      <c r="G197" s="243"/>
      <c r="H197" s="243">
        <v>10</v>
      </c>
    </row>
    <row r="198" spans="2:8" ht="13.8" x14ac:dyDescent="0.25">
      <c r="B198" s="243">
        <v>1224</v>
      </c>
      <c r="C198" s="243" t="s">
        <v>1734</v>
      </c>
      <c r="D198" s="243"/>
      <c r="E198" s="243"/>
      <c r="F198" s="243"/>
      <c r="G198" s="243"/>
      <c r="H198" s="243">
        <v>12</v>
      </c>
    </row>
    <row r="199" spans="2:8" ht="13.8" x14ac:dyDescent="0.25">
      <c r="B199" s="243">
        <v>1225</v>
      </c>
      <c r="C199" s="243" t="s">
        <v>1735</v>
      </c>
      <c r="D199" s="243"/>
      <c r="E199" s="243"/>
      <c r="F199" s="243"/>
      <c r="G199" s="243"/>
      <c r="H199" s="243">
        <v>13</v>
      </c>
    </row>
    <row r="200" spans="2:8" ht="13.8" x14ac:dyDescent="0.25">
      <c r="B200" s="243">
        <v>1226</v>
      </c>
      <c r="C200" s="243" t="s">
        <v>1736</v>
      </c>
      <c r="D200" s="243"/>
      <c r="E200" s="243"/>
      <c r="F200" s="243"/>
      <c r="G200" s="243"/>
      <c r="H200" s="243">
        <v>13</v>
      </c>
    </row>
    <row r="201" spans="2:8" ht="13.8" x14ac:dyDescent="0.25">
      <c r="B201" s="243">
        <v>1227</v>
      </c>
      <c r="C201" s="243" t="s">
        <v>1737</v>
      </c>
      <c r="D201" s="243"/>
      <c r="E201" s="243"/>
      <c r="F201" s="243"/>
      <c r="G201" s="243"/>
      <c r="H201" s="243">
        <v>23</v>
      </c>
    </row>
    <row r="202" spans="2:8" ht="13.8" x14ac:dyDescent="0.25">
      <c r="B202" s="243">
        <v>1228</v>
      </c>
      <c r="C202" s="243" t="s">
        <v>1738</v>
      </c>
      <c r="D202" s="243"/>
      <c r="E202" s="243"/>
      <c r="F202" s="243"/>
      <c r="G202" s="243"/>
      <c r="H202" s="243">
        <v>22</v>
      </c>
    </row>
    <row r="203" spans="2:8" ht="14.4" thickBot="1" x14ac:dyDescent="0.3">
      <c r="B203" s="243">
        <v>1229</v>
      </c>
      <c r="C203" s="243" t="s">
        <v>1739</v>
      </c>
      <c r="D203" s="243"/>
      <c r="E203" s="243"/>
      <c r="F203" s="243"/>
      <c r="G203" s="243"/>
      <c r="H203" s="243">
        <v>22</v>
      </c>
    </row>
    <row r="204" spans="2:8" ht="14.4" thickBot="1" x14ac:dyDescent="0.3">
      <c r="B204" s="399" t="s">
        <v>2066</v>
      </c>
      <c r="C204" s="400"/>
      <c r="D204" s="400"/>
      <c r="E204" s="400"/>
      <c r="F204" s="400"/>
      <c r="G204" s="400"/>
      <c r="H204" s="401"/>
    </row>
    <row r="205" spans="2:8" ht="13.8" x14ac:dyDescent="0.25">
      <c r="B205" s="243">
        <v>1230</v>
      </c>
      <c r="C205" s="243" t="s">
        <v>1740</v>
      </c>
      <c r="D205" s="243"/>
      <c r="E205" s="243"/>
      <c r="F205" s="243"/>
      <c r="G205" s="243"/>
      <c r="H205" s="243">
        <v>22</v>
      </c>
    </row>
    <row r="206" spans="2:8" ht="13.8" x14ac:dyDescent="0.25">
      <c r="B206" s="243">
        <v>1231</v>
      </c>
      <c r="C206" s="243" t="s">
        <v>1741</v>
      </c>
      <c r="D206" s="243"/>
      <c r="E206" s="243"/>
      <c r="F206" s="243"/>
      <c r="G206" s="243"/>
      <c r="H206" s="243">
        <v>20</v>
      </c>
    </row>
    <row r="207" spans="2:8" ht="13.8" x14ac:dyDescent="0.25">
      <c r="B207" s="243">
        <v>1232</v>
      </c>
      <c r="C207" s="243" t="s">
        <v>1742</v>
      </c>
      <c r="D207" s="243"/>
      <c r="E207" s="243"/>
      <c r="F207" s="243"/>
      <c r="G207" s="243"/>
      <c r="H207" s="243">
        <v>12</v>
      </c>
    </row>
    <row r="208" spans="2:8" ht="13.8" x14ac:dyDescent="0.25">
      <c r="B208" s="243">
        <v>1233</v>
      </c>
      <c r="C208" s="243" t="s">
        <v>1743</v>
      </c>
      <c r="D208" s="243"/>
      <c r="E208" s="243"/>
      <c r="F208" s="243"/>
      <c r="G208" s="243"/>
      <c r="H208" s="243">
        <v>10</v>
      </c>
    </row>
    <row r="209" spans="2:8" ht="13.8" x14ac:dyDescent="0.25">
      <c r="B209" s="243">
        <v>1234</v>
      </c>
      <c r="C209" s="243" t="s">
        <v>1744</v>
      </c>
      <c r="D209" s="243"/>
      <c r="E209" s="243"/>
      <c r="F209" s="243"/>
      <c r="G209" s="243"/>
      <c r="H209" s="243">
        <v>10</v>
      </c>
    </row>
    <row r="210" spans="2:8" ht="13.8" x14ac:dyDescent="0.25">
      <c r="B210" s="243">
        <v>1235</v>
      </c>
      <c r="C210" s="243" t="s">
        <v>1745</v>
      </c>
      <c r="D210" s="243"/>
      <c r="E210" s="243"/>
      <c r="F210" s="243"/>
      <c r="G210" s="243"/>
      <c r="H210" s="243">
        <v>22</v>
      </c>
    </row>
    <row r="211" spans="2:8" ht="13.8" x14ac:dyDescent="0.25">
      <c r="B211" s="243">
        <v>1236</v>
      </c>
      <c r="C211" s="243" t="s">
        <v>1746</v>
      </c>
      <c r="D211" s="243"/>
      <c r="E211" s="243"/>
      <c r="F211" s="243"/>
      <c r="G211" s="243"/>
      <c r="H211" s="243">
        <v>13</v>
      </c>
    </row>
    <row r="212" spans="2:8" ht="13.8" x14ac:dyDescent="0.25">
      <c r="B212" s="243">
        <v>1237</v>
      </c>
      <c r="C212" s="243" t="s">
        <v>1747</v>
      </c>
      <c r="D212" s="243"/>
      <c r="E212" s="243"/>
      <c r="F212" s="243"/>
      <c r="G212" s="243"/>
      <c r="H212" s="243">
        <v>12</v>
      </c>
    </row>
    <row r="213" spans="2:8" ht="13.8" x14ac:dyDescent="0.25">
      <c r="B213" s="243">
        <v>1238</v>
      </c>
      <c r="C213" s="243" t="s">
        <v>1748</v>
      </c>
      <c r="D213" s="243"/>
      <c r="E213" s="243"/>
      <c r="F213" s="243"/>
      <c r="G213" s="243"/>
      <c r="H213" s="243">
        <v>8</v>
      </c>
    </row>
    <row r="214" spans="2:8" ht="13.8" x14ac:dyDescent="0.25">
      <c r="B214" s="243">
        <v>1239</v>
      </c>
      <c r="C214" s="243" t="s">
        <v>1749</v>
      </c>
      <c r="D214" s="243"/>
      <c r="E214" s="243"/>
      <c r="F214" s="243"/>
      <c r="G214" s="243"/>
      <c r="H214" s="243">
        <v>10</v>
      </c>
    </row>
    <row r="215" spans="2:8" ht="14.4" thickBot="1" x14ac:dyDescent="0.3">
      <c r="B215" s="243">
        <v>1240</v>
      </c>
      <c r="C215" s="243" t="s">
        <v>1750</v>
      </c>
      <c r="D215" s="243"/>
      <c r="E215" s="243"/>
      <c r="F215" s="243"/>
      <c r="G215" s="243"/>
      <c r="H215" s="243">
        <v>20</v>
      </c>
    </row>
    <row r="216" spans="2:8" ht="14.4" thickBot="1" x14ac:dyDescent="0.3">
      <c r="B216" s="399" t="s">
        <v>2067</v>
      </c>
      <c r="C216" s="400"/>
      <c r="D216" s="400"/>
      <c r="E216" s="400"/>
      <c r="F216" s="400"/>
      <c r="G216" s="400"/>
      <c r="H216" s="401"/>
    </row>
    <row r="217" spans="2:8" ht="13.8" x14ac:dyDescent="0.25">
      <c r="B217" s="245">
        <v>1241</v>
      </c>
      <c r="C217" s="246" t="s">
        <v>1751</v>
      </c>
      <c r="D217" s="246"/>
      <c r="E217" s="246"/>
      <c r="F217" s="246"/>
      <c r="G217" s="246"/>
      <c r="H217" s="247">
        <v>20</v>
      </c>
    </row>
    <row r="218" spans="2:8" ht="13.8" x14ac:dyDescent="0.25">
      <c r="B218" s="248">
        <v>1242</v>
      </c>
      <c r="C218" s="243" t="s">
        <v>1752</v>
      </c>
      <c r="D218" s="243"/>
      <c r="E218" s="243"/>
      <c r="F218" s="243"/>
      <c r="G218" s="243"/>
      <c r="H218" s="249">
        <v>20</v>
      </c>
    </row>
    <row r="219" spans="2:8" ht="13.8" x14ac:dyDescent="0.25">
      <c r="B219" s="248">
        <v>1243</v>
      </c>
      <c r="C219" s="243" t="s">
        <v>1753</v>
      </c>
      <c r="D219" s="243"/>
      <c r="E219" s="243"/>
      <c r="F219" s="243"/>
      <c r="G219" s="243"/>
      <c r="H219" s="249">
        <v>22</v>
      </c>
    </row>
    <row r="220" spans="2:8" ht="13.8" x14ac:dyDescent="0.25">
      <c r="B220" s="248">
        <v>1244</v>
      </c>
      <c r="C220" s="243" t="s">
        <v>1754</v>
      </c>
      <c r="D220" s="243"/>
      <c r="E220" s="243"/>
      <c r="F220" s="243"/>
      <c r="G220" s="243"/>
      <c r="H220" s="249">
        <v>20</v>
      </c>
    </row>
    <row r="221" spans="2:8" ht="13.8" x14ac:dyDescent="0.25">
      <c r="B221" s="248">
        <v>1245</v>
      </c>
      <c r="C221" s="243" t="s">
        <v>1755</v>
      </c>
      <c r="D221" s="243"/>
      <c r="E221" s="243"/>
      <c r="F221" s="243"/>
      <c r="G221" s="243"/>
      <c r="H221" s="249">
        <v>12</v>
      </c>
    </row>
    <row r="222" spans="2:8" ht="13.8" x14ac:dyDescent="0.25">
      <c r="B222" s="248">
        <v>1246</v>
      </c>
      <c r="C222" s="243" t="s">
        <v>1756</v>
      </c>
      <c r="D222" s="243"/>
      <c r="E222" s="243"/>
      <c r="F222" s="243"/>
      <c r="G222" s="243"/>
      <c r="H222" s="249">
        <v>10</v>
      </c>
    </row>
    <row r="223" spans="2:8" ht="13.8" x14ac:dyDescent="0.25">
      <c r="B223" s="248">
        <v>1247</v>
      </c>
      <c r="C223" s="243" t="s">
        <v>1757</v>
      </c>
      <c r="D223" s="243"/>
      <c r="E223" s="243"/>
      <c r="F223" s="243"/>
      <c r="G223" s="243"/>
      <c r="H223" s="249">
        <v>10</v>
      </c>
    </row>
    <row r="224" spans="2:8" ht="13.8" x14ac:dyDescent="0.25">
      <c r="B224" s="248">
        <v>1248</v>
      </c>
      <c r="C224" s="243" t="s">
        <v>1758</v>
      </c>
      <c r="D224" s="243"/>
      <c r="E224" s="243"/>
      <c r="F224" s="243"/>
      <c r="G224" s="243"/>
      <c r="H224" s="249">
        <v>22</v>
      </c>
    </row>
    <row r="225" spans="2:8" ht="13.8" x14ac:dyDescent="0.25">
      <c r="B225" s="248">
        <v>1249</v>
      </c>
      <c r="C225" s="243" t="s">
        <v>1759</v>
      </c>
      <c r="D225" s="243"/>
      <c r="E225" s="243"/>
      <c r="F225" s="243"/>
      <c r="G225" s="243"/>
      <c r="H225" s="249">
        <v>22</v>
      </c>
    </row>
    <row r="226" spans="2:8" ht="13.8" x14ac:dyDescent="0.25">
      <c r="B226" s="248">
        <v>1250</v>
      </c>
      <c r="C226" s="243" t="s">
        <v>1760</v>
      </c>
      <c r="D226" s="243"/>
      <c r="E226" s="243"/>
      <c r="F226" s="243"/>
      <c r="G226" s="243"/>
      <c r="H226" s="249">
        <v>20</v>
      </c>
    </row>
    <row r="227" spans="2:8" ht="13.8" x14ac:dyDescent="0.25">
      <c r="B227" s="248">
        <v>1251</v>
      </c>
      <c r="C227" s="243" t="s">
        <v>1761</v>
      </c>
      <c r="D227" s="243"/>
      <c r="E227" s="243"/>
      <c r="F227" s="243"/>
      <c r="G227" s="243"/>
      <c r="H227" s="249">
        <v>20</v>
      </c>
    </row>
    <row r="228" spans="2:8" ht="13.8" x14ac:dyDescent="0.25">
      <c r="B228" s="248">
        <v>1252</v>
      </c>
      <c r="C228" s="243" t="s">
        <v>1762</v>
      </c>
      <c r="D228" s="243"/>
      <c r="E228" s="243"/>
      <c r="F228" s="243"/>
      <c r="G228" s="243"/>
      <c r="H228" s="249">
        <v>20</v>
      </c>
    </row>
    <row r="229" spans="2:8" ht="13.8" x14ac:dyDescent="0.25">
      <c r="B229" s="248">
        <v>1253</v>
      </c>
      <c r="C229" s="243" t="s">
        <v>1763</v>
      </c>
      <c r="D229" s="243"/>
      <c r="E229" s="243"/>
      <c r="F229" s="243"/>
      <c r="G229" s="243"/>
      <c r="H229" s="249">
        <v>20</v>
      </c>
    </row>
    <row r="230" spans="2:8" ht="13.8" x14ac:dyDescent="0.25">
      <c r="B230" s="248">
        <v>1254</v>
      </c>
      <c r="C230" s="243" t="s">
        <v>1764</v>
      </c>
      <c r="D230" s="243"/>
      <c r="E230" s="243"/>
      <c r="F230" s="243"/>
      <c r="G230" s="243"/>
      <c r="H230" s="249">
        <v>20</v>
      </c>
    </row>
    <row r="231" spans="2:8" ht="13.8" x14ac:dyDescent="0.25">
      <c r="B231" s="248">
        <v>1255</v>
      </c>
      <c r="C231" s="243" t="s">
        <v>1765</v>
      </c>
      <c r="D231" s="243"/>
      <c r="E231" s="243"/>
      <c r="F231" s="243"/>
      <c r="G231" s="243"/>
      <c r="H231" s="249">
        <v>20</v>
      </c>
    </row>
    <row r="232" spans="2:8" ht="13.8" x14ac:dyDescent="0.25">
      <c r="B232" s="248">
        <v>1256</v>
      </c>
      <c r="C232" s="243" t="s">
        <v>1766</v>
      </c>
      <c r="D232" s="243"/>
      <c r="E232" s="243"/>
      <c r="F232" s="243"/>
      <c r="G232" s="243"/>
      <c r="H232" s="249">
        <v>20</v>
      </c>
    </row>
    <row r="233" spans="2:8" ht="13.8" x14ac:dyDescent="0.25">
      <c r="B233" s="248">
        <v>1257</v>
      </c>
      <c r="C233" s="243" t="s">
        <v>1767</v>
      </c>
      <c r="D233" s="243"/>
      <c r="E233" s="243"/>
      <c r="F233" s="243"/>
      <c r="G233" s="243"/>
      <c r="H233" s="249">
        <v>20</v>
      </c>
    </row>
    <row r="234" spans="2:8" ht="13.8" x14ac:dyDescent="0.25">
      <c r="B234" s="248">
        <v>1258</v>
      </c>
      <c r="C234" s="243" t="s">
        <v>1768</v>
      </c>
      <c r="D234" s="243"/>
      <c r="E234" s="243"/>
      <c r="F234" s="243"/>
      <c r="G234" s="243"/>
      <c r="H234" s="249">
        <v>20</v>
      </c>
    </row>
    <row r="235" spans="2:8" ht="13.8" x14ac:dyDescent="0.25">
      <c r="B235" s="248">
        <v>1259</v>
      </c>
      <c r="C235" s="243" t="s">
        <v>1769</v>
      </c>
      <c r="D235" s="243"/>
      <c r="E235" s="243"/>
      <c r="F235" s="243"/>
      <c r="G235" s="243"/>
      <c r="H235" s="249">
        <v>20</v>
      </c>
    </row>
    <row r="236" spans="2:8" ht="13.8" x14ac:dyDescent="0.25">
      <c r="B236" s="248">
        <v>1260</v>
      </c>
      <c r="C236" s="243" t="s">
        <v>1770</v>
      </c>
      <c r="D236" s="243"/>
      <c r="E236" s="243"/>
      <c r="F236" s="243"/>
      <c r="G236" s="243"/>
      <c r="H236" s="249">
        <v>20</v>
      </c>
    </row>
    <row r="237" spans="2:8" ht="13.8" x14ac:dyDescent="0.25">
      <c r="B237" s="248">
        <v>1261</v>
      </c>
      <c r="C237" s="243" t="s">
        <v>1771</v>
      </c>
      <c r="D237" s="243"/>
      <c r="E237" s="243"/>
      <c r="F237" s="243"/>
      <c r="G237" s="243"/>
      <c r="H237" s="249">
        <v>20</v>
      </c>
    </row>
    <row r="238" spans="2:8" ht="13.8" x14ac:dyDescent="0.25">
      <c r="B238" s="248">
        <v>1262</v>
      </c>
      <c r="C238" s="243" t="s">
        <v>1772</v>
      </c>
      <c r="D238" s="243"/>
      <c r="E238" s="243"/>
      <c r="F238" s="243"/>
      <c r="G238" s="243"/>
      <c r="H238" s="249">
        <v>22</v>
      </c>
    </row>
    <row r="239" spans="2:8" ht="13.8" x14ac:dyDescent="0.25">
      <c r="B239" s="248">
        <v>1263</v>
      </c>
      <c r="C239" s="243" t="s">
        <v>1773</v>
      </c>
      <c r="D239" s="243"/>
      <c r="E239" s="243"/>
      <c r="F239" s="243"/>
      <c r="G239" s="243"/>
      <c r="H239" s="249">
        <v>22</v>
      </c>
    </row>
    <row r="240" spans="2:8" ht="13.8" x14ac:dyDescent="0.25">
      <c r="B240" s="248">
        <v>1264</v>
      </c>
      <c r="C240" s="243" t="s">
        <v>1774</v>
      </c>
      <c r="D240" s="243"/>
      <c r="E240" s="243"/>
      <c r="F240" s="243"/>
      <c r="G240" s="243"/>
      <c r="H240" s="249">
        <v>22</v>
      </c>
    </row>
    <row r="241" spans="2:8" ht="13.8" x14ac:dyDescent="0.25">
      <c r="B241" s="248">
        <v>1265</v>
      </c>
      <c r="C241" s="243" t="s">
        <v>1775</v>
      </c>
      <c r="D241" s="243"/>
      <c r="E241" s="243"/>
      <c r="F241" s="243"/>
      <c r="G241" s="243"/>
      <c r="H241" s="249">
        <v>22</v>
      </c>
    </row>
    <row r="242" spans="2:8" ht="13.8" x14ac:dyDescent="0.25">
      <c r="B242" s="248">
        <v>1266</v>
      </c>
      <c r="C242" s="243" t="s">
        <v>1776</v>
      </c>
      <c r="D242" s="243"/>
      <c r="E242" s="243"/>
      <c r="F242" s="243"/>
      <c r="G242" s="243"/>
      <c r="H242" s="249">
        <v>22</v>
      </c>
    </row>
    <row r="243" spans="2:8" ht="13.8" x14ac:dyDescent="0.25">
      <c r="B243" s="248">
        <v>1267</v>
      </c>
      <c r="C243" s="243" t="s">
        <v>1777</v>
      </c>
      <c r="D243" s="243"/>
      <c r="E243" s="243"/>
      <c r="F243" s="243"/>
      <c r="G243" s="243"/>
      <c r="H243" s="249">
        <v>22</v>
      </c>
    </row>
    <row r="244" spans="2:8" ht="13.8" x14ac:dyDescent="0.25">
      <c r="B244" s="248">
        <v>1268</v>
      </c>
      <c r="C244" s="243" t="s">
        <v>1778</v>
      </c>
      <c r="D244" s="243"/>
      <c r="E244" s="243"/>
      <c r="F244" s="243"/>
      <c r="G244" s="243"/>
      <c r="H244" s="249">
        <v>23</v>
      </c>
    </row>
    <row r="245" spans="2:8" ht="13.8" x14ac:dyDescent="0.25">
      <c r="B245" s="248">
        <v>1269</v>
      </c>
      <c r="C245" s="243" t="s">
        <v>1779</v>
      </c>
      <c r="D245" s="243"/>
      <c r="E245" s="243"/>
      <c r="F245" s="243"/>
      <c r="G245" s="243"/>
      <c r="H245" s="249">
        <v>23</v>
      </c>
    </row>
    <row r="246" spans="2:8" ht="13.8" x14ac:dyDescent="0.25">
      <c r="B246" s="248">
        <v>1270</v>
      </c>
      <c r="C246" s="243" t="s">
        <v>1780</v>
      </c>
      <c r="D246" s="243"/>
      <c r="E246" s="243"/>
      <c r="F246" s="243"/>
      <c r="G246" s="243"/>
      <c r="H246" s="249">
        <v>23</v>
      </c>
    </row>
    <row r="247" spans="2:8" ht="13.8" x14ac:dyDescent="0.25">
      <c r="B247" s="248">
        <v>1271</v>
      </c>
      <c r="C247" s="243" t="s">
        <v>1781</v>
      </c>
      <c r="D247" s="243"/>
      <c r="E247" s="243"/>
      <c r="F247" s="243"/>
      <c r="G247" s="243"/>
      <c r="H247" s="249">
        <v>23</v>
      </c>
    </row>
    <row r="248" spans="2:8" ht="13.8" x14ac:dyDescent="0.25">
      <c r="B248" s="248">
        <v>1272</v>
      </c>
      <c r="C248" s="243" t="s">
        <v>1782</v>
      </c>
      <c r="D248" s="243"/>
      <c r="E248" s="243"/>
      <c r="F248" s="243"/>
      <c r="G248" s="243"/>
      <c r="H248" s="249">
        <v>23</v>
      </c>
    </row>
    <row r="249" spans="2:8" ht="13.8" x14ac:dyDescent="0.25">
      <c r="B249" s="248">
        <v>1273</v>
      </c>
      <c r="C249" s="243" t="s">
        <v>1783</v>
      </c>
      <c r="D249" s="243"/>
      <c r="E249" s="243"/>
      <c r="F249" s="243"/>
      <c r="G249" s="243"/>
      <c r="H249" s="249">
        <v>13</v>
      </c>
    </row>
    <row r="250" spans="2:8" ht="13.8" x14ac:dyDescent="0.25">
      <c r="B250" s="248">
        <v>1274</v>
      </c>
      <c r="C250" s="243" t="s">
        <v>1784</v>
      </c>
      <c r="D250" s="243"/>
      <c r="E250" s="243"/>
      <c r="F250" s="243"/>
      <c r="G250" s="243"/>
      <c r="H250" s="249">
        <v>12</v>
      </c>
    </row>
    <row r="251" spans="2:8" ht="13.8" x14ac:dyDescent="0.25">
      <c r="B251" s="248">
        <v>1275</v>
      </c>
      <c r="C251" s="243" t="s">
        <v>1785</v>
      </c>
      <c r="D251" s="243"/>
      <c r="E251" s="243"/>
      <c r="F251" s="243"/>
      <c r="G251" s="243"/>
      <c r="H251" s="249">
        <v>12</v>
      </c>
    </row>
    <row r="252" spans="2:8" ht="13.8" x14ac:dyDescent="0.25">
      <c r="B252" s="248">
        <v>1276</v>
      </c>
      <c r="C252" s="243" t="s">
        <v>1786</v>
      </c>
      <c r="D252" s="243"/>
      <c r="E252" s="243"/>
      <c r="F252" s="243"/>
      <c r="G252" s="243"/>
      <c r="H252" s="249">
        <v>12</v>
      </c>
    </row>
    <row r="253" spans="2:8" ht="13.8" x14ac:dyDescent="0.25">
      <c r="B253" s="248">
        <v>1277</v>
      </c>
      <c r="C253" s="243" t="s">
        <v>1787</v>
      </c>
      <c r="D253" s="243"/>
      <c r="E253" s="243"/>
      <c r="F253" s="243"/>
      <c r="G253" s="243"/>
      <c r="H253" s="249">
        <v>10</v>
      </c>
    </row>
    <row r="254" spans="2:8" ht="13.8" x14ac:dyDescent="0.25">
      <c r="B254" s="248">
        <v>1278</v>
      </c>
      <c r="C254" s="243" t="s">
        <v>1788</v>
      </c>
      <c r="D254" s="243"/>
      <c r="E254" s="243"/>
      <c r="F254" s="243"/>
      <c r="G254" s="243"/>
      <c r="H254" s="249">
        <v>12</v>
      </c>
    </row>
    <row r="255" spans="2:8" ht="13.8" x14ac:dyDescent="0.25">
      <c r="B255" s="248">
        <v>1279</v>
      </c>
      <c r="C255" s="243" t="s">
        <v>1789</v>
      </c>
      <c r="D255" s="243"/>
      <c r="E255" s="243"/>
      <c r="F255" s="243"/>
      <c r="G255" s="243"/>
      <c r="H255" s="249">
        <v>13</v>
      </c>
    </row>
    <row r="256" spans="2:8" ht="13.8" x14ac:dyDescent="0.25">
      <c r="B256" s="248">
        <v>1280</v>
      </c>
      <c r="C256" s="243" t="s">
        <v>1790</v>
      </c>
      <c r="D256" s="243"/>
      <c r="E256" s="243"/>
      <c r="F256" s="243"/>
      <c r="G256" s="243"/>
      <c r="H256" s="249">
        <v>20</v>
      </c>
    </row>
    <row r="257" spans="2:8" ht="13.8" x14ac:dyDescent="0.25">
      <c r="B257" s="248">
        <v>1281</v>
      </c>
      <c r="C257" s="243" t="s">
        <v>1791</v>
      </c>
      <c r="D257" s="243"/>
      <c r="E257" s="243"/>
      <c r="F257" s="243"/>
      <c r="G257" s="243"/>
      <c r="H257" s="249">
        <v>20</v>
      </c>
    </row>
    <row r="258" spans="2:8" ht="13.8" x14ac:dyDescent="0.25">
      <c r="B258" s="248">
        <v>1282</v>
      </c>
      <c r="C258" s="243" t="s">
        <v>1792</v>
      </c>
      <c r="D258" s="243"/>
      <c r="E258" s="243"/>
      <c r="F258" s="243"/>
      <c r="G258" s="243"/>
      <c r="H258" s="249">
        <v>20</v>
      </c>
    </row>
    <row r="259" spans="2:8" ht="13.8" x14ac:dyDescent="0.25">
      <c r="B259" s="248">
        <v>1283</v>
      </c>
      <c r="C259" s="243" t="s">
        <v>1793</v>
      </c>
      <c r="D259" s="243"/>
      <c r="E259" s="243"/>
      <c r="F259" s="243"/>
      <c r="G259" s="243"/>
      <c r="H259" s="249">
        <v>13</v>
      </c>
    </row>
    <row r="260" spans="2:8" ht="13.8" x14ac:dyDescent="0.25">
      <c r="B260" s="248">
        <v>1284</v>
      </c>
      <c r="C260" s="243" t="s">
        <v>1794</v>
      </c>
      <c r="D260" s="243"/>
      <c r="E260" s="243"/>
      <c r="F260" s="243"/>
      <c r="G260" s="243"/>
      <c r="H260" s="249">
        <v>13</v>
      </c>
    </row>
    <row r="261" spans="2:8" ht="13.8" x14ac:dyDescent="0.25">
      <c r="B261" s="248">
        <v>1285</v>
      </c>
      <c r="C261" s="243" t="s">
        <v>1795</v>
      </c>
      <c r="D261" s="243"/>
      <c r="E261" s="243"/>
      <c r="F261" s="243"/>
      <c r="G261" s="243"/>
      <c r="H261" s="249">
        <v>8</v>
      </c>
    </row>
    <row r="262" spans="2:8" ht="13.8" x14ac:dyDescent="0.25">
      <c r="B262" s="248">
        <v>1286</v>
      </c>
      <c r="C262" s="243" t="s">
        <v>1796</v>
      </c>
      <c r="D262" s="243"/>
      <c r="E262" s="243"/>
      <c r="F262" s="243"/>
      <c r="G262" s="243"/>
      <c r="H262" s="249">
        <v>8</v>
      </c>
    </row>
    <row r="263" spans="2:8" ht="13.8" x14ac:dyDescent="0.25">
      <c r="B263" s="248">
        <v>1287</v>
      </c>
      <c r="C263" s="243" t="s">
        <v>1797</v>
      </c>
      <c r="D263" s="243"/>
      <c r="E263" s="243"/>
      <c r="F263" s="243"/>
      <c r="G263" s="243"/>
      <c r="H263" s="249">
        <v>8</v>
      </c>
    </row>
    <row r="264" spans="2:8" ht="13.8" x14ac:dyDescent="0.25">
      <c r="B264" s="248">
        <v>1288</v>
      </c>
      <c r="C264" s="243" t="s">
        <v>1798</v>
      </c>
      <c r="D264" s="243"/>
      <c r="E264" s="243"/>
      <c r="F264" s="243"/>
      <c r="G264" s="243"/>
      <c r="H264" s="249">
        <v>12</v>
      </c>
    </row>
    <row r="265" spans="2:8" ht="13.8" x14ac:dyDescent="0.25">
      <c r="B265" s="248">
        <v>1289</v>
      </c>
      <c r="C265" s="243" t="s">
        <v>1799</v>
      </c>
      <c r="D265" s="243"/>
      <c r="E265" s="243"/>
      <c r="F265" s="243"/>
      <c r="G265" s="243"/>
      <c r="H265" s="249">
        <v>12</v>
      </c>
    </row>
    <row r="266" spans="2:8" ht="14.4" thickBot="1" x14ac:dyDescent="0.3">
      <c r="B266" s="250">
        <v>1290</v>
      </c>
      <c r="C266" s="251" t="s">
        <v>1800</v>
      </c>
      <c r="D266" s="251"/>
      <c r="E266" s="251"/>
      <c r="F266" s="251"/>
      <c r="G266" s="251"/>
      <c r="H266" s="252">
        <v>8</v>
      </c>
    </row>
    <row r="267" spans="2:8" ht="14.4" thickBot="1" x14ac:dyDescent="0.3">
      <c r="B267" s="399" t="s">
        <v>2068</v>
      </c>
      <c r="C267" s="400"/>
      <c r="D267" s="400"/>
      <c r="E267" s="400"/>
      <c r="F267" s="400"/>
      <c r="G267" s="400"/>
      <c r="H267" s="401"/>
    </row>
    <row r="268" spans="2:8" ht="13.8" x14ac:dyDescent="0.25">
      <c r="B268" s="245">
        <v>1291</v>
      </c>
      <c r="C268" s="246" t="s">
        <v>1801</v>
      </c>
      <c r="D268" s="246"/>
      <c r="E268" s="246"/>
      <c r="F268" s="246"/>
      <c r="G268" s="246"/>
      <c r="H268" s="247">
        <v>12</v>
      </c>
    </row>
    <row r="269" spans="2:8" ht="13.8" x14ac:dyDescent="0.25">
      <c r="B269" s="248">
        <v>1292</v>
      </c>
      <c r="C269" s="243" t="s">
        <v>1802</v>
      </c>
      <c r="D269" s="243"/>
      <c r="E269" s="243"/>
      <c r="F269" s="243"/>
      <c r="G269" s="243"/>
      <c r="H269" s="249">
        <v>10</v>
      </c>
    </row>
    <row r="270" spans="2:8" ht="13.8" x14ac:dyDescent="0.25">
      <c r="B270" s="248">
        <v>1293</v>
      </c>
      <c r="C270" s="243" t="s">
        <v>1803</v>
      </c>
      <c r="D270" s="243"/>
      <c r="E270" s="243"/>
      <c r="F270" s="243"/>
      <c r="G270" s="243"/>
      <c r="H270" s="249">
        <v>12</v>
      </c>
    </row>
    <row r="271" spans="2:8" ht="13.8" x14ac:dyDescent="0.25">
      <c r="B271" s="248">
        <v>1294</v>
      </c>
      <c r="C271" s="243" t="s">
        <v>1804</v>
      </c>
      <c r="D271" s="243"/>
      <c r="E271" s="243"/>
      <c r="F271" s="243"/>
      <c r="G271" s="243"/>
      <c r="H271" s="249">
        <v>13</v>
      </c>
    </row>
    <row r="272" spans="2:8" ht="13.8" x14ac:dyDescent="0.25">
      <c r="B272" s="248">
        <v>1295</v>
      </c>
      <c r="C272" s="243" t="s">
        <v>1805</v>
      </c>
      <c r="D272" s="243"/>
      <c r="E272" s="243"/>
      <c r="F272" s="243"/>
      <c r="G272" s="243"/>
      <c r="H272" s="249">
        <v>12</v>
      </c>
    </row>
    <row r="273" spans="2:8" ht="13.8" x14ac:dyDescent="0.25">
      <c r="B273" s="248">
        <v>1296</v>
      </c>
      <c r="C273" s="243" t="s">
        <v>1806</v>
      </c>
      <c r="D273" s="243"/>
      <c r="E273" s="243"/>
      <c r="F273" s="243"/>
      <c r="G273" s="243"/>
      <c r="H273" s="249">
        <v>10</v>
      </c>
    </row>
    <row r="274" spans="2:8" ht="13.8" x14ac:dyDescent="0.25">
      <c r="B274" s="248">
        <v>1297</v>
      </c>
      <c r="C274" s="243" t="s">
        <v>1807</v>
      </c>
      <c r="D274" s="243"/>
      <c r="E274" s="243"/>
      <c r="F274" s="243"/>
      <c r="G274" s="243"/>
      <c r="H274" s="249">
        <v>8</v>
      </c>
    </row>
    <row r="275" spans="2:8" ht="13.8" x14ac:dyDescent="0.25">
      <c r="B275" s="248">
        <v>1298</v>
      </c>
      <c r="C275" s="243" t="s">
        <v>1808</v>
      </c>
      <c r="D275" s="243"/>
      <c r="E275" s="243"/>
      <c r="F275" s="243"/>
      <c r="G275" s="243"/>
      <c r="H275" s="249">
        <v>10</v>
      </c>
    </row>
    <row r="276" spans="2:8" ht="13.8" x14ac:dyDescent="0.25">
      <c r="B276" s="248">
        <v>1299</v>
      </c>
      <c r="C276" s="243" t="s">
        <v>1809</v>
      </c>
      <c r="D276" s="243"/>
      <c r="E276" s="243"/>
      <c r="F276" s="243"/>
      <c r="G276" s="243"/>
      <c r="H276" s="249">
        <v>22</v>
      </c>
    </row>
    <row r="277" spans="2:8" ht="13.8" x14ac:dyDescent="0.25">
      <c r="B277" s="248">
        <v>1300</v>
      </c>
      <c r="C277" s="243" t="s">
        <v>1810</v>
      </c>
      <c r="D277" s="243"/>
      <c r="E277" s="243"/>
      <c r="F277" s="243"/>
      <c r="G277" s="243"/>
      <c r="H277" s="249">
        <v>22</v>
      </c>
    </row>
    <row r="278" spans="2:8" ht="14.4" thickBot="1" x14ac:dyDescent="0.3">
      <c r="B278" s="250">
        <v>1301</v>
      </c>
      <c r="C278" s="251" t="s">
        <v>1811</v>
      </c>
      <c r="D278" s="251"/>
      <c r="E278" s="251"/>
      <c r="F278" s="251"/>
      <c r="G278" s="251"/>
      <c r="H278" s="252">
        <v>22</v>
      </c>
    </row>
    <row r="279" spans="2:8" ht="14.4" thickBot="1" x14ac:dyDescent="0.3">
      <c r="B279" s="399" t="s">
        <v>2069</v>
      </c>
      <c r="C279" s="400"/>
      <c r="D279" s="400"/>
      <c r="E279" s="400"/>
      <c r="F279" s="400"/>
      <c r="G279" s="400"/>
      <c r="H279" s="401"/>
    </row>
    <row r="280" spans="2:8" ht="13.8" x14ac:dyDescent="0.25">
      <c r="B280" s="245">
        <v>1302</v>
      </c>
      <c r="C280" s="246" t="s">
        <v>1812</v>
      </c>
      <c r="D280" s="246"/>
      <c r="E280" s="246"/>
      <c r="F280" s="246"/>
      <c r="G280" s="246"/>
      <c r="H280" s="247">
        <v>13</v>
      </c>
    </row>
    <row r="281" spans="2:8" ht="13.8" x14ac:dyDescent="0.25">
      <c r="B281" s="248">
        <v>1303</v>
      </c>
      <c r="C281" s="243" t="s">
        <v>1813</v>
      </c>
      <c r="D281" s="243"/>
      <c r="E281" s="243"/>
      <c r="F281" s="243"/>
      <c r="G281" s="243"/>
      <c r="H281" s="249">
        <v>13</v>
      </c>
    </row>
    <row r="282" spans="2:8" ht="13.8" x14ac:dyDescent="0.25">
      <c r="B282" s="248">
        <v>1304</v>
      </c>
      <c r="C282" s="243" t="s">
        <v>1814</v>
      </c>
      <c r="D282" s="243"/>
      <c r="E282" s="243"/>
      <c r="F282" s="243"/>
      <c r="G282" s="243"/>
      <c r="H282" s="249">
        <v>12</v>
      </c>
    </row>
    <row r="283" spans="2:8" ht="13.8" x14ac:dyDescent="0.25">
      <c r="B283" s="248">
        <v>1305</v>
      </c>
      <c r="C283" s="243" t="s">
        <v>1815</v>
      </c>
      <c r="D283" s="243"/>
      <c r="E283" s="243"/>
      <c r="F283" s="243"/>
      <c r="G283" s="243"/>
      <c r="H283" s="249">
        <v>8</v>
      </c>
    </row>
    <row r="284" spans="2:8" ht="13.8" x14ac:dyDescent="0.25">
      <c r="B284" s="248">
        <v>1306</v>
      </c>
      <c r="C284" s="243" t="s">
        <v>1816</v>
      </c>
      <c r="D284" s="243"/>
      <c r="E284" s="243"/>
      <c r="F284" s="243"/>
      <c r="G284" s="243"/>
      <c r="H284" s="249">
        <v>12</v>
      </c>
    </row>
    <row r="285" spans="2:8" ht="13.8" x14ac:dyDescent="0.25">
      <c r="B285" s="248">
        <v>1307</v>
      </c>
      <c r="C285" s="243" t="s">
        <v>1817</v>
      </c>
      <c r="D285" s="243"/>
      <c r="E285" s="243"/>
      <c r="F285" s="243"/>
      <c r="G285" s="243"/>
      <c r="H285" s="249">
        <v>8</v>
      </c>
    </row>
    <row r="286" spans="2:8" ht="13.8" x14ac:dyDescent="0.25">
      <c r="B286" s="248">
        <v>1308</v>
      </c>
      <c r="C286" s="243" t="s">
        <v>1818</v>
      </c>
      <c r="D286" s="243"/>
      <c r="E286" s="243"/>
      <c r="F286" s="243"/>
      <c r="G286" s="243"/>
      <c r="H286" s="249">
        <v>10</v>
      </c>
    </row>
    <row r="287" spans="2:8" ht="13.8" x14ac:dyDescent="0.25">
      <c r="B287" s="248">
        <v>1309</v>
      </c>
      <c r="C287" s="243" t="s">
        <v>1819</v>
      </c>
      <c r="D287" s="243"/>
      <c r="E287" s="243"/>
      <c r="F287" s="243"/>
      <c r="G287" s="243"/>
      <c r="H287" s="249">
        <v>10</v>
      </c>
    </row>
    <row r="288" spans="2:8" ht="13.8" x14ac:dyDescent="0.25">
      <c r="B288" s="248">
        <v>1310</v>
      </c>
      <c r="C288" s="243" t="s">
        <v>1820</v>
      </c>
      <c r="D288" s="243"/>
      <c r="E288" s="243"/>
      <c r="F288" s="243"/>
      <c r="G288" s="243"/>
      <c r="H288" s="249">
        <v>12</v>
      </c>
    </row>
    <row r="289" spans="2:8" ht="13.8" x14ac:dyDescent="0.25">
      <c r="B289" s="248">
        <v>1311</v>
      </c>
      <c r="C289" s="243" t="s">
        <v>1821</v>
      </c>
      <c r="D289" s="243"/>
      <c r="E289" s="243"/>
      <c r="F289" s="243"/>
      <c r="G289" s="243"/>
      <c r="H289" s="249">
        <v>13</v>
      </c>
    </row>
    <row r="290" spans="2:8" ht="13.8" x14ac:dyDescent="0.25">
      <c r="B290" s="248">
        <v>1312</v>
      </c>
      <c r="C290" s="243" t="s">
        <v>1822</v>
      </c>
      <c r="D290" s="243"/>
      <c r="E290" s="243"/>
      <c r="F290" s="243"/>
      <c r="G290" s="243"/>
      <c r="H290" s="249">
        <v>22</v>
      </c>
    </row>
    <row r="291" spans="2:8" ht="13.8" x14ac:dyDescent="0.25">
      <c r="B291" s="248">
        <v>1313</v>
      </c>
      <c r="C291" s="243" t="s">
        <v>1823</v>
      </c>
      <c r="D291" s="243"/>
      <c r="E291" s="243"/>
      <c r="F291" s="243"/>
      <c r="G291" s="243"/>
      <c r="H291" s="249">
        <v>12</v>
      </c>
    </row>
    <row r="292" spans="2:8" ht="13.8" x14ac:dyDescent="0.25">
      <c r="B292" s="248">
        <v>1314</v>
      </c>
      <c r="C292" s="243" t="s">
        <v>1824</v>
      </c>
      <c r="D292" s="243"/>
      <c r="E292" s="243"/>
      <c r="F292" s="243"/>
      <c r="G292" s="243"/>
      <c r="H292" s="249">
        <v>12</v>
      </c>
    </row>
    <row r="293" spans="2:8" ht="13.8" x14ac:dyDescent="0.25">
      <c r="B293" s="248">
        <v>1315</v>
      </c>
      <c r="C293" s="243" t="s">
        <v>1825</v>
      </c>
      <c r="D293" s="243"/>
      <c r="E293" s="243"/>
      <c r="F293" s="243"/>
      <c r="G293" s="243"/>
      <c r="H293" s="249">
        <v>12</v>
      </c>
    </row>
    <row r="294" spans="2:8" ht="13.8" x14ac:dyDescent="0.25">
      <c r="B294" s="248">
        <v>1316</v>
      </c>
      <c r="C294" s="243" t="s">
        <v>1826</v>
      </c>
      <c r="D294" s="243"/>
      <c r="E294" s="243"/>
      <c r="F294" s="243"/>
      <c r="G294" s="243"/>
      <c r="H294" s="249">
        <v>10</v>
      </c>
    </row>
    <row r="295" spans="2:8" ht="13.8" x14ac:dyDescent="0.25">
      <c r="B295" s="248">
        <v>1317</v>
      </c>
      <c r="C295" s="243" t="s">
        <v>1827</v>
      </c>
      <c r="D295" s="243"/>
      <c r="E295" s="243"/>
      <c r="F295" s="243"/>
      <c r="G295" s="243"/>
      <c r="H295" s="249">
        <v>10</v>
      </c>
    </row>
    <row r="296" spans="2:8" ht="13.8" x14ac:dyDescent="0.25">
      <c r="B296" s="248">
        <v>1318</v>
      </c>
      <c r="C296" s="243" t="s">
        <v>1828</v>
      </c>
      <c r="D296" s="243"/>
      <c r="E296" s="243"/>
      <c r="F296" s="243"/>
      <c r="G296" s="243"/>
      <c r="H296" s="249">
        <v>10</v>
      </c>
    </row>
    <row r="297" spans="2:8" ht="13.8" x14ac:dyDescent="0.25">
      <c r="B297" s="248">
        <v>1319</v>
      </c>
      <c r="C297" s="243" t="s">
        <v>1829</v>
      </c>
      <c r="D297" s="243"/>
      <c r="E297" s="243"/>
      <c r="F297" s="243"/>
      <c r="G297" s="243"/>
      <c r="H297" s="249">
        <v>22</v>
      </c>
    </row>
    <row r="298" spans="2:8" ht="13.8" x14ac:dyDescent="0.25">
      <c r="B298" s="248">
        <v>1320</v>
      </c>
      <c r="C298" s="243" t="s">
        <v>1830</v>
      </c>
      <c r="D298" s="243"/>
      <c r="E298" s="243"/>
      <c r="F298" s="243"/>
      <c r="G298" s="243"/>
      <c r="H298" s="249">
        <v>22</v>
      </c>
    </row>
    <row r="299" spans="2:8" ht="13.8" x14ac:dyDescent="0.25">
      <c r="B299" s="248">
        <v>1321</v>
      </c>
      <c r="C299" s="243" t="s">
        <v>1831</v>
      </c>
      <c r="D299" s="243"/>
      <c r="E299" s="243"/>
      <c r="F299" s="243"/>
      <c r="G299" s="243"/>
      <c r="H299" s="249">
        <v>20</v>
      </c>
    </row>
    <row r="300" spans="2:8" ht="13.8" x14ac:dyDescent="0.25">
      <c r="B300" s="248">
        <v>1322</v>
      </c>
      <c r="C300" s="243" t="s">
        <v>1832</v>
      </c>
      <c r="D300" s="243"/>
      <c r="E300" s="243"/>
      <c r="F300" s="243"/>
      <c r="G300" s="243"/>
      <c r="H300" s="249">
        <v>20</v>
      </c>
    </row>
    <row r="301" spans="2:8" ht="13.8" x14ac:dyDescent="0.25">
      <c r="B301" s="248">
        <v>1323</v>
      </c>
      <c r="C301" s="243" t="s">
        <v>1833</v>
      </c>
      <c r="D301" s="243"/>
      <c r="E301" s="243"/>
      <c r="F301" s="243"/>
      <c r="G301" s="243"/>
      <c r="H301" s="249">
        <v>22</v>
      </c>
    </row>
    <row r="302" spans="2:8" ht="13.8" x14ac:dyDescent="0.25">
      <c r="B302" s="248">
        <v>1324</v>
      </c>
      <c r="C302" s="243" t="s">
        <v>1834</v>
      </c>
      <c r="D302" s="243"/>
      <c r="E302" s="243"/>
      <c r="F302" s="243"/>
      <c r="G302" s="243"/>
      <c r="H302" s="249">
        <v>20</v>
      </c>
    </row>
    <row r="303" spans="2:8" ht="14.4" thickBot="1" x14ac:dyDescent="0.3">
      <c r="B303" s="250">
        <v>1325</v>
      </c>
      <c r="C303" s="251" t="s">
        <v>1835</v>
      </c>
      <c r="D303" s="251"/>
      <c r="E303" s="251"/>
      <c r="F303" s="251"/>
      <c r="G303" s="251"/>
      <c r="H303" s="252">
        <v>10</v>
      </c>
    </row>
    <row r="304" spans="2:8" ht="14.4" thickBot="1" x14ac:dyDescent="0.3">
      <c r="B304" s="399" t="s">
        <v>2070</v>
      </c>
      <c r="C304" s="400"/>
      <c r="D304" s="400"/>
      <c r="E304" s="400"/>
      <c r="F304" s="400"/>
      <c r="G304" s="400"/>
      <c r="H304" s="401"/>
    </row>
    <row r="305" spans="2:8" ht="13.8" x14ac:dyDescent="0.25">
      <c r="B305" s="245">
        <v>1326</v>
      </c>
      <c r="C305" s="283" t="s">
        <v>1836</v>
      </c>
      <c r="D305" s="236"/>
      <c r="E305" s="283"/>
      <c r="F305" s="283"/>
      <c r="G305" s="236"/>
      <c r="H305" s="284">
        <v>8</v>
      </c>
    </row>
    <row r="306" spans="2:8" ht="13.8" x14ac:dyDescent="0.25">
      <c r="B306" s="248">
        <v>1327</v>
      </c>
      <c r="C306" s="243" t="s">
        <v>1837</v>
      </c>
      <c r="D306" s="253"/>
      <c r="E306" s="243"/>
      <c r="F306" s="243"/>
      <c r="G306" s="253"/>
      <c r="H306" s="249">
        <v>8</v>
      </c>
    </row>
    <row r="307" spans="2:8" ht="13.8" x14ac:dyDescent="0.25">
      <c r="B307" s="248">
        <v>1328</v>
      </c>
      <c r="C307" s="243" t="s">
        <v>1838</v>
      </c>
      <c r="D307" s="253"/>
      <c r="E307" s="243"/>
      <c r="F307" s="243"/>
      <c r="G307" s="253"/>
      <c r="H307" s="249">
        <v>8</v>
      </c>
    </row>
    <row r="308" spans="2:8" ht="13.8" x14ac:dyDescent="0.25">
      <c r="B308" s="248">
        <v>1329</v>
      </c>
      <c r="C308" s="243" t="s">
        <v>1839</v>
      </c>
      <c r="D308" s="253"/>
      <c r="E308" s="243"/>
      <c r="F308" s="243"/>
      <c r="G308" s="253"/>
      <c r="H308" s="249">
        <v>12</v>
      </c>
    </row>
    <row r="309" spans="2:8" ht="13.8" x14ac:dyDescent="0.25">
      <c r="B309" s="248">
        <v>1330</v>
      </c>
      <c r="C309" s="243" t="s">
        <v>1840</v>
      </c>
      <c r="D309" s="253"/>
      <c r="E309" s="243"/>
      <c r="F309" s="243"/>
      <c r="G309" s="253"/>
      <c r="H309" s="249">
        <v>8</v>
      </c>
    </row>
    <row r="310" spans="2:8" ht="13.8" x14ac:dyDescent="0.25">
      <c r="B310" s="248">
        <v>1331</v>
      </c>
      <c r="C310" s="243" t="s">
        <v>1841</v>
      </c>
      <c r="D310" s="253"/>
      <c r="E310" s="243"/>
      <c r="F310" s="243"/>
      <c r="G310" s="253"/>
      <c r="H310" s="249">
        <v>8</v>
      </c>
    </row>
    <row r="311" spans="2:8" ht="13.8" x14ac:dyDescent="0.25">
      <c r="B311" s="248">
        <v>1332</v>
      </c>
      <c r="C311" s="243" t="s">
        <v>1842</v>
      </c>
      <c r="D311" s="253"/>
      <c r="E311" s="243"/>
      <c r="F311" s="243"/>
      <c r="G311" s="253"/>
      <c r="H311" s="249">
        <v>13</v>
      </c>
    </row>
    <row r="312" spans="2:8" ht="13.8" x14ac:dyDescent="0.25">
      <c r="B312" s="248">
        <v>1333</v>
      </c>
      <c r="C312" s="243" t="s">
        <v>1843</v>
      </c>
      <c r="D312" s="253"/>
      <c r="E312" s="243"/>
      <c r="F312" s="243"/>
      <c r="G312" s="253"/>
      <c r="H312" s="249">
        <v>12</v>
      </c>
    </row>
    <row r="313" spans="2:8" ht="13.8" x14ac:dyDescent="0.25">
      <c r="B313" s="248">
        <v>1334</v>
      </c>
      <c r="C313" s="243" t="s">
        <v>1844</v>
      </c>
      <c r="D313" s="253"/>
      <c r="E313" s="243"/>
      <c r="F313" s="243"/>
      <c r="G313" s="253"/>
      <c r="H313" s="249">
        <v>8</v>
      </c>
    </row>
    <row r="314" spans="2:8" ht="13.8" x14ac:dyDescent="0.25">
      <c r="B314" s="248">
        <v>1335</v>
      </c>
      <c r="C314" s="243" t="s">
        <v>1845</v>
      </c>
      <c r="D314" s="253"/>
      <c r="E314" s="243"/>
      <c r="F314" s="243"/>
      <c r="G314" s="253"/>
      <c r="H314" s="249">
        <v>20</v>
      </c>
    </row>
    <row r="315" spans="2:8" ht="13.8" x14ac:dyDescent="0.25">
      <c r="B315" s="248">
        <v>1336</v>
      </c>
      <c r="C315" s="243" t="s">
        <v>1846</v>
      </c>
      <c r="D315" s="253"/>
      <c r="E315" s="243"/>
      <c r="F315" s="243"/>
      <c r="G315" s="253"/>
      <c r="H315" s="249">
        <v>23</v>
      </c>
    </row>
    <row r="316" spans="2:8" ht="13.8" x14ac:dyDescent="0.25">
      <c r="B316" s="248">
        <v>1337</v>
      </c>
      <c r="C316" s="243" t="s">
        <v>1847</v>
      </c>
      <c r="D316" s="253"/>
      <c r="E316" s="243"/>
      <c r="F316" s="243"/>
      <c r="G316" s="253"/>
      <c r="H316" s="249">
        <v>23</v>
      </c>
    </row>
    <row r="317" spans="2:8" ht="13.8" x14ac:dyDescent="0.25">
      <c r="B317" s="248">
        <v>1338</v>
      </c>
      <c r="C317" s="243" t="s">
        <v>1848</v>
      </c>
      <c r="D317" s="253"/>
      <c r="E317" s="243"/>
      <c r="F317" s="243"/>
      <c r="G317" s="253"/>
      <c r="H317" s="249">
        <v>23</v>
      </c>
    </row>
    <row r="318" spans="2:8" ht="13.8" x14ac:dyDescent="0.25">
      <c r="B318" s="248">
        <v>1339</v>
      </c>
      <c r="C318" s="243" t="s">
        <v>1849</v>
      </c>
      <c r="D318" s="253"/>
      <c r="E318" s="243"/>
      <c r="F318" s="243"/>
      <c r="G318" s="253"/>
      <c r="H318" s="249">
        <v>20</v>
      </c>
    </row>
    <row r="319" spans="2:8" ht="14.4" thickBot="1" x14ac:dyDescent="0.3">
      <c r="B319" s="248">
        <v>1340</v>
      </c>
      <c r="C319" s="244" t="s">
        <v>1850</v>
      </c>
      <c r="E319" s="244"/>
      <c r="F319" s="244"/>
      <c r="H319" s="285">
        <v>20</v>
      </c>
    </row>
    <row r="320" spans="2:8" ht="14.4" thickBot="1" x14ac:dyDescent="0.3">
      <c r="B320" s="399" t="s">
        <v>2071</v>
      </c>
      <c r="C320" s="400"/>
      <c r="D320" s="400"/>
      <c r="E320" s="400"/>
      <c r="F320" s="400"/>
      <c r="G320" s="400"/>
      <c r="H320" s="401"/>
    </row>
    <row r="321" spans="2:8" ht="13.8" x14ac:dyDescent="0.25">
      <c r="B321" s="248">
        <v>1341</v>
      </c>
      <c r="C321" s="255" t="s">
        <v>1851</v>
      </c>
      <c r="E321" s="255"/>
      <c r="F321" s="255"/>
      <c r="H321" s="263">
        <v>13</v>
      </c>
    </row>
    <row r="322" spans="2:8" ht="13.8" x14ac:dyDescent="0.25">
      <c r="B322" s="248">
        <v>1342</v>
      </c>
      <c r="C322" s="243" t="s">
        <v>1852</v>
      </c>
      <c r="D322" s="253"/>
      <c r="E322" s="243"/>
      <c r="F322" s="243"/>
      <c r="G322" s="253"/>
      <c r="H322" s="249">
        <v>13</v>
      </c>
    </row>
    <row r="323" spans="2:8" ht="13.8" x14ac:dyDescent="0.25">
      <c r="B323" s="248">
        <v>1343</v>
      </c>
      <c r="C323" s="243" t="s">
        <v>1853</v>
      </c>
      <c r="D323" s="253"/>
      <c r="E323" s="243"/>
      <c r="F323" s="243"/>
      <c r="G323" s="253"/>
      <c r="H323" s="249">
        <v>13</v>
      </c>
    </row>
    <row r="324" spans="2:8" ht="13.8" x14ac:dyDescent="0.25">
      <c r="B324" s="248">
        <v>1344</v>
      </c>
      <c r="C324" s="243" t="s">
        <v>1854</v>
      </c>
      <c r="D324" s="253"/>
      <c r="E324" s="243"/>
      <c r="F324" s="243"/>
      <c r="G324" s="253"/>
      <c r="H324" s="249">
        <v>20</v>
      </c>
    </row>
    <row r="325" spans="2:8" ht="13.8" x14ac:dyDescent="0.25">
      <c r="B325" s="248">
        <v>1345</v>
      </c>
      <c r="C325" s="243" t="s">
        <v>1855</v>
      </c>
      <c r="D325" s="253"/>
      <c r="E325" s="243"/>
      <c r="F325" s="243"/>
      <c r="G325" s="253"/>
      <c r="H325" s="249">
        <v>13</v>
      </c>
    </row>
    <row r="326" spans="2:8" ht="13.8" x14ac:dyDescent="0.25">
      <c r="B326" s="248">
        <v>1346</v>
      </c>
      <c r="C326" s="243" t="s">
        <v>1856</v>
      </c>
      <c r="D326" s="253"/>
      <c r="E326" s="243"/>
      <c r="F326" s="243"/>
      <c r="G326" s="253"/>
      <c r="H326" s="249">
        <v>12</v>
      </c>
    </row>
    <row r="327" spans="2:8" ht="13.8" x14ac:dyDescent="0.25">
      <c r="B327" s="248">
        <v>1347</v>
      </c>
      <c r="C327" s="243" t="s">
        <v>1857</v>
      </c>
      <c r="D327" s="253"/>
      <c r="E327" s="243"/>
      <c r="F327" s="243"/>
      <c r="G327" s="253"/>
      <c r="H327" s="249">
        <v>12</v>
      </c>
    </row>
    <row r="328" spans="2:8" ht="13.8" x14ac:dyDescent="0.25">
      <c r="B328" s="248">
        <v>1348</v>
      </c>
      <c r="C328" s="243" t="s">
        <v>1858</v>
      </c>
      <c r="D328" s="253"/>
      <c r="E328" s="243"/>
      <c r="F328" s="243"/>
      <c r="G328" s="253"/>
      <c r="H328" s="249">
        <v>10</v>
      </c>
    </row>
    <row r="329" spans="2:8" ht="13.8" x14ac:dyDescent="0.25">
      <c r="B329" s="248">
        <v>1349</v>
      </c>
      <c r="C329" s="243" t="s">
        <v>1859</v>
      </c>
      <c r="D329" s="253"/>
      <c r="E329" s="243"/>
      <c r="F329" s="243"/>
      <c r="G329" s="253"/>
      <c r="H329" s="249">
        <v>8</v>
      </c>
    </row>
    <row r="330" spans="2:8" ht="13.8" x14ac:dyDescent="0.25">
      <c r="B330" s="248">
        <v>1350</v>
      </c>
      <c r="C330" s="243" t="s">
        <v>1860</v>
      </c>
      <c r="D330" s="253"/>
      <c r="E330" s="243"/>
      <c r="F330" s="243"/>
      <c r="G330" s="253"/>
      <c r="H330" s="249">
        <v>10</v>
      </c>
    </row>
    <row r="331" spans="2:8" ht="13.8" x14ac:dyDescent="0.25">
      <c r="B331" s="248">
        <v>1351</v>
      </c>
      <c r="C331" s="243" t="s">
        <v>1861</v>
      </c>
      <c r="D331" s="253"/>
      <c r="E331" s="243"/>
      <c r="F331" s="243"/>
      <c r="G331" s="253"/>
      <c r="H331" s="249">
        <v>8</v>
      </c>
    </row>
    <row r="332" spans="2:8" ht="13.8" x14ac:dyDescent="0.25">
      <c r="B332" s="248">
        <v>1352</v>
      </c>
      <c r="C332" s="243" t="s">
        <v>1862</v>
      </c>
      <c r="D332" s="253"/>
      <c r="E332" s="243"/>
      <c r="F332" s="243"/>
      <c r="G332" s="253"/>
      <c r="H332" s="249">
        <v>12</v>
      </c>
    </row>
    <row r="333" spans="2:8" ht="13.8" x14ac:dyDescent="0.25">
      <c r="B333" s="248">
        <v>1353</v>
      </c>
      <c r="C333" s="243" t="s">
        <v>1863</v>
      </c>
      <c r="D333" s="253"/>
      <c r="E333" s="243"/>
      <c r="F333" s="243"/>
      <c r="G333" s="253"/>
      <c r="H333" s="249">
        <v>20</v>
      </c>
    </row>
    <row r="334" spans="2:8" ht="13.8" x14ac:dyDescent="0.25">
      <c r="B334" s="248">
        <v>1354</v>
      </c>
      <c r="C334" s="243" t="s">
        <v>1864</v>
      </c>
      <c r="D334" s="253"/>
      <c r="E334" s="243"/>
      <c r="F334" s="243"/>
      <c r="G334" s="253"/>
      <c r="H334" s="249">
        <v>20</v>
      </c>
    </row>
    <row r="335" spans="2:8" ht="14.4" thickBot="1" x14ac:dyDescent="0.3">
      <c r="B335" s="248">
        <v>1355</v>
      </c>
      <c r="C335" s="244" t="s">
        <v>1865</v>
      </c>
      <c r="E335" s="244"/>
      <c r="F335" s="244"/>
      <c r="H335" s="285">
        <v>22</v>
      </c>
    </row>
    <row r="336" spans="2:8" ht="14.4" thickBot="1" x14ac:dyDescent="0.3">
      <c r="B336" s="399" t="s">
        <v>2072</v>
      </c>
      <c r="C336" s="400"/>
      <c r="D336" s="400"/>
      <c r="E336" s="400"/>
      <c r="F336" s="400"/>
      <c r="G336" s="400"/>
      <c r="H336" s="401"/>
    </row>
    <row r="337" spans="2:8" ht="13.8" x14ac:dyDescent="0.25">
      <c r="B337" s="248">
        <v>1356</v>
      </c>
      <c r="C337" s="255" t="s">
        <v>1866</v>
      </c>
      <c r="E337" s="255"/>
      <c r="F337" s="255"/>
      <c r="H337" s="263">
        <v>21</v>
      </c>
    </row>
    <row r="338" spans="2:8" ht="13.8" x14ac:dyDescent="0.25">
      <c r="B338" s="248">
        <v>1357</v>
      </c>
      <c r="C338" s="243" t="s">
        <v>1867</v>
      </c>
      <c r="D338" s="253"/>
      <c r="E338" s="243"/>
      <c r="F338" s="243"/>
      <c r="G338" s="253"/>
      <c r="H338" s="249">
        <v>21</v>
      </c>
    </row>
    <row r="339" spans="2:8" ht="13.8" x14ac:dyDescent="0.25">
      <c r="B339" s="248">
        <v>1358</v>
      </c>
      <c r="C339" s="243" t="s">
        <v>1868</v>
      </c>
      <c r="D339" s="253"/>
      <c r="E339" s="243"/>
      <c r="F339" s="243"/>
      <c r="G339" s="253"/>
      <c r="H339" s="249">
        <v>22</v>
      </c>
    </row>
    <row r="340" spans="2:8" ht="13.8" x14ac:dyDescent="0.25">
      <c r="B340" s="248">
        <v>1359</v>
      </c>
      <c r="C340" s="243" t="s">
        <v>1869</v>
      </c>
      <c r="D340" s="253"/>
      <c r="E340" s="243"/>
      <c r="F340" s="243"/>
      <c r="G340" s="253"/>
      <c r="H340" s="249">
        <v>21</v>
      </c>
    </row>
    <row r="341" spans="2:8" ht="13.8" x14ac:dyDescent="0.25">
      <c r="B341" s="248">
        <v>1360</v>
      </c>
      <c r="C341" s="243" t="s">
        <v>1870</v>
      </c>
      <c r="D341" s="253"/>
      <c r="E341" s="243"/>
      <c r="F341" s="243"/>
      <c r="G341" s="253"/>
      <c r="H341" s="249">
        <v>21</v>
      </c>
    </row>
    <row r="342" spans="2:8" ht="13.8" x14ac:dyDescent="0.25">
      <c r="B342" s="248">
        <v>1361</v>
      </c>
      <c r="C342" s="243" t="s">
        <v>1871</v>
      </c>
      <c r="D342" s="253"/>
      <c r="E342" s="243"/>
      <c r="F342" s="243"/>
      <c r="G342" s="253"/>
      <c r="H342" s="249">
        <v>21</v>
      </c>
    </row>
    <row r="343" spans="2:8" ht="13.8" x14ac:dyDescent="0.25">
      <c r="B343" s="248">
        <v>1362</v>
      </c>
      <c r="C343" s="243" t="s">
        <v>1872</v>
      </c>
      <c r="D343" s="253"/>
      <c r="E343" s="243"/>
      <c r="F343" s="243"/>
      <c r="G343" s="253"/>
      <c r="H343" s="249">
        <v>20</v>
      </c>
    </row>
    <row r="344" spans="2:8" ht="13.8" x14ac:dyDescent="0.25">
      <c r="B344" s="248">
        <v>1363</v>
      </c>
      <c r="C344" s="243" t="s">
        <v>1873</v>
      </c>
      <c r="D344" s="253"/>
      <c r="E344" s="243"/>
      <c r="F344" s="243"/>
      <c r="G344" s="253"/>
      <c r="H344" s="249">
        <v>20</v>
      </c>
    </row>
    <row r="345" spans="2:8" ht="13.8" x14ac:dyDescent="0.25">
      <c r="B345" s="248">
        <v>1364</v>
      </c>
      <c r="C345" s="243" t="s">
        <v>1874</v>
      </c>
      <c r="D345" s="253"/>
      <c r="E345" s="243"/>
      <c r="F345" s="243"/>
      <c r="G345" s="253"/>
      <c r="H345" s="249">
        <v>22</v>
      </c>
    </row>
    <row r="346" spans="2:8" ht="13.8" x14ac:dyDescent="0.25">
      <c r="B346" s="248">
        <v>1365</v>
      </c>
      <c r="C346" s="243" t="s">
        <v>1875</v>
      </c>
      <c r="D346" s="253"/>
      <c r="E346" s="243"/>
      <c r="F346" s="243"/>
      <c r="G346" s="253"/>
      <c r="H346" s="249">
        <v>23</v>
      </c>
    </row>
    <row r="347" spans="2:8" ht="13.8" x14ac:dyDescent="0.25">
      <c r="B347" s="248">
        <v>1366</v>
      </c>
      <c r="C347" s="243" t="s">
        <v>1876</v>
      </c>
      <c r="D347" s="253"/>
      <c r="E347" s="243"/>
      <c r="F347" s="243"/>
      <c r="G347" s="253"/>
      <c r="H347" s="249">
        <v>23</v>
      </c>
    </row>
    <row r="348" spans="2:8" ht="13.8" x14ac:dyDescent="0.25">
      <c r="B348" s="248">
        <v>1367</v>
      </c>
      <c r="C348" s="243" t="s">
        <v>1877</v>
      </c>
      <c r="D348" s="253"/>
      <c r="E348" s="243"/>
      <c r="F348" s="243"/>
      <c r="G348" s="253"/>
      <c r="H348" s="249">
        <v>22</v>
      </c>
    </row>
    <row r="349" spans="2:8" ht="13.8" x14ac:dyDescent="0.25">
      <c r="B349" s="248">
        <v>1368</v>
      </c>
      <c r="C349" s="243" t="s">
        <v>1878</v>
      </c>
      <c r="D349" s="253"/>
      <c r="E349" s="243"/>
      <c r="F349" s="243"/>
      <c r="G349" s="253"/>
      <c r="H349" s="249">
        <v>22</v>
      </c>
    </row>
    <row r="350" spans="2:8" ht="13.8" x14ac:dyDescent="0.25">
      <c r="B350" s="248">
        <v>1369</v>
      </c>
      <c r="C350" s="243" t="s">
        <v>1879</v>
      </c>
      <c r="D350" s="253"/>
      <c r="E350" s="243"/>
      <c r="F350" s="243"/>
      <c r="G350" s="253"/>
      <c r="H350" s="249">
        <v>20</v>
      </c>
    </row>
    <row r="351" spans="2:8" ht="13.8" x14ac:dyDescent="0.25">
      <c r="B351" s="248">
        <v>1370</v>
      </c>
      <c r="C351" s="243" t="s">
        <v>1880</v>
      </c>
      <c r="D351" s="253"/>
      <c r="E351" s="243"/>
      <c r="F351" s="243"/>
      <c r="G351" s="253"/>
      <c r="H351" s="249">
        <v>20</v>
      </c>
    </row>
    <row r="352" spans="2:8" ht="13.8" x14ac:dyDescent="0.25">
      <c r="B352" s="248">
        <v>1371</v>
      </c>
      <c r="C352" s="243" t="s">
        <v>1881</v>
      </c>
      <c r="D352" s="253"/>
      <c r="E352" s="243"/>
      <c r="F352" s="243"/>
      <c r="G352" s="253"/>
      <c r="H352" s="249">
        <v>20</v>
      </c>
    </row>
    <row r="353" spans="2:8" ht="13.8" x14ac:dyDescent="0.25">
      <c r="B353" s="248">
        <v>1372</v>
      </c>
      <c r="C353" s="243" t="s">
        <v>1882</v>
      </c>
      <c r="D353" s="253"/>
      <c r="E353" s="243"/>
      <c r="F353" s="243"/>
      <c r="G353" s="253"/>
      <c r="H353" s="249">
        <v>23</v>
      </c>
    </row>
    <row r="354" spans="2:8" ht="13.8" x14ac:dyDescent="0.25">
      <c r="B354" s="248">
        <v>1373</v>
      </c>
      <c r="C354" s="243" t="s">
        <v>1883</v>
      </c>
      <c r="D354" s="253"/>
      <c r="E354" s="243"/>
      <c r="F354" s="243"/>
      <c r="G354" s="253"/>
      <c r="H354" s="249">
        <v>22</v>
      </c>
    </row>
    <row r="355" spans="2:8" ht="14.4" thickBot="1" x14ac:dyDescent="0.3">
      <c r="B355" s="248">
        <v>1374</v>
      </c>
      <c r="C355" s="244" t="s">
        <v>1884</v>
      </c>
      <c r="E355" s="244"/>
      <c r="F355" s="244"/>
      <c r="H355" s="285">
        <v>22</v>
      </c>
    </row>
    <row r="356" spans="2:8" ht="14.4" thickBot="1" x14ac:dyDescent="0.3">
      <c r="B356" s="399" t="s">
        <v>2073</v>
      </c>
      <c r="C356" s="400"/>
      <c r="D356" s="400"/>
      <c r="E356" s="400"/>
      <c r="F356" s="400"/>
      <c r="G356" s="400"/>
      <c r="H356" s="401"/>
    </row>
    <row r="357" spans="2:8" ht="13.8" x14ac:dyDescent="0.25">
      <c r="B357" s="248">
        <v>1375</v>
      </c>
      <c r="C357" s="255" t="s">
        <v>1885</v>
      </c>
      <c r="E357" s="255"/>
      <c r="F357" s="255"/>
      <c r="H357" s="263">
        <v>20</v>
      </c>
    </row>
    <row r="358" spans="2:8" ht="13.8" x14ac:dyDescent="0.25">
      <c r="B358" s="248">
        <v>1376</v>
      </c>
      <c r="C358" s="243" t="s">
        <v>1886</v>
      </c>
      <c r="D358" s="253"/>
      <c r="E358" s="243"/>
      <c r="F358" s="243"/>
      <c r="G358" s="253"/>
      <c r="H358" s="249">
        <v>12</v>
      </c>
    </row>
    <row r="359" spans="2:8" ht="13.8" x14ac:dyDescent="0.25">
      <c r="B359" s="248">
        <v>1377</v>
      </c>
      <c r="C359" s="243" t="s">
        <v>1887</v>
      </c>
      <c r="D359" s="253"/>
      <c r="E359" s="243"/>
      <c r="F359" s="243"/>
      <c r="G359" s="253"/>
      <c r="H359" s="249">
        <v>20</v>
      </c>
    </row>
    <row r="360" spans="2:8" ht="13.8" x14ac:dyDescent="0.25">
      <c r="B360" s="248">
        <v>1378</v>
      </c>
      <c r="C360" s="243" t="s">
        <v>1888</v>
      </c>
      <c r="D360" s="253"/>
      <c r="E360" s="243"/>
      <c r="F360" s="243"/>
      <c r="G360" s="253"/>
      <c r="H360" s="249">
        <v>12</v>
      </c>
    </row>
    <row r="361" spans="2:8" ht="13.8" x14ac:dyDescent="0.25">
      <c r="B361" s="248">
        <v>1379</v>
      </c>
      <c r="C361" s="243" t="s">
        <v>1889</v>
      </c>
      <c r="D361" s="253"/>
      <c r="E361" s="243"/>
      <c r="F361" s="243"/>
      <c r="G361" s="253"/>
      <c r="H361" s="249">
        <v>12</v>
      </c>
    </row>
    <row r="362" spans="2:8" ht="13.8" x14ac:dyDescent="0.25">
      <c r="B362" s="248">
        <v>1380</v>
      </c>
      <c r="C362" s="243" t="s">
        <v>1890</v>
      </c>
      <c r="D362" s="253"/>
      <c r="E362" s="243"/>
      <c r="F362" s="243"/>
      <c r="G362" s="253"/>
      <c r="H362" s="249">
        <v>10</v>
      </c>
    </row>
    <row r="363" spans="2:8" ht="13.8" x14ac:dyDescent="0.25">
      <c r="B363" s="248">
        <v>1381</v>
      </c>
      <c r="C363" s="243" t="s">
        <v>1891</v>
      </c>
      <c r="D363" s="253"/>
      <c r="E363" s="243"/>
      <c r="F363" s="243"/>
      <c r="G363" s="253"/>
      <c r="H363" s="249">
        <v>10</v>
      </c>
    </row>
    <row r="364" spans="2:8" ht="13.8" x14ac:dyDescent="0.25">
      <c r="B364" s="248">
        <v>1382</v>
      </c>
      <c r="C364" s="243" t="s">
        <v>1892</v>
      </c>
      <c r="D364" s="253"/>
      <c r="E364" s="243"/>
      <c r="F364" s="243"/>
      <c r="G364" s="253"/>
      <c r="H364" s="249">
        <v>23</v>
      </c>
    </row>
    <row r="365" spans="2:8" ht="13.8" x14ac:dyDescent="0.25">
      <c r="B365" s="248">
        <v>1383</v>
      </c>
      <c r="C365" s="243" t="s">
        <v>1893</v>
      </c>
      <c r="D365" s="253"/>
      <c r="E365" s="243"/>
      <c r="F365" s="243"/>
      <c r="G365" s="253"/>
      <c r="H365" s="249">
        <v>23</v>
      </c>
    </row>
    <row r="366" spans="2:8" ht="14.4" thickBot="1" x14ac:dyDescent="0.3">
      <c r="B366" s="248">
        <v>1384</v>
      </c>
      <c r="C366" s="244" t="s">
        <v>1894</v>
      </c>
      <c r="E366" s="244"/>
      <c r="F366" s="244"/>
      <c r="H366" s="285">
        <v>23</v>
      </c>
    </row>
    <row r="367" spans="2:8" ht="14.4" thickBot="1" x14ac:dyDescent="0.3">
      <c r="B367" s="399" t="s">
        <v>2074</v>
      </c>
      <c r="C367" s="400"/>
      <c r="D367" s="400"/>
      <c r="E367" s="400"/>
      <c r="F367" s="400"/>
      <c r="G367" s="400"/>
      <c r="H367" s="401"/>
    </row>
    <row r="368" spans="2:8" ht="13.8" x14ac:dyDescent="0.25">
      <c r="B368" s="248">
        <v>1385</v>
      </c>
      <c r="C368" s="255" t="s">
        <v>1895</v>
      </c>
      <c r="E368" s="255"/>
      <c r="F368" s="255"/>
      <c r="H368" s="263">
        <v>20</v>
      </c>
    </row>
    <row r="369" spans="2:8" ht="13.8" x14ac:dyDescent="0.25">
      <c r="B369" s="248">
        <v>1386</v>
      </c>
      <c r="C369" s="243" t="s">
        <v>1896</v>
      </c>
      <c r="D369" s="253"/>
      <c r="E369" s="243"/>
      <c r="F369" s="243"/>
      <c r="G369" s="253"/>
      <c r="H369" s="249">
        <v>20</v>
      </c>
    </row>
    <row r="370" spans="2:8" ht="13.8" x14ac:dyDescent="0.25">
      <c r="B370" s="248">
        <v>1387</v>
      </c>
      <c r="C370" s="243" t="s">
        <v>1897</v>
      </c>
      <c r="D370" s="253"/>
      <c r="E370" s="243"/>
      <c r="F370" s="243"/>
      <c r="G370" s="253"/>
      <c r="H370" s="249">
        <v>20</v>
      </c>
    </row>
    <row r="371" spans="2:8" ht="13.8" x14ac:dyDescent="0.25">
      <c r="B371" s="248">
        <v>1388</v>
      </c>
      <c r="C371" s="243" t="s">
        <v>1898</v>
      </c>
      <c r="D371" s="253"/>
      <c r="E371" s="243"/>
      <c r="F371" s="243"/>
      <c r="G371" s="253"/>
      <c r="H371" s="249">
        <v>21</v>
      </c>
    </row>
    <row r="372" spans="2:8" ht="13.8" x14ac:dyDescent="0.25">
      <c r="B372" s="248">
        <v>1389</v>
      </c>
      <c r="C372" s="243" t="s">
        <v>1899</v>
      </c>
      <c r="D372" s="253"/>
      <c r="E372" s="243"/>
      <c r="F372" s="243"/>
      <c r="G372" s="253"/>
      <c r="H372" s="249">
        <v>12</v>
      </c>
    </row>
    <row r="373" spans="2:8" ht="13.8" x14ac:dyDescent="0.25">
      <c r="B373" s="248">
        <v>1390</v>
      </c>
      <c r="C373" s="243" t="s">
        <v>1900</v>
      </c>
      <c r="D373" s="253"/>
      <c r="E373" s="243"/>
      <c r="F373" s="243"/>
      <c r="G373" s="253"/>
      <c r="H373" s="249">
        <v>8</v>
      </c>
    </row>
    <row r="374" spans="2:8" ht="13.8" x14ac:dyDescent="0.25">
      <c r="B374" s="248">
        <v>1391</v>
      </c>
      <c r="C374" s="243" t="s">
        <v>1901</v>
      </c>
      <c r="D374" s="253"/>
      <c r="E374" s="243"/>
      <c r="F374" s="243"/>
      <c r="G374" s="253"/>
      <c r="H374" s="249">
        <v>10</v>
      </c>
    </row>
    <row r="375" spans="2:8" ht="13.8" x14ac:dyDescent="0.25">
      <c r="B375" s="248">
        <v>1392</v>
      </c>
      <c r="C375" s="243" t="s">
        <v>1902</v>
      </c>
      <c r="D375" s="253"/>
      <c r="E375" s="243"/>
      <c r="F375" s="243"/>
      <c r="G375" s="253"/>
      <c r="H375" s="249">
        <v>13</v>
      </c>
    </row>
    <row r="376" spans="2:8" ht="13.8" x14ac:dyDescent="0.25">
      <c r="B376" s="248">
        <v>1393</v>
      </c>
      <c r="C376" s="243" t="s">
        <v>1903</v>
      </c>
      <c r="D376" s="253"/>
      <c r="E376" s="243"/>
      <c r="F376" s="243"/>
      <c r="G376" s="253"/>
      <c r="H376" s="249">
        <v>13</v>
      </c>
    </row>
    <row r="377" spans="2:8" ht="13.8" x14ac:dyDescent="0.25">
      <c r="B377" s="248">
        <v>1394</v>
      </c>
      <c r="C377" s="243" t="s">
        <v>1904</v>
      </c>
      <c r="D377" s="253"/>
      <c r="E377" s="243"/>
      <c r="F377" s="243"/>
      <c r="G377" s="253"/>
      <c r="H377" s="249">
        <v>13</v>
      </c>
    </row>
    <row r="378" spans="2:8" ht="14.4" thickBot="1" x14ac:dyDescent="0.3">
      <c r="B378" s="250">
        <v>1395</v>
      </c>
      <c r="C378" s="251" t="s">
        <v>1905</v>
      </c>
      <c r="D378" s="265"/>
      <c r="E378" s="251"/>
      <c r="F378" s="251"/>
      <c r="G378" s="265"/>
      <c r="H378" s="252">
        <v>13</v>
      </c>
    </row>
    <row r="379" spans="2:8" ht="14.4" thickBot="1" x14ac:dyDescent="0.3">
      <c r="B379" s="399" t="s">
        <v>2075</v>
      </c>
      <c r="C379" s="400"/>
      <c r="D379" s="400"/>
      <c r="E379" s="400"/>
      <c r="F379" s="400"/>
      <c r="G379" s="400"/>
      <c r="H379" s="401"/>
    </row>
    <row r="380" spans="2:8" ht="13.8" x14ac:dyDescent="0.25">
      <c r="B380" s="245">
        <v>1396</v>
      </c>
      <c r="C380" s="246" t="s">
        <v>1906</v>
      </c>
      <c r="D380" s="246"/>
      <c r="E380" s="246"/>
      <c r="F380" s="246"/>
      <c r="G380" s="246"/>
      <c r="H380" s="247">
        <v>20</v>
      </c>
    </row>
    <row r="381" spans="2:8" ht="13.8" x14ac:dyDescent="0.25">
      <c r="B381" s="248">
        <v>1397</v>
      </c>
      <c r="C381" s="243" t="s">
        <v>1907</v>
      </c>
      <c r="D381" s="243"/>
      <c r="E381" s="243"/>
      <c r="F381" s="243"/>
      <c r="G381" s="243"/>
      <c r="H381" s="249">
        <v>20</v>
      </c>
    </row>
    <row r="382" spans="2:8" ht="13.8" x14ac:dyDescent="0.25">
      <c r="B382" s="248">
        <v>1398</v>
      </c>
      <c r="C382" s="243" t="s">
        <v>1908</v>
      </c>
      <c r="D382" s="243"/>
      <c r="E382" s="243"/>
      <c r="F382" s="243"/>
      <c r="G382" s="243"/>
      <c r="H382" s="249">
        <v>20</v>
      </c>
    </row>
    <row r="383" spans="2:8" ht="13.8" x14ac:dyDescent="0.25">
      <c r="B383" s="248">
        <v>1399</v>
      </c>
      <c r="C383" s="243" t="s">
        <v>1909</v>
      </c>
      <c r="D383" s="243"/>
      <c r="E383" s="243"/>
      <c r="F383" s="243"/>
      <c r="G383" s="243"/>
      <c r="H383" s="249">
        <v>20</v>
      </c>
    </row>
    <row r="384" spans="2:8" ht="13.8" x14ac:dyDescent="0.25">
      <c r="B384" s="248">
        <v>1400</v>
      </c>
      <c r="C384" s="243" t="s">
        <v>1910</v>
      </c>
      <c r="D384" s="243"/>
      <c r="E384" s="243"/>
      <c r="F384" s="243"/>
      <c r="G384" s="243"/>
      <c r="H384" s="249">
        <v>20</v>
      </c>
    </row>
    <row r="385" spans="2:8" ht="13.8" x14ac:dyDescent="0.25">
      <c r="B385" s="248">
        <v>1401</v>
      </c>
      <c r="C385" s="243" t="s">
        <v>1911</v>
      </c>
      <c r="D385" s="243"/>
      <c r="E385" s="243"/>
      <c r="F385" s="243"/>
      <c r="G385" s="243"/>
      <c r="H385" s="249">
        <v>20</v>
      </c>
    </row>
    <row r="386" spans="2:8" ht="13.8" x14ac:dyDescent="0.25">
      <c r="B386" s="248">
        <v>1402</v>
      </c>
      <c r="C386" s="243" t="s">
        <v>1912</v>
      </c>
      <c r="D386" s="243"/>
      <c r="E386" s="243"/>
      <c r="F386" s="243"/>
      <c r="G386" s="243"/>
      <c r="H386" s="249">
        <v>20</v>
      </c>
    </row>
    <row r="387" spans="2:8" ht="13.8" x14ac:dyDescent="0.25">
      <c r="B387" s="248">
        <v>1403</v>
      </c>
      <c r="C387" s="243" t="s">
        <v>1913</v>
      </c>
      <c r="D387" s="243"/>
      <c r="E387" s="243"/>
      <c r="F387" s="243"/>
      <c r="G387" s="243"/>
      <c r="H387" s="249">
        <v>21</v>
      </c>
    </row>
    <row r="388" spans="2:8" ht="13.8" x14ac:dyDescent="0.25">
      <c r="B388" s="248">
        <v>1404</v>
      </c>
      <c r="C388" s="243" t="s">
        <v>1914</v>
      </c>
      <c r="D388" s="243"/>
      <c r="E388" s="243"/>
      <c r="F388" s="243"/>
      <c r="G388" s="243"/>
      <c r="H388" s="249">
        <v>20</v>
      </c>
    </row>
    <row r="389" spans="2:8" ht="13.8" x14ac:dyDescent="0.25">
      <c r="B389" s="248">
        <v>1405</v>
      </c>
      <c r="C389" s="243" t="s">
        <v>1915</v>
      </c>
      <c r="D389" s="243"/>
      <c r="E389" s="243"/>
      <c r="F389" s="243"/>
      <c r="G389" s="243"/>
      <c r="H389" s="249">
        <v>20</v>
      </c>
    </row>
    <row r="390" spans="2:8" ht="13.8" x14ac:dyDescent="0.25">
      <c r="B390" s="248">
        <v>1406</v>
      </c>
      <c r="C390" s="243" t="s">
        <v>1916</v>
      </c>
      <c r="D390" s="243"/>
      <c r="E390" s="243"/>
      <c r="F390" s="243"/>
      <c r="G390" s="243"/>
      <c r="H390" s="249">
        <v>21</v>
      </c>
    </row>
    <row r="391" spans="2:8" ht="13.8" x14ac:dyDescent="0.25">
      <c r="B391" s="248">
        <v>1407</v>
      </c>
      <c r="C391" s="243" t="s">
        <v>1917</v>
      </c>
      <c r="D391" s="243"/>
      <c r="E391" s="243"/>
      <c r="F391" s="243"/>
      <c r="G391" s="243"/>
      <c r="H391" s="249">
        <v>21</v>
      </c>
    </row>
    <row r="392" spans="2:8" ht="13.8" x14ac:dyDescent="0.25">
      <c r="B392" s="248">
        <v>1408</v>
      </c>
      <c r="C392" s="243" t="s">
        <v>1918</v>
      </c>
      <c r="D392" s="243"/>
      <c r="E392" s="243"/>
      <c r="F392" s="243"/>
      <c r="G392" s="243"/>
      <c r="H392" s="249">
        <v>20</v>
      </c>
    </row>
    <row r="393" spans="2:8" ht="13.8" x14ac:dyDescent="0.25">
      <c r="B393" s="248">
        <v>1409</v>
      </c>
      <c r="C393" s="243" t="s">
        <v>1919</v>
      </c>
      <c r="D393" s="243"/>
      <c r="E393" s="243"/>
      <c r="F393" s="243"/>
      <c r="G393" s="243"/>
      <c r="H393" s="249">
        <v>20</v>
      </c>
    </row>
    <row r="394" spans="2:8" ht="13.8" x14ac:dyDescent="0.25">
      <c r="B394" s="248">
        <v>1410</v>
      </c>
      <c r="C394" s="243" t="s">
        <v>1920</v>
      </c>
      <c r="D394" s="243"/>
      <c r="E394" s="243"/>
      <c r="F394" s="243"/>
      <c r="G394" s="243"/>
      <c r="H394" s="249">
        <v>20</v>
      </c>
    </row>
    <row r="395" spans="2:8" ht="13.8" x14ac:dyDescent="0.25">
      <c r="B395" s="248">
        <v>1411</v>
      </c>
      <c r="C395" s="243" t="s">
        <v>1921</v>
      </c>
      <c r="D395" s="243"/>
      <c r="E395" s="243"/>
      <c r="F395" s="243"/>
      <c r="G395" s="243"/>
      <c r="H395" s="249">
        <v>20</v>
      </c>
    </row>
    <row r="396" spans="2:8" ht="13.8" x14ac:dyDescent="0.25">
      <c r="B396" s="248">
        <v>1412</v>
      </c>
      <c r="C396" s="243" t="s">
        <v>1922</v>
      </c>
      <c r="D396" s="243"/>
      <c r="E396" s="243"/>
      <c r="F396" s="243"/>
      <c r="G396" s="243"/>
      <c r="H396" s="249">
        <v>22</v>
      </c>
    </row>
    <row r="397" spans="2:8" ht="13.8" x14ac:dyDescent="0.25">
      <c r="B397" s="248">
        <v>1413</v>
      </c>
      <c r="C397" s="243" t="s">
        <v>1923</v>
      </c>
      <c r="D397" s="243"/>
      <c r="E397" s="243"/>
      <c r="F397" s="243"/>
      <c r="G397" s="243"/>
      <c r="H397" s="249">
        <v>23</v>
      </c>
    </row>
    <row r="398" spans="2:8" ht="13.8" x14ac:dyDescent="0.25">
      <c r="B398" s="248">
        <v>1414</v>
      </c>
      <c r="C398" s="243" t="s">
        <v>1924</v>
      </c>
      <c r="D398" s="243"/>
      <c r="E398" s="243"/>
      <c r="F398" s="243"/>
      <c r="G398" s="243"/>
      <c r="H398" s="249">
        <v>23</v>
      </c>
    </row>
    <row r="399" spans="2:8" ht="13.8" x14ac:dyDescent="0.25">
      <c r="B399" s="248">
        <v>1415</v>
      </c>
      <c r="C399" s="243" t="s">
        <v>1925</v>
      </c>
      <c r="D399" s="243"/>
      <c r="E399" s="243"/>
      <c r="F399" s="243"/>
      <c r="G399" s="243"/>
      <c r="H399" s="249">
        <v>23</v>
      </c>
    </row>
    <row r="400" spans="2:8" ht="13.8" x14ac:dyDescent="0.25">
      <c r="B400" s="248">
        <v>1416</v>
      </c>
      <c r="C400" s="243" t="s">
        <v>1926</v>
      </c>
      <c r="D400" s="243"/>
      <c r="E400" s="243"/>
      <c r="F400" s="243"/>
      <c r="G400" s="243"/>
      <c r="H400" s="249">
        <v>23</v>
      </c>
    </row>
    <row r="401" spans="2:8" ht="13.8" x14ac:dyDescent="0.25">
      <c r="B401" s="248">
        <v>1417</v>
      </c>
      <c r="C401" s="243" t="s">
        <v>1927</v>
      </c>
      <c r="D401" s="243"/>
      <c r="E401" s="243"/>
      <c r="F401" s="243"/>
      <c r="G401" s="243"/>
      <c r="H401" s="249">
        <v>23</v>
      </c>
    </row>
    <row r="402" spans="2:8" ht="13.8" x14ac:dyDescent="0.25">
      <c r="B402" s="248">
        <v>1418</v>
      </c>
      <c r="C402" s="243" t="s">
        <v>1928</v>
      </c>
      <c r="D402" s="243"/>
      <c r="E402" s="243"/>
      <c r="F402" s="243"/>
      <c r="G402" s="243"/>
      <c r="H402" s="249">
        <v>20</v>
      </c>
    </row>
    <row r="403" spans="2:8" ht="13.8" x14ac:dyDescent="0.25">
      <c r="B403" s="248">
        <v>1419</v>
      </c>
      <c r="C403" s="243" t="s">
        <v>1929</v>
      </c>
      <c r="D403" s="243"/>
      <c r="E403" s="243"/>
      <c r="F403" s="243"/>
      <c r="G403" s="243"/>
      <c r="H403" s="249">
        <v>23</v>
      </c>
    </row>
    <row r="404" spans="2:8" ht="14.4" thickBot="1" x14ac:dyDescent="0.3">
      <c r="B404" s="248">
        <v>1420</v>
      </c>
      <c r="C404" s="243" t="s">
        <v>1930</v>
      </c>
      <c r="D404" s="243"/>
      <c r="E404" s="243"/>
      <c r="F404" s="243"/>
      <c r="G404" s="243"/>
      <c r="H404" s="249">
        <v>20</v>
      </c>
    </row>
    <row r="405" spans="2:8" ht="14.4" thickBot="1" x14ac:dyDescent="0.3">
      <c r="B405" s="399" t="s">
        <v>2076</v>
      </c>
      <c r="C405" s="400"/>
      <c r="D405" s="400"/>
      <c r="E405" s="400"/>
      <c r="F405" s="400"/>
      <c r="G405" s="400"/>
      <c r="H405" s="401"/>
    </row>
    <row r="406" spans="2:8" x14ac:dyDescent="0.25">
      <c r="B406" s="237">
        <v>1421</v>
      </c>
      <c r="C406" t="s">
        <v>1931</v>
      </c>
      <c r="H406" s="238">
        <v>13</v>
      </c>
    </row>
    <row r="407" spans="2:8" ht="13.8" x14ac:dyDescent="0.25">
      <c r="B407" s="248">
        <v>1422</v>
      </c>
      <c r="C407" s="243" t="s">
        <v>1932</v>
      </c>
      <c r="D407" s="243"/>
      <c r="E407" s="243"/>
      <c r="F407" s="243"/>
      <c r="G407" s="243"/>
      <c r="H407" s="249">
        <v>13</v>
      </c>
    </row>
    <row r="408" spans="2:8" ht="13.8" x14ac:dyDescent="0.25">
      <c r="B408" s="248">
        <v>1423</v>
      </c>
      <c r="C408" s="243" t="s">
        <v>1933</v>
      </c>
      <c r="D408" s="243"/>
      <c r="E408" s="243"/>
      <c r="F408" s="243"/>
      <c r="G408" s="243"/>
      <c r="H408" s="249">
        <v>13</v>
      </c>
    </row>
    <row r="409" spans="2:8" ht="13.8" x14ac:dyDescent="0.25">
      <c r="B409" s="248">
        <v>1424</v>
      </c>
      <c r="C409" s="243" t="s">
        <v>1934</v>
      </c>
      <c r="D409" s="243"/>
      <c r="E409" s="243"/>
      <c r="F409" s="243"/>
      <c r="G409" s="243"/>
      <c r="H409" s="249">
        <v>13</v>
      </c>
    </row>
    <row r="410" spans="2:8" ht="13.8" x14ac:dyDescent="0.25">
      <c r="B410" s="248">
        <v>1425</v>
      </c>
      <c r="C410" s="243" t="s">
        <v>1935</v>
      </c>
      <c r="D410" s="243"/>
      <c r="E410" s="243"/>
      <c r="F410" s="243"/>
      <c r="G410" s="243"/>
      <c r="H410" s="249">
        <v>12</v>
      </c>
    </row>
    <row r="411" spans="2:8" ht="13.8" x14ac:dyDescent="0.25">
      <c r="B411" s="248">
        <v>1426</v>
      </c>
      <c r="C411" s="243" t="s">
        <v>1936</v>
      </c>
      <c r="D411" s="243"/>
      <c r="E411" s="243"/>
      <c r="F411" s="243"/>
      <c r="G411" s="243"/>
      <c r="H411" s="249">
        <v>12</v>
      </c>
    </row>
    <row r="412" spans="2:8" ht="13.8" x14ac:dyDescent="0.25">
      <c r="B412" s="248">
        <v>1427</v>
      </c>
      <c r="C412" s="243" t="s">
        <v>1937</v>
      </c>
      <c r="D412" s="243"/>
      <c r="E412" s="243"/>
      <c r="F412" s="243"/>
      <c r="G412" s="243"/>
      <c r="H412" s="249">
        <v>12</v>
      </c>
    </row>
    <row r="413" spans="2:8" ht="13.8" x14ac:dyDescent="0.25">
      <c r="B413" s="248">
        <v>1428</v>
      </c>
      <c r="C413" s="243" t="s">
        <v>1938</v>
      </c>
      <c r="D413" s="243"/>
      <c r="E413" s="243"/>
      <c r="F413" s="243"/>
      <c r="G413" s="243"/>
      <c r="H413" s="249">
        <v>12</v>
      </c>
    </row>
    <row r="414" spans="2:8" ht="13.8" x14ac:dyDescent="0.25">
      <c r="B414" s="248">
        <v>1429</v>
      </c>
      <c r="C414" s="243" t="s">
        <v>1939</v>
      </c>
      <c r="D414" s="243"/>
      <c r="E414" s="243"/>
      <c r="F414" s="243"/>
      <c r="G414" s="243"/>
      <c r="H414" s="249">
        <v>13</v>
      </c>
    </row>
    <row r="415" spans="2:8" ht="13.8" x14ac:dyDescent="0.25">
      <c r="B415" s="248">
        <v>1430</v>
      </c>
      <c r="C415" s="243" t="s">
        <v>1940</v>
      </c>
      <c r="D415" s="243"/>
      <c r="E415" s="243"/>
      <c r="F415" s="243"/>
      <c r="G415" s="243"/>
      <c r="H415" s="249">
        <v>13</v>
      </c>
    </row>
    <row r="416" spans="2:8" ht="13.8" x14ac:dyDescent="0.25">
      <c r="B416" s="248">
        <v>1431</v>
      </c>
      <c r="C416" s="243" t="s">
        <v>1941</v>
      </c>
      <c r="D416" s="243"/>
      <c r="E416" s="243"/>
      <c r="F416" s="243"/>
      <c r="G416" s="243"/>
      <c r="H416" s="249">
        <v>13</v>
      </c>
    </row>
    <row r="417" spans="2:8" ht="14.4" thickBot="1" x14ac:dyDescent="0.3">
      <c r="B417" s="248">
        <v>1432</v>
      </c>
      <c r="C417" s="243" t="s">
        <v>1942</v>
      </c>
      <c r="D417" s="243"/>
      <c r="E417" s="243"/>
      <c r="F417" s="243"/>
      <c r="G417" s="243"/>
      <c r="H417" s="249">
        <v>13</v>
      </c>
    </row>
    <row r="418" spans="2:8" ht="14.4" thickBot="1" x14ac:dyDescent="0.3">
      <c r="B418" s="399" t="s">
        <v>2077</v>
      </c>
      <c r="C418" s="400"/>
      <c r="D418" s="400"/>
      <c r="E418" s="400"/>
      <c r="F418" s="400"/>
      <c r="G418" s="400"/>
      <c r="H418" s="401"/>
    </row>
    <row r="419" spans="2:8" ht="13.8" x14ac:dyDescent="0.25">
      <c r="B419" s="248">
        <v>1433</v>
      </c>
      <c r="C419" s="243" t="s">
        <v>1943</v>
      </c>
      <c r="D419" s="243"/>
      <c r="E419" s="243"/>
      <c r="F419" s="243"/>
      <c r="G419" s="243"/>
      <c r="H419" s="249">
        <v>12</v>
      </c>
    </row>
    <row r="420" spans="2:8" ht="13.8" x14ac:dyDescent="0.25">
      <c r="B420" s="248">
        <v>1434</v>
      </c>
      <c r="C420" s="243" t="s">
        <v>1944</v>
      </c>
      <c r="D420" s="243"/>
      <c r="E420" s="243"/>
      <c r="F420" s="243"/>
      <c r="G420" s="243"/>
      <c r="H420" s="249">
        <v>20</v>
      </c>
    </row>
    <row r="421" spans="2:8" ht="13.8" x14ac:dyDescent="0.25">
      <c r="B421" s="248">
        <v>1435</v>
      </c>
      <c r="C421" s="243" t="s">
        <v>1945</v>
      </c>
      <c r="D421" s="243"/>
      <c r="E421" s="243"/>
      <c r="F421" s="243"/>
      <c r="G421" s="243"/>
      <c r="H421" s="249">
        <v>20</v>
      </c>
    </row>
    <row r="422" spans="2:8" ht="13.8" x14ac:dyDescent="0.25">
      <c r="B422" s="248">
        <v>1436</v>
      </c>
      <c r="C422" s="243" t="s">
        <v>1946</v>
      </c>
      <c r="D422" s="243"/>
      <c r="E422" s="243"/>
      <c r="F422" s="243"/>
      <c r="G422" s="243"/>
      <c r="H422" s="249">
        <v>10</v>
      </c>
    </row>
    <row r="423" spans="2:8" ht="13.8" x14ac:dyDescent="0.25">
      <c r="B423" s="248">
        <v>1437</v>
      </c>
      <c r="C423" s="243" t="s">
        <v>1947</v>
      </c>
      <c r="D423" s="243"/>
      <c r="E423" s="243"/>
      <c r="F423" s="243"/>
      <c r="G423" s="243"/>
      <c r="H423" s="249">
        <v>20</v>
      </c>
    </row>
    <row r="424" spans="2:8" ht="13.8" x14ac:dyDescent="0.25">
      <c r="B424" s="248">
        <v>1438</v>
      </c>
      <c r="C424" s="243" t="s">
        <v>1948</v>
      </c>
      <c r="D424" s="243"/>
      <c r="E424" s="243"/>
      <c r="F424" s="243"/>
      <c r="G424" s="243"/>
      <c r="H424" s="249">
        <v>20</v>
      </c>
    </row>
    <row r="425" spans="2:8" ht="13.8" x14ac:dyDescent="0.25">
      <c r="B425" s="248">
        <v>1439</v>
      </c>
      <c r="C425" s="243" t="s">
        <v>1949</v>
      </c>
      <c r="D425" s="243"/>
      <c r="E425" s="243"/>
      <c r="F425" s="243"/>
      <c r="G425" s="243"/>
      <c r="H425" s="249">
        <v>20</v>
      </c>
    </row>
    <row r="426" spans="2:8" ht="14.4" thickBot="1" x14ac:dyDescent="0.3">
      <c r="B426" s="248">
        <v>1440</v>
      </c>
      <c r="C426" s="243" t="s">
        <v>1950</v>
      </c>
      <c r="D426" s="243"/>
      <c r="E426" s="243"/>
      <c r="F426" s="243"/>
      <c r="G426" s="243"/>
      <c r="H426" s="249">
        <v>10</v>
      </c>
    </row>
    <row r="427" spans="2:8" ht="14.4" thickBot="1" x14ac:dyDescent="0.3">
      <c r="B427" s="399" t="s">
        <v>2078</v>
      </c>
      <c r="C427" s="400"/>
      <c r="D427" s="400"/>
      <c r="E427" s="400"/>
      <c r="F427" s="400"/>
      <c r="G427" s="400"/>
      <c r="H427" s="401"/>
    </row>
    <row r="428" spans="2:8" ht="13.8" x14ac:dyDescent="0.25">
      <c r="B428" s="248">
        <v>1441</v>
      </c>
      <c r="C428" s="243" t="s">
        <v>1951</v>
      </c>
      <c r="D428" s="243"/>
      <c r="E428" s="243"/>
      <c r="F428" s="243"/>
      <c r="G428" s="243"/>
      <c r="H428" s="249">
        <v>22</v>
      </c>
    </row>
    <row r="429" spans="2:8" ht="13.8" x14ac:dyDescent="0.25">
      <c r="B429" s="248">
        <v>1442</v>
      </c>
      <c r="C429" s="243" t="s">
        <v>1952</v>
      </c>
      <c r="D429" s="243"/>
      <c r="E429" s="243"/>
      <c r="F429" s="243"/>
      <c r="G429" s="243"/>
      <c r="H429" s="249">
        <v>22</v>
      </c>
    </row>
    <row r="430" spans="2:8" ht="13.8" x14ac:dyDescent="0.25">
      <c r="B430" s="248">
        <v>1443</v>
      </c>
      <c r="C430" s="243" t="s">
        <v>1953</v>
      </c>
      <c r="D430" s="243"/>
      <c r="E430" s="243"/>
      <c r="F430" s="243"/>
      <c r="G430" s="243"/>
      <c r="H430" s="249">
        <v>22</v>
      </c>
    </row>
    <row r="431" spans="2:8" ht="13.8" x14ac:dyDescent="0.25">
      <c r="B431" s="248">
        <v>1444</v>
      </c>
      <c r="C431" s="243" t="s">
        <v>1954</v>
      </c>
      <c r="D431" s="243"/>
      <c r="E431" s="243"/>
      <c r="F431" s="243"/>
      <c r="G431" s="243"/>
      <c r="H431" s="249">
        <v>22</v>
      </c>
    </row>
    <row r="432" spans="2:8" ht="13.8" x14ac:dyDescent="0.25">
      <c r="B432" s="248">
        <v>1445</v>
      </c>
      <c r="C432" s="243" t="s">
        <v>1955</v>
      </c>
      <c r="D432" s="243"/>
      <c r="E432" s="243"/>
      <c r="F432" s="243"/>
      <c r="G432" s="243"/>
      <c r="H432" s="249">
        <v>22</v>
      </c>
    </row>
    <row r="433" spans="2:8" ht="13.8" x14ac:dyDescent="0.25">
      <c r="B433" s="248">
        <v>1446</v>
      </c>
      <c r="C433" s="243" t="s">
        <v>1956</v>
      </c>
      <c r="D433" s="243"/>
      <c r="E433" s="243"/>
      <c r="F433" s="243"/>
      <c r="G433" s="243"/>
      <c r="H433" s="249">
        <v>22</v>
      </c>
    </row>
    <row r="434" spans="2:8" ht="13.8" x14ac:dyDescent="0.25">
      <c r="B434" s="248">
        <v>1447</v>
      </c>
      <c r="C434" s="243" t="s">
        <v>1957</v>
      </c>
      <c r="D434" s="243"/>
      <c r="E434" s="243"/>
      <c r="F434" s="243"/>
      <c r="G434" s="243"/>
      <c r="H434" s="249">
        <v>20</v>
      </c>
    </row>
    <row r="435" spans="2:8" ht="13.8" x14ac:dyDescent="0.25">
      <c r="B435" s="248">
        <v>1448</v>
      </c>
      <c r="C435" s="243" t="s">
        <v>1958</v>
      </c>
      <c r="D435" s="243"/>
      <c r="E435" s="243"/>
      <c r="F435" s="243"/>
      <c r="G435" s="243"/>
      <c r="H435" s="249">
        <v>22</v>
      </c>
    </row>
    <row r="436" spans="2:8" ht="13.8" x14ac:dyDescent="0.25">
      <c r="B436" s="248">
        <v>1449</v>
      </c>
      <c r="C436" s="243" t="s">
        <v>1959</v>
      </c>
      <c r="D436" s="243"/>
      <c r="E436" s="243"/>
      <c r="F436" s="243"/>
      <c r="G436" s="243"/>
      <c r="H436" s="249">
        <v>22</v>
      </c>
    </row>
    <row r="437" spans="2:8" ht="13.8" x14ac:dyDescent="0.25">
      <c r="B437" s="248">
        <v>1450</v>
      </c>
      <c r="C437" s="243" t="s">
        <v>1960</v>
      </c>
      <c r="D437" s="243"/>
      <c r="E437" s="243"/>
      <c r="F437" s="243"/>
      <c r="G437" s="243"/>
      <c r="H437" s="249">
        <v>22</v>
      </c>
    </row>
    <row r="438" spans="2:8" ht="13.8" x14ac:dyDescent="0.25">
      <c r="B438" s="248">
        <v>1451</v>
      </c>
      <c r="C438" s="243" t="s">
        <v>1961</v>
      </c>
      <c r="D438" s="243"/>
      <c r="E438" s="243"/>
      <c r="F438" s="243"/>
      <c r="G438" s="243"/>
      <c r="H438" s="249">
        <v>20</v>
      </c>
    </row>
    <row r="439" spans="2:8" ht="13.8" x14ac:dyDescent="0.25">
      <c r="B439" s="248">
        <v>1452</v>
      </c>
      <c r="C439" s="243" t="s">
        <v>1962</v>
      </c>
      <c r="D439" s="243"/>
      <c r="E439" s="243"/>
      <c r="F439" s="243"/>
      <c r="G439" s="243"/>
      <c r="H439" s="249">
        <v>20</v>
      </c>
    </row>
    <row r="440" spans="2:8" ht="13.8" x14ac:dyDescent="0.25">
      <c r="B440" s="248">
        <v>1453</v>
      </c>
      <c r="C440" s="243" t="s">
        <v>1963</v>
      </c>
      <c r="D440" s="243"/>
      <c r="E440" s="243"/>
      <c r="F440" s="243"/>
      <c r="G440" s="243"/>
      <c r="H440" s="249">
        <v>20</v>
      </c>
    </row>
    <row r="441" spans="2:8" ht="13.8" x14ac:dyDescent="0.25">
      <c r="B441" s="248">
        <v>1454</v>
      </c>
      <c r="C441" s="243" t="s">
        <v>1964</v>
      </c>
      <c r="D441" s="243"/>
      <c r="E441" s="243"/>
      <c r="F441" s="243"/>
      <c r="G441" s="243"/>
      <c r="H441" s="249">
        <v>20</v>
      </c>
    </row>
    <row r="442" spans="2:8" ht="13.8" x14ac:dyDescent="0.25">
      <c r="B442" s="248">
        <v>1455</v>
      </c>
      <c r="C442" s="243" t="s">
        <v>1965</v>
      </c>
      <c r="D442" s="243"/>
      <c r="E442" s="243"/>
      <c r="F442" s="243"/>
      <c r="G442" s="243"/>
      <c r="H442" s="249">
        <v>20</v>
      </c>
    </row>
    <row r="443" spans="2:8" ht="13.8" x14ac:dyDescent="0.25">
      <c r="B443" s="248">
        <v>1456</v>
      </c>
      <c r="C443" s="243" t="s">
        <v>1966</v>
      </c>
      <c r="D443" s="243"/>
      <c r="E443" s="243"/>
      <c r="F443" s="243"/>
      <c r="G443" s="243"/>
      <c r="H443" s="249">
        <v>20</v>
      </c>
    </row>
    <row r="444" spans="2:8" ht="13.8" x14ac:dyDescent="0.25">
      <c r="B444" s="248">
        <v>1457</v>
      </c>
      <c r="C444" s="243" t="s">
        <v>1967</v>
      </c>
      <c r="D444" s="243"/>
      <c r="E444" s="243"/>
      <c r="F444" s="243"/>
      <c r="G444" s="243"/>
      <c r="H444" s="249">
        <v>10</v>
      </c>
    </row>
    <row r="445" spans="2:8" ht="13.8" x14ac:dyDescent="0.25">
      <c r="B445" s="248">
        <v>1458</v>
      </c>
      <c r="C445" s="243" t="s">
        <v>1968</v>
      </c>
      <c r="D445" s="243"/>
      <c r="E445" s="243"/>
      <c r="F445" s="243"/>
      <c r="G445" s="243"/>
      <c r="H445" s="249">
        <v>10</v>
      </c>
    </row>
    <row r="446" spans="2:8" ht="13.8" x14ac:dyDescent="0.25">
      <c r="B446" s="248">
        <v>1459</v>
      </c>
      <c r="C446" s="243" t="s">
        <v>1969</v>
      </c>
      <c r="D446" s="243"/>
      <c r="E446" s="243"/>
      <c r="F446" s="243"/>
      <c r="G446" s="243"/>
      <c r="H446" s="249">
        <v>22</v>
      </c>
    </row>
    <row r="447" spans="2:8" ht="13.8" x14ac:dyDescent="0.25">
      <c r="B447" s="248">
        <v>1460</v>
      </c>
      <c r="C447" s="243" t="s">
        <v>1970</v>
      </c>
      <c r="D447" s="243"/>
      <c r="E447" s="243"/>
      <c r="F447" s="243"/>
      <c r="G447" s="243"/>
      <c r="H447" s="249">
        <v>22</v>
      </c>
    </row>
    <row r="448" spans="2:8" ht="13.8" x14ac:dyDescent="0.25">
      <c r="B448" s="248">
        <v>1461</v>
      </c>
      <c r="C448" s="243" t="s">
        <v>1971</v>
      </c>
      <c r="D448" s="243"/>
      <c r="E448" s="243"/>
      <c r="F448" s="243"/>
      <c r="G448" s="243"/>
      <c r="H448" s="249">
        <v>22</v>
      </c>
    </row>
    <row r="449" spans="2:8" ht="13.8" x14ac:dyDescent="0.25">
      <c r="B449" s="248">
        <v>1462</v>
      </c>
      <c r="C449" s="243" t="s">
        <v>2079</v>
      </c>
      <c r="D449" s="243"/>
      <c r="E449" s="243"/>
      <c r="F449" s="243"/>
      <c r="G449" s="243"/>
      <c r="H449" s="249">
        <v>22</v>
      </c>
    </row>
    <row r="450" spans="2:8" ht="13.8" x14ac:dyDescent="0.25">
      <c r="B450" s="248">
        <v>1463</v>
      </c>
      <c r="C450" s="243" t="s">
        <v>1972</v>
      </c>
      <c r="D450" s="243"/>
      <c r="E450" s="243"/>
      <c r="F450" s="243"/>
      <c r="G450" s="243"/>
      <c r="H450" s="249">
        <v>22</v>
      </c>
    </row>
    <row r="451" spans="2:8" ht="13.8" x14ac:dyDescent="0.25">
      <c r="B451" s="248">
        <v>1464</v>
      </c>
      <c r="C451" s="243" t="s">
        <v>1973</v>
      </c>
      <c r="D451" s="243"/>
      <c r="E451" s="243"/>
      <c r="F451" s="243"/>
      <c r="G451" s="243"/>
      <c r="H451" s="249">
        <v>22</v>
      </c>
    </row>
    <row r="452" spans="2:8" ht="13.8" x14ac:dyDescent="0.25">
      <c r="B452" s="248">
        <v>1465</v>
      </c>
      <c r="C452" s="243" t="s">
        <v>1974</v>
      </c>
      <c r="D452" s="243"/>
      <c r="E452" s="243"/>
      <c r="F452" s="243"/>
      <c r="G452" s="243"/>
      <c r="H452" s="249">
        <v>12</v>
      </c>
    </row>
    <row r="453" spans="2:8" ht="14.4" thickBot="1" x14ac:dyDescent="0.3">
      <c r="B453" s="250">
        <v>1466</v>
      </c>
      <c r="C453" s="251" t="s">
        <v>1975</v>
      </c>
      <c r="D453" s="251"/>
      <c r="E453" s="251"/>
      <c r="F453" s="251"/>
      <c r="G453" s="251"/>
      <c r="H453" s="252">
        <v>12</v>
      </c>
    </row>
    <row r="454" spans="2:8" ht="14.4" thickBot="1" x14ac:dyDescent="0.3">
      <c r="B454" s="399" t="s">
        <v>2080</v>
      </c>
      <c r="C454" s="400"/>
      <c r="D454" s="400"/>
      <c r="E454" s="400"/>
      <c r="F454" s="400"/>
      <c r="G454" s="400"/>
      <c r="H454" s="401"/>
    </row>
    <row r="455" spans="2:8" ht="13.8" x14ac:dyDescent="0.25">
      <c r="B455" s="245">
        <v>1467</v>
      </c>
      <c r="C455" s="246" t="s">
        <v>1976</v>
      </c>
      <c r="D455" s="266"/>
      <c r="E455" s="266"/>
      <c r="F455" s="266"/>
      <c r="G455" s="266"/>
      <c r="H455" s="247">
        <v>8</v>
      </c>
    </row>
    <row r="456" spans="2:8" ht="13.8" x14ac:dyDescent="0.25">
      <c r="B456" s="248">
        <v>1468</v>
      </c>
      <c r="C456" s="243" t="s">
        <v>1977</v>
      </c>
      <c r="D456" s="253"/>
      <c r="E456" s="253"/>
      <c r="F456" s="253"/>
      <c r="G456" s="253"/>
      <c r="H456" s="249">
        <v>8</v>
      </c>
    </row>
    <row r="457" spans="2:8" ht="13.8" x14ac:dyDescent="0.25">
      <c r="B457" s="248">
        <v>1469</v>
      </c>
      <c r="C457" s="243" t="s">
        <v>1978</v>
      </c>
      <c r="D457" s="253"/>
      <c r="E457" s="253"/>
      <c r="F457" s="253"/>
      <c r="G457" s="253"/>
      <c r="H457" s="249">
        <v>8</v>
      </c>
    </row>
    <row r="458" spans="2:8" ht="13.8" x14ac:dyDescent="0.25">
      <c r="B458" s="248">
        <v>1470</v>
      </c>
      <c r="C458" s="243" t="s">
        <v>1979</v>
      </c>
      <c r="D458" s="253"/>
      <c r="E458" s="253"/>
      <c r="F458" s="253"/>
      <c r="G458" s="253"/>
      <c r="H458" s="249">
        <v>8</v>
      </c>
    </row>
    <row r="459" spans="2:8" ht="13.8" x14ac:dyDescent="0.25">
      <c r="B459" s="248">
        <v>1471</v>
      </c>
      <c r="C459" s="243" t="s">
        <v>1980</v>
      </c>
      <c r="D459" s="253"/>
      <c r="E459" s="253"/>
      <c r="F459" s="253"/>
      <c r="G459" s="253"/>
      <c r="H459" s="249">
        <v>12</v>
      </c>
    </row>
    <row r="460" spans="2:8" ht="13.8" x14ac:dyDescent="0.25">
      <c r="B460" s="248">
        <v>1472</v>
      </c>
      <c r="C460" s="243" t="s">
        <v>1981</v>
      </c>
      <c r="D460" s="253"/>
      <c r="E460" s="253"/>
      <c r="F460" s="253"/>
      <c r="G460" s="253"/>
      <c r="H460" s="249">
        <v>12</v>
      </c>
    </row>
    <row r="461" spans="2:8" ht="13.8" x14ac:dyDescent="0.25">
      <c r="B461" s="248">
        <v>1473</v>
      </c>
      <c r="C461" s="243" t="s">
        <v>1982</v>
      </c>
      <c r="D461" s="253"/>
      <c r="E461" s="253"/>
      <c r="F461" s="253"/>
      <c r="G461" s="253"/>
      <c r="H461" s="249">
        <v>8</v>
      </c>
    </row>
    <row r="462" spans="2:8" ht="13.8" x14ac:dyDescent="0.25">
      <c r="B462" s="248">
        <v>1474</v>
      </c>
      <c r="C462" s="243" t="s">
        <v>1983</v>
      </c>
      <c r="D462" s="253"/>
      <c r="E462" s="253"/>
      <c r="F462" s="253"/>
      <c r="G462" s="253"/>
      <c r="H462" s="249">
        <v>8</v>
      </c>
    </row>
    <row r="463" spans="2:8" ht="13.8" x14ac:dyDescent="0.25">
      <c r="B463" s="248">
        <v>1475</v>
      </c>
      <c r="C463" s="243" t="s">
        <v>1984</v>
      </c>
      <c r="D463" s="253"/>
      <c r="E463" s="253"/>
      <c r="F463" s="253"/>
      <c r="G463" s="253"/>
      <c r="H463" s="249">
        <v>8</v>
      </c>
    </row>
    <row r="464" spans="2:8" ht="13.8" x14ac:dyDescent="0.25">
      <c r="B464" s="248">
        <v>1476</v>
      </c>
      <c r="C464" s="243" t="s">
        <v>1985</v>
      </c>
      <c r="D464" s="253"/>
      <c r="E464" s="253"/>
      <c r="F464" s="253"/>
      <c r="G464" s="253"/>
      <c r="H464" s="249">
        <v>8</v>
      </c>
    </row>
    <row r="465" spans="2:8" ht="13.8" x14ac:dyDescent="0.25">
      <c r="B465" s="248">
        <v>1477</v>
      </c>
      <c r="C465" s="243" t="s">
        <v>1986</v>
      </c>
      <c r="D465" s="253"/>
      <c r="E465" s="253"/>
      <c r="F465" s="253"/>
      <c r="G465" s="253"/>
      <c r="H465" s="249">
        <v>8</v>
      </c>
    </row>
    <row r="466" spans="2:8" ht="13.8" x14ac:dyDescent="0.25">
      <c r="B466" s="248">
        <v>1478</v>
      </c>
      <c r="C466" s="243" t="s">
        <v>1987</v>
      </c>
      <c r="D466" s="253"/>
      <c r="E466" s="253"/>
      <c r="F466" s="253"/>
      <c r="G466" s="253"/>
      <c r="H466" s="249">
        <v>8</v>
      </c>
    </row>
    <row r="467" spans="2:8" ht="13.8" x14ac:dyDescent="0.25">
      <c r="B467" s="248">
        <v>1479</v>
      </c>
      <c r="C467" s="243" t="s">
        <v>1988</v>
      </c>
      <c r="D467" s="253"/>
      <c r="E467" s="253"/>
      <c r="F467" s="253"/>
      <c r="G467" s="253"/>
      <c r="H467" s="249">
        <v>8</v>
      </c>
    </row>
    <row r="468" spans="2:8" ht="13.8" x14ac:dyDescent="0.25">
      <c r="B468" s="248">
        <v>1480</v>
      </c>
      <c r="C468" s="243" t="s">
        <v>1989</v>
      </c>
      <c r="D468" s="253"/>
      <c r="E468" s="253"/>
      <c r="F468" s="253"/>
      <c r="G468" s="253"/>
      <c r="H468" s="249">
        <v>8</v>
      </c>
    </row>
    <row r="469" spans="2:8" ht="13.8" x14ac:dyDescent="0.25">
      <c r="B469" s="248">
        <v>1481</v>
      </c>
      <c r="C469" s="243" t="s">
        <v>1990</v>
      </c>
      <c r="D469" s="253"/>
      <c r="E469" s="253"/>
      <c r="F469" s="253"/>
      <c r="G469" s="253"/>
      <c r="H469" s="249">
        <v>8</v>
      </c>
    </row>
    <row r="470" spans="2:8" ht="13.8" x14ac:dyDescent="0.25">
      <c r="B470" s="248">
        <v>1482</v>
      </c>
      <c r="C470" s="243" t="s">
        <v>1991</v>
      </c>
      <c r="D470" s="253"/>
      <c r="E470" s="253"/>
      <c r="F470" s="253"/>
      <c r="G470" s="253"/>
      <c r="H470" s="249">
        <v>8</v>
      </c>
    </row>
    <row r="471" spans="2:8" ht="13.8" x14ac:dyDescent="0.25">
      <c r="B471" s="248">
        <v>1483</v>
      </c>
      <c r="C471" s="243" t="s">
        <v>1992</v>
      </c>
      <c r="D471" s="253"/>
      <c r="E471" s="253"/>
      <c r="F471" s="253"/>
      <c r="G471" s="253"/>
      <c r="H471" s="249">
        <v>8</v>
      </c>
    </row>
    <row r="472" spans="2:8" ht="13.8" x14ac:dyDescent="0.25">
      <c r="B472" s="248">
        <v>1484</v>
      </c>
      <c r="C472" s="243" t="s">
        <v>1993</v>
      </c>
      <c r="D472" s="253"/>
      <c r="E472" s="253"/>
      <c r="F472" s="253"/>
      <c r="G472" s="253"/>
      <c r="H472" s="249">
        <v>8</v>
      </c>
    </row>
    <row r="473" spans="2:8" ht="13.8" x14ac:dyDescent="0.25">
      <c r="B473" s="248">
        <v>1485</v>
      </c>
      <c r="C473" s="243" t="s">
        <v>1994</v>
      </c>
      <c r="D473" s="253"/>
      <c r="E473" s="253"/>
      <c r="F473" s="253"/>
      <c r="G473" s="253"/>
      <c r="H473" s="249">
        <v>8</v>
      </c>
    </row>
    <row r="474" spans="2:8" ht="13.8" x14ac:dyDescent="0.25">
      <c r="B474" s="248">
        <v>1486</v>
      </c>
      <c r="C474" s="243" t="s">
        <v>1995</v>
      </c>
      <c r="D474" s="253"/>
      <c r="E474" s="253"/>
      <c r="F474" s="253"/>
      <c r="G474" s="253"/>
      <c r="H474" s="249">
        <v>8</v>
      </c>
    </row>
    <row r="475" spans="2:8" ht="13.8" x14ac:dyDescent="0.25">
      <c r="B475" s="248">
        <v>1487</v>
      </c>
      <c r="C475" s="243" t="s">
        <v>1996</v>
      </c>
      <c r="D475" s="253"/>
      <c r="E475" s="253"/>
      <c r="F475" s="253"/>
      <c r="G475" s="253"/>
      <c r="H475" s="249">
        <v>8</v>
      </c>
    </row>
    <row r="476" spans="2:8" ht="13.8" x14ac:dyDescent="0.25">
      <c r="B476" s="248">
        <v>1488</v>
      </c>
      <c r="C476" s="243" t="s">
        <v>1997</v>
      </c>
      <c r="D476" s="253"/>
      <c r="E476" s="253"/>
      <c r="F476" s="253"/>
      <c r="G476" s="253"/>
      <c r="H476" s="249">
        <v>8</v>
      </c>
    </row>
    <row r="477" spans="2:8" ht="13.8" x14ac:dyDescent="0.25">
      <c r="B477" s="248">
        <v>1489</v>
      </c>
      <c r="C477" s="243" t="s">
        <v>1998</v>
      </c>
      <c r="D477" s="253"/>
      <c r="E477" s="253"/>
      <c r="F477" s="253"/>
      <c r="G477" s="253"/>
      <c r="H477" s="249">
        <v>8</v>
      </c>
    </row>
    <row r="478" spans="2:8" ht="13.8" x14ac:dyDescent="0.25">
      <c r="B478" s="248">
        <v>1490</v>
      </c>
      <c r="C478" s="243" t="s">
        <v>1999</v>
      </c>
      <c r="D478" s="253"/>
      <c r="E478" s="253"/>
      <c r="F478" s="253"/>
      <c r="G478" s="253"/>
      <c r="H478" s="249">
        <v>8</v>
      </c>
    </row>
    <row r="479" spans="2:8" ht="13.8" x14ac:dyDescent="0.25">
      <c r="B479" s="248">
        <v>1491</v>
      </c>
      <c r="C479" s="243" t="s">
        <v>2000</v>
      </c>
      <c r="D479" s="253"/>
      <c r="E479" s="253"/>
      <c r="F479" s="253"/>
      <c r="G479" s="253"/>
      <c r="H479" s="249">
        <v>8</v>
      </c>
    </row>
    <row r="480" spans="2:8" ht="13.8" x14ac:dyDescent="0.25">
      <c r="B480" s="248">
        <v>1492</v>
      </c>
      <c r="C480" s="243" t="s">
        <v>2001</v>
      </c>
      <c r="D480" s="253"/>
      <c r="E480" s="253"/>
      <c r="F480" s="253"/>
      <c r="G480" s="253"/>
      <c r="H480" s="249">
        <v>8</v>
      </c>
    </row>
    <row r="481" spans="2:8" ht="13.8" x14ac:dyDescent="0.25">
      <c r="B481" s="248">
        <v>1493</v>
      </c>
      <c r="C481" s="243" t="s">
        <v>2002</v>
      </c>
      <c r="D481" s="253"/>
      <c r="E481" s="253"/>
      <c r="F481" s="253"/>
      <c r="G481" s="253"/>
      <c r="H481" s="249">
        <v>8</v>
      </c>
    </row>
    <row r="482" spans="2:8" ht="13.8" x14ac:dyDescent="0.25">
      <c r="B482" s="248">
        <v>1494</v>
      </c>
      <c r="C482" s="243" t="s">
        <v>2003</v>
      </c>
      <c r="D482" s="253"/>
      <c r="E482" s="253"/>
      <c r="F482" s="253"/>
      <c r="G482" s="253"/>
      <c r="H482" s="249">
        <v>8</v>
      </c>
    </row>
    <row r="483" spans="2:8" ht="13.8" x14ac:dyDescent="0.25">
      <c r="B483" s="248">
        <v>1495</v>
      </c>
      <c r="C483" s="243" t="s">
        <v>2004</v>
      </c>
      <c r="D483" s="253"/>
      <c r="E483" s="253"/>
      <c r="F483" s="253"/>
      <c r="G483" s="253"/>
      <c r="H483" s="249">
        <v>8</v>
      </c>
    </row>
    <row r="484" spans="2:8" ht="13.8" x14ac:dyDescent="0.25">
      <c r="B484" s="248">
        <v>1496</v>
      </c>
      <c r="C484" s="243" t="s">
        <v>2005</v>
      </c>
      <c r="D484" s="253"/>
      <c r="E484" s="253"/>
      <c r="F484" s="253"/>
      <c r="G484" s="253"/>
      <c r="H484" s="249">
        <v>8</v>
      </c>
    </row>
    <row r="485" spans="2:8" ht="13.8" x14ac:dyDescent="0.25">
      <c r="B485" s="248">
        <v>1497</v>
      </c>
      <c r="C485" s="243" t="s">
        <v>2006</v>
      </c>
      <c r="D485" s="253"/>
      <c r="E485" s="253"/>
      <c r="F485" s="253"/>
      <c r="G485" s="253"/>
      <c r="H485" s="249">
        <v>8</v>
      </c>
    </row>
    <row r="486" spans="2:8" ht="13.8" x14ac:dyDescent="0.25">
      <c r="B486" s="248">
        <v>1498</v>
      </c>
      <c r="C486" s="243" t="s">
        <v>2007</v>
      </c>
      <c r="D486" s="253"/>
      <c r="E486" s="253"/>
      <c r="F486" s="253"/>
      <c r="G486" s="253"/>
      <c r="H486" s="249">
        <v>8</v>
      </c>
    </row>
    <row r="487" spans="2:8" ht="13.8" x14ac:dyDescent="0.25">
      <c r="B487" s="248">
        <v>1499</v>
      </c>
      <c r="C487" s="243" t="s">
        <v>2008</v>
      </c>
      <c r="D487" s="253"/>
      <c r="E487" s="253"/>
      <c r="F487" s="253"/>
      <c r="G487" s="253"/>
      <c r="H487" s="249">
        <v>8</v>
      </c>
    </row>
    <row r="488" spans="2:8" ht="13.8" x14ac:dyDescent="0.25">
      <c r="B488" s="248">
        <v>1500</v>
      </c>
      <c r="C488" s="243" t="s">
        <v>2009</v>
      </c>
      <c r="D488" s="253"/>
      <c r="E488" s="253"/>
      <c r="F488" s="253"/>
      <c r="G488" s="253"/>
      <c r="H488" s="249">
        <v>8</v>
      </c>
    </row>
    <row r="489" spans="2:8" ht="13.8" x14ac:dyDescent="0.25">
      <c r="B489" s="248">
        <v>1501</v>
      </c>
      <c r="C489" s="243" t="s">
        <v>2010</v>
      </c>
      <c r="D489" s="253"/>
      <c r="E489" s="253"/>
      <c r="F489" s="253"/>
      <c r="G489" s="253"/>
      <c r="H489" s="249">
        <v>10</v>
      </c>
    </row>
    <row r="490" spans="2:8" ht="13.8" x14ac:dyDescent="0.25">
      <c r="B490" s="248">
        <v>1502</v>
      </c>
      <c r="C490" s="243" t="s">
        <v>2011</v>
      </c>
      <c r="D490" s="253"/>
      <c r="E490" s="253"/>
      <c r="F490" s="253"/>
      <c r="G490" s="253"/>
      <c r="H490" s="249">
        <v>10</v>
      </c>
    </row>
    <row r="491" spans="2:8" ht="14.4" thickBot="1" x14ac:dyDescent="0.3">
      <c r="B491" s="248">
        <v>1503</v>
      </c>
      <c r="C491" s="243" t="s">
        <v>2012</v>
      </c>
      <c r="D491" s="253"/>
      <c r="E491" s="253"/>
      <c r="F491" s="253"/>
      <c r="G491" s="253"/>
      <c r="H491" s="249">
        <v>10</v>
      </c>
    </row>
    <row r="492" spans="2:8" ht="14.4" thickBot="1" x14ac:dyDescent="0.3">
      <c r="B492" s="399" t="s">
        <v>2081</v>
      </c>
      <c r="C492" s="400"/>
      <c r="D492" s="400"/>
      <c r="E492" s="400"/>
      <c r="F492" s="400"/>
      <c r="G492" s="400"/>
      <c r="H492" s="401"/>
    </row>
    <row r="493" spans="2:8" ht="13.8" x14ac:dyDescent="0.25">
      <c r="B493" s="248">
        <v>1504</v>
      </c>
      <c r="C493" s="243" t="s">
        <v>2013</v>
      </c>
      <c r="D493" s="253"/>
      <c r="E493" s="253"/>
      <c r="F493" s="253"/>
      <c r="G493" s="253"/>
      <c r="H493" s="249">
        <v>8</v>
      </c>
    </row>
    <row r="494" spans="2:8" ht="13.8" x14ac:dyDescent="0.25">
      <c r="B494" s="248">
        <v>1505</v>
      </c>
      <c r="C494" s="243" t="s">
        <v>2014</v>
      </c>
      <c r="D494" s="253"/>
      <c r="E494" s="253"/>
      <c r="F494" s="253"/>
      <c r="G494" s="253"/>
      <c r="H494" s="249">
        <v>8</v>
      </c>
    </row>
    <row r="495" spans="2:8" ht="13.8" x14ac:dyDescent="0.25">
      <c r="B495" s="248">
        <v>1506</v>
      </c>
      <c r="C495" s="243" t="s">
        <v>2015</v>
      </c>
      <c r="D495" s="253"/>
      <c r="E495" s="253"/>
      <c r="F495" s="253"/>
      <c r="G495" s="253"/>
      <c r="H495" s="249">
        <v>8</v>
      </c>
    </row>
    <row r="496" spans="2:8" ht="13.8" x14ac:dyDescent="0.25">
      <c r="B496" s="248">
        <v>1507</v>
      </c>
      <c r="C496" s="243" t="s">
        <v>2016</v>
      </c>
      <c r="D496" s="253"/>
      <c r="E496" s="253"/>
      <c r="F496" s="253"/>
      <c r="G496" s="253"/>
      <c r="H496" s="249">
        <v>8</v>
      </c>
    </row>
    <row r="497" spans="2:8" ht="13.8" x14ac:dyDescent="0.25">
      <c r="B497" s="248">
        <v>1508</v>
      </c>
      <c r="C497" s="243" t="s">
        <v>2017</v>
      </c>
      <c r="D497" s="253"/>
      <c r="E497" s="253"/>
      <c r="F497" s="253"/>
      <c r="G497" s="253"/>
      <c r="H497" s="249">
        <v>8</v>
      </c>
    </row>
    <row r="498" spans="2:8" ht="13.8" x14ac:dyDescent="0.25">
      <c r="B498" s="248">
        <v>1509</v>
      </c>
      <c r="C498" s="243" t="s">
        <v>2018</v>
      </c>
      <c r="D498" s="253"/>
      <c r="E498" s="253"/>
      <c r="F498" s="253"/>
      <c r="G498" s="253"/>
      <c r="H498" s="249">
        <v>8</v>
      </c>
    </row>
    <row r="499" spans="2:8" ht="13.8" x14ac:dyDescent="0.25">
      <c r="B499" s="248">
        <v>1510</v>
      </c>
      <c r="C499" s="243" t="s">
        <v>2019</v>
      </c>
      <c r="D499" s="253"/>
      <c r="E499" s="253"/>
      <c r="F499" s="253"/>
      <c r="G499" s="253"/>
      <c r="H499" s="249">
        <v>8</v>
      </c>
    </row>
    <row r="500" spans="2:8" ht="13.8" x14ac:dyDescent="0.25">
      <c r="B500" s="248">
        <v>1511</v>
      </c>
      <c r="C500" s="243" t="s">
        <v>2020</v>
      </c>
      <c r="D500" s="253"/>
      <c r="E500" s="253"/>
      <c r="F500" s="253"/>
      <c r="G500" s="253"/>
      <c r="H500" s="249">
        <v>8</v>
      </c>
    </row>
    <row r="501" spans="2:8" ht="13.8" x14ac:dyDescent="0.25">
      <c r="B501" s="248">
        <v>1512</v>
      </c>
      <c r="C501" s="243" t="s">
        <v>2021</v>
      </c>
      <c r="D501" s="253"/>
      <c r="E501" s="253"/>
      <c r="F501" s="253"/>
      <c r="G501" s="253"/>
      <c r="H501" s="249">
        <v>8</v>
      </c>
    </row>
    <row r="502" spans="2:8" ht="14.4" thickBot="1" x14ac:dyDescent="0.3">
      <c r="B502" s="248">
        <v>1513</v>
      </c>
      <c r="C502" s="243" t="s">
        <v>2022</v>
      </c>
      <c r="D502" s="253"/>
      <c r="E502" s="253"/>
      <c r="F502" s="253"/>
      <c r="G502" s="253"/>
      <c r="H502" s="249">
        <v>8</v>
      </c>
    </row>
    <row r="503" spans="2:8" ht="14.4" thickBot="1" x14ac:dyDescent="0.3">
      <c r="B503" s="399" t="s">
        <v>2082</v>
      </c>
      <c r="C503" s="400"/>
      <c r="D503" s="400"/>
      <c r="E503" s="400"/>
      <c r="F503" s="400"/>
      <c r="G503" s="400"/>
      <c r="H503" s="401"/>
    </row>
    <row r="504" spans="2:8" ht="13.8" x14ac:dyDescent="0.25">
      <c r="B504" s="248">
        <v>1514</v>
      </c>
      <c r="C504" s="243" t="s">
        <v>2023</v>
      </c>
      <c r="D504" s="253"/>
      <c r="E504" s="253"/>
      <c r="F504" s="253"/>
      <c r="G504" s="253"/>
      <c r="H504" s="249">
        <v>10</v>
      </c>
    </row>
    <row r="505" spans="2:8" ht="13.8" x14ac:dyDescent="0.25">
      <c r="B505" s="248">
        <v>1515</v>
      </c>
      <c r="C505" s="243" t="s">
        <v>2024</v>
      </c>
      <c r="D505" s="253"/>
      <c r="E505" s="253"/>
      <c r="F505" s="253"/>
      <c r="G505" s="253"/>
      <c r="H505" s="249">
        <v>10</v>
      </c>
    </row>
    <row r="506" spans="2:8" ht="13.8" x14ac:dyDescent="0.25">
      <c r="B506" s="248">
        <v>1516</v>
      </c>
      <c r="C506" s="243" t="s">
        <v>2025</v>
      </c>
      <c r="D506" s="253"/>
      <c r="E506" s="253"/>
      <c r="F506" s="253"/>
      <c r="G506" s="253"/>
      <c r="H506" s="249">
        <v>10</v>
      </c>
    </row>
    <row r="507" spans="2:8" ht="13.8" x14ac:dyDescent="0.25">
      <c r="B507" s="248">
        <v>1517</v>
      </c>
      <c r="C507" s="243" t="s">
        <v>2026</v>
      </c>
      <c r="D507" s="253"/>
      <c r="E507" s="253"/>
      <c r="F507" s="253"/>
      <c r="G507" s="253"/>
      <c r="H507" s="249">
        <v>10</v>
      </c>
    </row>
    <row r="508" spans="2:8" ht="13.8" x14ac:dyDescent="0.25">
      <c r="B508" s="248">
        <v>1518</v>
      </c>
      <c r="C508" s="243" t="s">
        <v>2027</v>
      </c>
      <c r="D508" s="253"/>
      <c r="E508" s="253"/>
      <c r="F508" s="253"/>
      <c r="G508" s="253"/>
      <c r="H508" s="249">
        <v>12</v>
      </c>
    </row>
    <row r="509" spans="2:8" ht="13.8" x14ac:dyDescent="0.25">
      <c r="B509" s="248">
        <v>1519</v>
      </c>
      <c r="C509" s="243" t="s">
        <v>2028</v>
      </c>
      <c r="D509" s="253"/>
      <c r="E509" s="253"/>
      <c r="F509" s="253"/>
      <c r="G509" s="253"/>
      <c r="H509" s="249">
        <v>10</v>
      </c>
    </row>
    <row r="510" spans="2:8" ht="13.8" x14ac:dyDescent="0.25">
      <c r="B510" s="248">
        <v>1520</v>
      </c>
      <c r="C510" s="243" t="s">
        <v>2029</v>
      </c>
      <c r="D510" s="253"/>
      <c r="E510" s="253"/>
      <c r="F510" s="253"/>
      <c r="G510" s="253"/>
      <c r="H510" s="249">
        <v>10</v>
      </c>
    </row>
    <row r="511" spans="2:8" ht="13.8" x14ac:dyDescent="0.25">
      <c r="B511" s="248">
        <v>1521</v>
      </c>
      <c r="C511" s="243" t="s">
        <v>2030</v>
      </c>
      <c r="D511" s="253"/>
      <c r="E511" s="253"/>
      <c r="F511" s="253"/>
      <c r="G511" s="253"/>
      <c r="H511" s="249">
        <v>22</v>
      </c>
    </row>
    <row r="512" spans="2:8" ht="13.8" x14ac:dyDescent="0.25">
      <c r="B512" s="248">
        <v>1522</v>
      </c>
      <c r="C512" s="243" t="s">
        <v>2031</v>
      </c>
      <c r="D512" s="253"/>
      <c r="E512" s="253"/>
      <c r="F512" s="253"/>
      <c r="G512" s="253"/>
      <c r="H512" s="249">
        <v>12</v>
      </c>
    </row>
    <row r="513" spans="2:8" ht="13.8" x14ac:dyDescent="0.25">
      <c r="B513" s="248">
        <v>1523</v>
      </c>
      <c r="C513" s="243" t="s">
        <v>2032</v>
      </c>
      <c r="D513" s="253"/>
      <c r="E513" s="253"/>
      <c r="F513" s="253"/>
      <c r="G513" s="253"/>
      <c r="H513" s="249">
        <v>10</v>
      </c>
    </row>
    <row r="514" spans="2:8" ht="13.8" x14ac:dyDescent="0.25">
      <c r="B514" s="248">
        <v>1524</v>
      </c>
      <c r="C514" s="243" t="s">
        <v>2033</v>
      </c>
      <c r="D514" s="253"/>
      <c r="E514" s="253"/>
      <c r="F514" s="253"/>
      <c r="G514" s="253"/>
      <c r="H514" s="249">
        <v>12</v>
      </c>
    </row>
    <row r="515" spans="2:8" ht="13.8" x14ac:dyDescent="0.25">
      <c r="B515" s="248">
        <v>1525</v>
      </c>
      <c r="C515" s="243" t="s">
        <v>2034</v>
      </c>
      <c r="D515" s="253"/>
      <c r="E515" s="253"/>
      <c r="F515" s="253"/>
      <c r="G515" s="253"/>
      <c r="H515" s="249">
        <v>12</v>
      </c>
    </row>
    <row r="516" spans="2:8" ht="13.8" x14ac:dyDescent="0.25">
      <c r="B516" s="248">
        <v>1526</v>
      </c>
      <c r="C516" s="243" t="s">
        <v>2035</v>
      </c>
      <c r="D516" s="253"/>
      <c r="E516" s="253"/>
      <c r="F516" s="253"/>
      <c r="G516" s="253"/>
      <c r="H516" s="249">
        <v>12</v>
      </c>
    </row>
    <row r="517" spans="2:8" ht="13.8" x14ac:dyDescent="0.25">
      <c r="B517" s="248">
        <v>1527</v>
      </c>
      <c r="C517" s="243" t="s">
        <v>2036</v>
      </c>
      <c r="D517" s="253"/>
      <c r="E517" s="253"/>
      <c r="F517" s="253"/>
      <c r="G517" s="253"/>
      <c r="H517" s="249">
        <v>12</v>
      </c>
    </row>
    <row r="518" spans="2:8" ht="13.8" x14ac:dyDescent="0.25">
      <c r="B518" s="248">
        <v>1528</v>
      </c>
      <c r="C518" s="243" t="s">
        <v>2037</v>
      </c>
      <c r="D518" s="253"/>
      <c r="E518" s="253"/>
      <c r="F518" s="253"/>
      <c r="G518" s="253"/>
      <c r="H518" s="249">
        <v>12</v>
      </c>
    </row>
    <row r="519" spans="2:8" ht="13.8" x14ac:dyDescent="0.25">
      <c r="B519" s="248">
        <v>1529</v>
      </c>
      <c r="C519" s="243" t="s">
        <v>2038</v>
      </c>
      <c r="D519" s="253"/>
      <c r="E519" s="253"/>
      <c r="F519" s="253"/>
      <c r="G519" s="253"/>
      <c r="H519" s="249">
        <v>12</v>
      </c>
    </row>
    <row r="520" spans="2:8" ht="13.8" x14ac:dyDescent="0.25">
      <c r="B520" s="248">
        <v>1530</v>
      </c>
      <c r="C520" s="243" t="s">
        <v>2039</v>
      </c>
      <c r="D520" s="253"/>
      <c r="E520" s="253"/>
      <c r="F520" s="253"/>
      <c r="G520" s="253"/>
      <c r="H520" s="249">
        <v>13</v>
      </c>
    </row>
    <row r="521" spans="2:8" ht="13.8" x14ac:dyDescent="0.25">
      <c r="B521" s="248">
        <v>1531</v>
      </c>
      <c r="C521" s="243" t="s">
        <v>2040</v>
      </c>
      <c r="D521" s="253"/>
      <c r="E521" s="253"/>
      <c r="F521" s="253"/>
      <c r="G521" s="253"/>
      <c r="H521" s="249">
        <v>10</v>
      </c>
    </row>
    <row r="522" spans="2:8" ht="13.8" x14ac:dyDescent="0.25">
      <c r="B522" s="248">
        <v>1532</v>
      </c>
      <c r="C522" s="243" t="s">
        <v>2041</v>
      </c>
      <c r="D522" s="253"/>
      <c r="E522" s="253"/>
      <c r="F522" s="253"/>
      <c r="G522" s="253"/>
      <c r="H522" s="249">
        <v>10</v>
      </c>
    </row>
    <row r="523" spans="2:8" ht="13.8" x14ac:dyDescent="0.25">
      <c r="B523" s="248">
        <v>1533</v>
      </c>
      <c r="C523" s="243" t="s">
        <v>2042</v>
      </c>
      <c r="D523" s="253"/>
      <c r="E523" s="253"/>
      <c r="F523" s="253"/>
      <c r="G523" s="253"/>
      <c r="H523" s="249">
        <v>10</v>
      </c>
    </row>
    <row r="524" spans="2:8" ht="13.8" x14ac:dyDescent="0.25">
      <c r="B524" s="248">
        <v>1534</v>
      </c>
      <c r="C524" s="243" t="s">
        <v>2043</v>
      </c>
      <c r="D524" s="253"/>
      <c r="E524" s="253"/>
      <c r="F524" s="253"/>
      <c r="G524" s="253"/>
      <c r="H524" s="249">
        <v>22</v>
      </c>
    </row>
    <row r="525" spans="2:8" ht="13.8" x14ac:dyDescent="0.25">
      <c r="B525" s="248">
        <v>1535</v>
      </c>
      <c r="C525" s="243" t="s">
        <v>2044</v>
      </c>
      <c r="D525" s="253"/>
      <c r="E525" s="253"/>
      <c r="F525" s="253"/>
      <c r="G525" s="253"/>
      <c r="H525" s="249">
        <v>22</v>
      </c>
    </row>
    <row r="526" spans="2:8" ht="13.8" x14ac:dyDescent="0.25">
      <c r="B526" s="248">
        <v>1536</v>
      </c>
      <c r="C526" s="243" t="s">
        <v>2045</v>
      </c>
      <c r="D526" s="253"/>
      <c r="E526" s="253"/>
      <c r="F526" s="253"/>
      <c r="G526" s="253"/>
      <c r="H526" s="249">
        <v>20</v>
      </c>
    </row>
    <row r="527" spans="2:8" ht="13.8" x14ac:dyDescent="0.25">
      <c r="B527" s="248">
        <v>1537</v>
      </c>
      <c r="C527" s="243" t="s">
        <v>2046</v>
      </c>
      <c r="D527" s="253"/>
      <c r="E527" s="253"/>
      <c r="F527" s="253"/>
      <c r="G527" s="253"/>
      <c r="H527" s="249">
        <v>20</v>
      </c>
    </row>
    <row r="528" spans="2:8" ht="13.8" x14ac:dyDescent="0.25">
      <c r="B528" s="248">
        <v>1538</v>
      </c>
      <c r="C528" s="243" t="s">
        <v>2047</v>
      </c>
      <c r="D528" s="253"/>
      <c r="E528" s="253"/>
      <c r="F528" s="253"/>
      <c r="G528" s="253"/>
      <c r="H528" s="249">
        <v>20</v>
      </c>
    </row>
    <row r="529" spans="2:8" ht="13.8" x14ac:dyDescent="0.25">
      <c r="B529" s="248">
        <v>1539</v>
      </c>
      <c r="C529" s="243" t="s">
        <v>2048</v>
      </c>
      <c r="D529" s="253"/>
      <c r="E529" s="253"/>
      <c r="F529" s="253"/>
      <c r="G529" s="253"/>
      <c r="H529" s="249">
        <v>20</v>
      </c>
    </row>
    <row r="530" spans="2:8" ht="13.8" x14ac:dyDescent="0.25">
      <c r="B530" s="248">
        <v>1540</v>
      </c>
      <c r="C530" s="243" t="s">
        <v>2049</v>
      </c>
      <c r="D530" s="253"/>
      <c r="E530" s="253"/>
      <c r="F530" s="253"/>
      <c r="G530" s="253"/>
      <c r="H530" s="249">
        <v>20</v>
      </c>
    </row>
    <row r="531" spans="2:8" ht="14.4" thickBot="1" x14ac:dyDescent="0.3">
      <c r="B531" s="250">
        <v>1541</v>
      </c>
      <c r="C531" s="251" t="s">
        <v>2050</v>
      </c>
      <c r="D531" s="265"/>
      <c r="E531" s="265"/>
      <c r="F531" s="265"/>
      <c r="G531" s="265"/>
      <c r="H531" s="252">
        <v>20</v>
      </c>
    </row>
    <row r="532" spans="2:8" ht="13.8" thickBot="1" x14ac:dyDescent="0.3"/>
    <row r="533" spans="2:8" ht="14.4" thickBot="1" x14ac:dyDescent="0.3">
      <c r="B533" s="399" t="s">
        <v>2083</v>
      </c>
      <c r="C533" s="400"/>
      <c r="D533" s="400"/>
      <c r="E533" s="400"/>
      <c r="F533" s="400"/>
      <c r="G533" s="400"/>
      <c r="H533" s="401"/>
    </row>
    <row r="534" spans="2:8" ht="14.4" thickBot="1" x14ac:dyDescent="0.3">
      <c r="B534" s="402" t="s">
        <v>2084</v>
      </c>
      <c r="C534" s="403"/>
      <c r="D534" s="403"/>
      <c r="E534" s="403"/>
      <c r="F534" s="403"/>
      <c r="G534" s="403"/>
      <c r="H534" s="404"/>
    </row>
    <row r="535" spans="2:8" ht="13.8" x14ac:dyDescent="0.25">
      <c r="B535" s="245">
        <v>2101</v>
      </c>
      <c r="C535" s="246" t="s">
        <v>2085</v>
      </c>
      <c r="D535" s="266"/>
      <c r="E535" s="266"/>
      <c r="F535" s="266"/>
      <c r="G535" s="266"/>
      <c r="H535" s="247">
        <v>10</v>
      </c>
    </row>
    <row r="536" spans="2:8" ht="13.8" x14ac:dyDescent="0.25">
      <c r="B536" s="248">
        <v>2102</v>
      </c>
      <c r="C536" s="243" t="s">
        <v>2086</v>
      </c>
      <c r="D536" s="253"/>
      <c r="E536" s="253"/>
      <c r="F536" s="253"/>
      <c r="G536" s="253"/>
      <c r="H536" s="249">
        <v>10</v>
      </c>
    </row>
    <row r="537" spans="2:8" ht="13.8" x14ac:dyDescent="0.25">
      <c r="B537" s="248">
        <v>2103</v>
      </c>
      <c r="C537" s="243" t="s">
        <v>2087</v>
      </c>
      <c r="D537" s="253"/>
      <c r="E537" s="253"/>
      <c r="F537" s="253"/>
      <c r="G537" s="253"/>
      <c r="H537" s="249">
        <v>10</v>
      </c>
    </row>
    <row r="538" spans="2:8" ht="13.8" x14ac:dyDescent="0.25">
      <c r="B538" s="248">
        <v>2104</v>
      </c>
      <c r="C538" s="243" t="s">
        <v>2088</v>
      </c>
      <c r="D538" s="253"/>
      <c r="E538" s="253"/>
      <c r="F538" s="253"/>
      <c r="G538" s="253"/>
      <c r="H538" s="249">
        <v>12</v>
      </c>
    </row>
    <row r="539" spans="2:8" ht="13.8" x14ac:dyDescent="0.25">
      <c r="B539" s="248">
        <v>2105</v>
      </c>
      <c r="C539" s="243" t="s">
        <v>2089</v>
      </c>
      <c r="D539" s="253"/>
      <c r="E539" s="253"/>
      <c r="F539" s="253"/>
      <c r="G539" s="253"/>
      <c r="H539" s="249">
        <v>8</v>
      </c>
    </row>
    <row r="540" spans="2:8" ht="13.8" x14ac:dyDescent="0.25">
      <c r="B540" s="248">
        <v>2106</v>
      </c>
      <c r="C540" s="243" t="s">
        <v>2090</v>
      </c>
      <c r="D540" s="253"/>
      <c r="E540" s="253"/>
      <c r="F540" s="253"/>
      <c r="G540" s="253"/>
      <c r="H540" s="249">
        <v>8</v>
      </c>
    </row>
    <row r="541" spans="2:8" ht="13.8" x14ac:dyDescent="0.25">
      <c r="B541" s="248">
        <v>2107</v>
      </c>
      <c r="C541" s="243" t="s">
        <v>2091</v>
      </c>
      <c r="D541" s="253"/>
      <c r="E541" s="253"/>
      <c r="F541" s="253"/>
      <c r="G541" s="253"/>
      <c r="H541" s="249">
        <v>8</v>
      </c>
    </row>
    <row r="542" spans="2:8" ht="13.8" x14ac:dyDescent="0.25">
      <c r="B542" s="248">
        <v>2108</v>
      </c>
      <c r="C542" s="243" t="s">
        <v>2092</v>
      </c>
      <c r="D542" s="253"/>
      <c r="E542" s="253"/>
      <c r="F542" s="253"/>
      <c r="G542" s="253"/>
      <c r="H542" s="249">
        <v>12</v>
      </c>
    </row>
    <row r="543" spans="2:8" ht="13.8" x14ac:dyDescent="0.25">
      <c r="B543" s="248">
        <v>2109</v>
      </c>
      <c r="C543" s="243" t="s">
        <v>2093</v>
      </c>
      <c r="D543" s="253"/>
      <c r="E543" s="253"/>
      <c r="F543" s="253"/>
      <c r="G543" s="253"/>
      <c r="H543" s="249">
        <v>8</v>
      </c>
    </row>
    <row r="544" spans="2:8" ht="13.8" x14ac:dyDescent="0.25">
      <c r="B544" s="248">
        <v>2110</v>
      </c>
      <c r="C544" s="243" t="s">
        <v>2094</v>
      </c>
      <c r="D544" s="253"/>
      <c r="E544" s="253"/>
      <c r="F544" s="253"/>
      <c r="G544" s="253"/>
      <c r="H544" s="249">
        <v>8</v>
      </c>
    </row>
    <row r="545" spans="2:8" ht="13.8" x14ac:dyDescent="0.25">
      <c r="B545" s="248">
        <v>2111</v>
      </c>
      <c r="C545" s="243" t="s">
        <v>2095</v>
      </c>
      <c r="D545" s="253"/>
      <c r="E545" s="253"/>
      <c r="F545" s="253"/>
      <c r="G545" s="253"/>
      <c r="H545" s="249">
        <v>10</v>
      </c>
    </row>
    <row r="546" spans="2:8" ht="13.8" x14ac:dyDescent="0.25">
      <c r="B546" s="248">
        <v>2112</v>
      </c>
      <c r="C546" s="243" t="s">
        <v>2096</v>
      </c>
      <c r="D546" s="253"/>
      <c r="E546" s="253"/>
      <c r="F546" s="253"/>
      <c r="G546" s="253"/>
      <c r="H546" s="249">
        <v>10</v>
      </c>
    </row>
    <row r="547" spans="2:8" ht="13.8" x14ac:dyDescent="0.25">
      <c r="B547" s="248">
        <v>2113</v>
      </c>
      <c r="C547" s="243" t="s">
        <v>2097</v>
      </c>
      <c r="D547" s="253"/>
      <c r="E547" s="253"/>
      <c r="F547" s="253"/>
      <c r="G547" s="253"/>
      <c r="H547" s="249">
        <v>10</v>
      </c>
    </row>
    <row r="548" spans="2:8" ht="13.8" x14ac:dyDescent="0.25">
      <c r="B548" s="248">
        <v>2114</v>
      </c>
      <c r="C548" s="243" t="s">
        <v>2098</v>
      </c>
      <c r="D548" s="253"/>
      <c r="E548" s="253"/>
      <c r="F548" s="253"/>
      <c r="G548" s="253"/>
      <c r="H548" s="249">
        <v>8</v>
      </c>
    </row>
    <row r="549" spans="2:8" ht="14.4" thickBot="1" x14ac:dyDescent="0.3">
      <c r="B549" s="248">
        <v>2115</v>
      </c>
      <c r="C549" s="243" t="s">
        <v>2099</v>
      </c>
      <c r="D549" s="253"/>
      <c r="E549" s="253"/>
      <c r="F549" s="253"/>
      <c r="G549" s="253"/>
      <c r="H549" s="249">
        <v>8</v>
      </c>
    </row>
    <row r="550" spans="2:8" ht="14.4" thickBot="1" x14ac:dyDescent="0.3">
      <c r="B550" s="399" t="s">
        <v>2100</v>
      </c>
      <c r="C550" s="400"/>
      <c r="D550" s="400"/>
      <c r="E550" s="400"/>
      <c r="F550" s="400"/>
      <c r="G550" s="400"/>
      <c r="H550" s="401"/>
    </row>
    <row r="551" spans="2:8" ht="13.8" x14ac:dyDescent="0.25">
      <c r="B551" s="287">
        <v>2116</v>
      </c>
      <c r="C551" s="244" t="s">
        <v>2101</v>
      </c>
      <c r="D551" s="259"/>
      <c r="E551" s="259"/>
      <c r="F551" s="259"/>
      <c r="G551" s="259"/>
      <c r="H551" s="285">
        <v>8</v>
      </c>
    </row>
    <row r="552" spans="2:8" ht="13.8" x14ac:dyDescent="0.25">
      <c r="B552" s="248">
        <v>2117</v>
      </c>
      <c r="C552" s="243" t="s">
        <v>2102</v>
      </c>
      <c r="D552" s="253"/>
      <c r="E552" s="253"/>
      <c r="F552" s="253"/>
      <c r="G552" s="253"/>
      <c r="H552" s="249">
        <v>12</v>
      </c>
    </row>
    <row r="553" spans="2:8" ht="13.8" x14ac:dyDescent="0.25">
      <c r="B553" s="248">
        <v>2118</v>
      </c>
      <c r="C553" s="243" t="s">
        <v>2103</v>
      </c>
      <c r="D553" s="253"/>
      <c r="E553" s="253"/>
      <c r="F553" s="253"/>
      <c r="G553" s="253"/>
      <c r="H553" s="249">
        <v>8</v>
      </c>
    </row>
    <row r="554" spans="2:8" ht="13.8" x14ac:dyDescent="0.25">
      <c r="B554" s="248">
        <v>2119</v>
      </c>
      <c r="C554" s="243" t="s">
        <v>2104</v>
      </c>
      <c r="D554" s="253"/>
      <c r="E554" s="253"/>
      <c r="F554" s="253"/>
      <c r="G554" s="253"/>
      <c r="H554" s="249">
        <v>8</v>
      </c>
    </row>
    <row r="555" spans="2:8" ht="13.8" x14ac:dyDescent="0.25">
      <c r="B555" s="248">
        <v>2120</v>
      </c>
      <c r="C555" s="243" t="s">
        <v>2105</v>
      </c>
      <c r="D555" s="253"/>
      <c r="E555" s="253"/>
      <c r="F555" s="253"/>
      <c r="G555" s="253"/>
      <c r="H555" s="249">
        <v>10</v>
      </c>
    </row>
    <row r="556" spans="2:8" ht="13.8" x14ac:dyDescent="0.25">
      <c r="B556" s="248">
        <v>2121</v>
      </c>
      <c r="C556" s="243" t="s">
        <v>2106</v>
      </c>
      <c r="D556" s="253"/>
      <c r="E556" s="253"/>
      <c r="F556" s="253"/>
      <c r="G556" s="253"/>
      <c r="H556" s="249">
        <v>8</v>
      </c>
    </row>
    <row r="557" spans="2:8" ht="13.8" x14ac:dyDescent="0.25">
      <c r="B557" s="248">
        <v>2122</v>
      </c>
      <c r="C557" s="243" t="s">
        <v>2107</v>
      </c>
      <c r="D557" s="253"/>
      <c r="E557" s="253"/>
      <c r="F557" s="253"/>
      <c r="G557" s="253"/>
      <c r="H557" s="249">
        <v>10</v>
      </c>
    </row>
    <row r="558" spans="2:8" ht="14.4" thickBot="1" x14ac:dyDescent="0.3">
      <c r="B558" s="248">
        <v>2123</v>
      </c>
      <c r="C558" s="243" t="s">
        <v>2108</v>
      </c>
      <c r="D558" s="253"/>
      <c r="E558" s="253"/>
      <c r="F558" s="253"/>
      <c r="G558" s="253"/>
      <c r="H558" s="249">
        <v>10</v>
      </c>
    </row>
    <row r="559" spans="2:8" ht="14.4" thickBot="1" x14ac:dyDescent="0.3">
      <c r="B559" s="399" t="s">
        <v>2109</v>
      </c>
      <c r="C559" s="400"/>
      <c r="D559" s="400"/>
      <c r="E559" s="400"/>
      <c r="F559" s="400"/>
      <c r="G559" s="400"/>
      <c r="H559" s="401"/>
    </row>
    <row r="560" spans="2:8" ht="13.8" x14ac:dyDescent="0.25">
      <c r="B560" s="245" t="s">
        <v>1605</v>
      </c>
      <c r="C560" s="246" t="s">
        <v>1625</v>
      </c>
      <c r="D560" s="266"/>
      <c r="E560" s="266"/>
      <c r="F560" s="266"/>
      <c r="G560" s="266"/>
      <c r="H560" s="247" t="s">
        <v>1626</v>
      </c>
    </row>
    <row r="561" spans="2:8" ht="13.8" x14ac:dyDescent="0.25">
      <c r="B561" s="248">
        <v>2124</v>
      </c>
      <c r="C561" s="243" t="s">
        <v>2110</v>
      </c>
      <c r="D561" s="253"/>
      <c r="E561" s="253"/>
      <c r="F561" s="253"/>
      <c r="G561" s="253"/>
      <c r="H561" s="249">
        <v>12</v>
      </c>
    </row>
    <row r="562" spans="2:8" ht="13.8" x14ac:dyDescent="0.25">
      <c r="B562" s="248">
        <v>2125</v>
      </c>
      <c r="C562" s="243" t="s">
        <v>2111</v>
      </c>
      <c r="D562" s="253"/>
      <c r="E562" s="253"/>
      <c r="F562" s="253"/>
      <c r="G562" s="253"/>
      <c r="H562" s="249">
        <v>10</v>
      </c>
    </row>
    <row r="563" spans="2:8" ht="13.8" x14ac:dyDescent="0.25">
      <c r="B563" s="248">
        <v>2126</v>
      </c>
      <c r="C563" s="243" t="s">
        <v>2112</v>
      </c>
      <c r="D563" s="253"/>
      <c r="E563" s="253"/>
      <c r="F563" s="253"/>
      <c r="G563" s="253"/>
      <c r="H563" s="249">
        <v>13</v>
      </c>
    </row>
    <row r="564" spans="2:8" ht="13.8" x14ac:dyDescent="0.25">
      <c r="B564" s="248">
        <v>2127</v>
      </c>
      <c r="C564" s="243" t="s">
        <v>2113</v>
      </c>
      <c r="D564" s="253"/>
      <c r="E564" s="253"/>
      <c r="F564" s="253"/>
      <c r="G564" s="253"/>
      <c r="H564" s="249">
        <v>10</v>
      </c>
    </row>
    <row r="565" spans="2:8" ht="13.8" x14ac:dyDescent="0.25">
      <c r="B565" s="268">
        <v>2128</v>
      </c>
      <c r="C565" s="255" t="s">
        <v>2114</v>
      </c>
      <c r="D565" s="260"/>
      <c r="E565" s="260"/>
      <c r="F565" s="260"/>
      <c r="G565" s="260"/>
      <c r="H565" s="263">
        <v>12</v>
      </c>
    </row>
    <row r="566" spans="2:8" ht="13.8" x14ac:dyDescent="0.25">
      <c r="B566" s="248">
        <v>2129</v>
      </c>
      <c r="C566" s="243" t="s">
        <v>2115</v>
      </c>
      <c r="D566" s="253"/>
      <c r="E566" s="253"/>
      <c r="F566" s="253"/>
      <c r="G566" s="253"/>
      <c r="H566" s="249">
        <v>20</v>
      </c>
    </row>
    <row r="567" spans="2:8" ht="13.8" x14ac:dyDescent="0.25">
      <c r="B567" s="248">
        <v>2130</v>
      </c>
      <c r="C567" s="243" t="s">
        <v>2116</v>
      </c>
      <c r="D567" s="253"/>
      <c r="E567" s="253"/>
      <c r="F567" s="253"/>
      <c r="G567" s="253"/>
      <c r="H567" s="249">
        <v>12</v>
      </c>
    </row>
    <row r="568" spans="2:8" ht="13.8" x14ac:dyDescent="0.25">
      <c r="B568" s="248">
        <v>2131</v>
      </c>
      <c r="C568" s="243" t="s">
        <v>2117</v>
      </c>
      <c r="D568" s="253"/>
      <c r="E568" s="253"/>
      <c r="F568" s="253"/>
      <c r="G568" s="253"/>
      <c r="H568" s="249">
        <v>12</v>
      </c>
    </row>
    <row r="569" spans="2:8" ht="13.8" x14ac:dyDescent="0.25">
      <c r="B569" s="248">
        <v>2132</v>
      </c>
      <c r="C569" s="243" t="s">
        <v>2118</v>
      </c>
      <c r="D569" s="253"/>
      <c r="E569" s="253"/>
      <c r="F569" s="253"/>
      <c r="G569" s="253"/>
      <c r="H569" s="249">
        <v>10</v>
      </c>
    </row>
    <row r="570" spans="2:8" ht="13.8" x14ac:dyDescent="0.25">
      <c r="B570" s="287">
        <v>2133</v>
      </c>
      <c r="C570" s="244" t="s">
        <v>2119</v>
      </c>
      <c r="D570" s="259"/>
      <c r="E570" s="259"/>
      <c r="F570" s="259"/>
      <c r="G570" s="259"/>
      <c r="H570" s="285">
        <v>8</v>
      </c>
    </row>
    <row r="571" spans="2:8" ht="13.8" x14ac:dyDescent="0.25">
      <c r="B571" s="248">
        <v>2134</v>
      </c>
      <c r="C571" s="243" t="s">
        <v>2120</v>
      </c>
      <c r="D571" s="253"/>
      <c r="E571" s="253"/>
      <c r="F571" s="253"/>
      <c r="G571" s="253"/>
      <c r="H571" s="249">
        <v>10</v>
      </c>
    </row>
    <row r="572" spans="2:8" ht="14.4" thickBot="1" x14ac:dyDescent="0.3">
      <c r="B572" s="250">
        <v>2135</v>
      </c>
      <c r="C572" s="251" t="s">
        <v>1690</v>
      </c>
      <c r="D572" s="265"/>
      <c r="E572" s="265"/>
      <c r="F572" s="265"/>
      <c r="G572" s="265"/>
      <c r="H572" s="252">
        <v>10</v>
      </c>
    </row>
    <row r="573" spans="2:8" ht="14.4" thickBot="1" x14ac:dyDescent="0.3">
      <c r="B573" s="399" t="s">
        <v>2121</v>
      </c>
      <c r="C573" s="400"/>
      <c r="D573" s="400"/>
      <c r="E573" s="400"/>
      <c r="F573" s="400"/>
      <c r="G573" s="400"/>
      <c r="H573" s="401"/>
    </row>
    <row r="574" spans="2:8" ht="13.8" x14ac:dyDescent="0.25">
      <c r="B574" s="287">
        <v>2136</v>
      </c>
      <c r="C574" s="244" t="s">
        <v>2122</v>
      </c>
      <c r="D574" s="259"/>
      <c r="E574" s="259"/>
      <c r="F574" s="259"/>
      <c r="G574" s="259"/>
      <c r="H574" s="285">
        <v>8</v>
      </c>
    </row>
    <row r="575" spans="2:8" ht="13.8" x14ac:dyDescent="0.25">
      <c r="B575" s="248">
        <v>2137</v>
      </c>
      <c r="C575" s="243" t="s">
        <v>2123</v>
      </c>
      <c r="D575" s="253"/>
      <c r="E575" s="253"/>
      <c r="F575" s="253"/>
      <c r="G575" s="253"/>
      <c r="H575" s="249">
        <v>8</v>
      </c>
    </row>
    <row r="576" spans="2:8" ht="13.8" x14ac:dyDescent="0.25">
      <c r="B576" s="248">
        <v>2138</v>
      </c>
      <c r="C576" s="243" t="s">
        <v>2124</v>
      </c>
      <c r="D576" s="253"/>
      <c r="E576" s="253"/>
      <c r="F576" s="253"/>
      <c r="G576" s="253"/>
      <c r="H576" s="249">
        <v>8</v>
      </c>
    </row>
    <row r="577" spans="2:8" ht="13.8" x14ac:dyDescent="0.25">
      <c r="B577" s="248">
        <v>2139</v>
      </c>
      <c r="C577" s="243" t="s">
        <v>2125</v>
      </c>
      <c r="D577" s="253"/>
      <c r="E577" s="253"/>
      <c r="F577" s="253"/>
      <c r="G577" s="253"/>
      <c r="H577" s="249">
        <v>8</v>
      </c>
    </row>
    <row r="578" spans="2:8" ht="13.8" x14ac:dyDescent="0.25">
      <c r="B578" s="248">
        <v>2140</v>
      </c>
      <c r="C578" s="243" t="s">
        <v>2126</v>
      </c>
      <c r="D578" s="253"/>
      <c r="E578" s="253"/>
      <c r="F578" s="253"/>
      <c r="G578" s="253"/>
      <c r="H578" s="249">
        <v>8</v>
      </c>
    </row>
    <row r="579" spans="2:8" ht="13.8" x14ac:dyDescent="0.25">
      <c r="B579" s="248">
        <v>2141</v>
      </c>
      <c r="C579" s="243" t="s">
        <v>2127</v>
      </c>
      <c r="D579" s="253"/>
      <c r="E579" s="253"/>
      <c r="F579" s="253"/>
      <c r="G579" s="253"/>
      <c r="H579" s="249">
        <v>20</v>
      </c>
    </row>
    <row r="580" spans="2:8" ht="13.8" x14ac:dyDescent="0.25">
      <c r="B580" s="248">
        <v>2142</v>
      </c>
      <c r="C580" s="243" t="s">
        <v>2128</v>
      </c>
      <c r="D580" s="253"/>
      <c r="E580" s="253"/>
      <c r="F580" s="253"/>
      <c r="G580" s="253"/>
      <c r="H580" s="249">
        <v>13</v>
      </c>
    </row>
    <row r="581" spans="2:8" ht="13.8" x14ac:dyDescent="0.25">
      <c r="B581" s="248">
        <v>2143</v>
      </c>
      <c r="C581" s="243" t="s">
        <v>2129</v>
      </c>
      <c r="D581" s="253"/>
      <c r="E581" s="253"/>
      <c r="F581" s="253"/>
      <c r="G581" s="253"/>
      <c r="H581" s="249">
        <v>10</v>
      </c>
    </row>
    <row r="582" spans="2:8" ht="13.8" x14ac:dyDescent="0.25">
      <c r="B582" s="248">
        <v>2144</v>
      </c>
      <c r="C582" s="243" t="s">
        <v>2130</v>
      </c>
      <c r="D582" s="253"/>
      <c r="E582" s="253"/>
      <c r="F582" s="253"/>
      <c r="G582" s="253"/>
      <c r="H582" s="249">
        <v>8</v>
      </c>
    </row>
    <row r="583" spans="2:8" ht="13.8" x14ac:dyDescent="0.25">
      <c r="B583" s="248">
        <v>2145</v>
      </c>
      <c r="C583" s="243" t="s">
        <v>2131</v>
      </c>
      <c r="D583" s="253"/>
      <c r="E583" s="253"/>
      <c r="F583" s="253"/>
      <c r="G583" s="253"/>
      <c r="H583" s="249">
        <v>8</v>
      </c>
    </row>
    <row r="584" spans="2:8" ht="13.8" x14ac:dyDescent="0.25">
      <c r="B584" s="248">
        <v>2146</v>
      </c>
      <c r="C584" s="243" t="s">
        <v>2132</v>
      </c>
      <c r="D584" s="253"/>
      <c r="E584" s="253"/>
      <c r="F584" s="253"/>
      <c r="G584" s="253"/>
      <c r="H584" s="249">
        <v>8</v>
      </c>
    </row>
    <row r="585" spans="2:8" ht="13.8" x14ac:dyDescent="0.25">
      <c r="B585" s="248">
        <v>2147</v>
      </c>
      <c r="C585" s="243" t="s">
        <v>2133</v>
      </c>
      <c r="D585" s="253"/>
      <c r="E585" s="253"/>
      <c r="F585" s="253"/>
      <c r="G585" s="253"/>
      <c r="H585" s="249">
        <v>10</v>
      </c>
    </row>
    <row r="586" spans="2:8" ht="13.8" x14ac:dyDescent="0.25">
      <c r="B586" s="248">
        <v>2148</v>
      </c>
      <c r="C586" s="243" t="s">
        <v>2134</v>
      </c>
      <c r="D586" s="253"/>
      <c r="E586" s="253"/>
      <c r="F586" s="253"/>
      <c r="G586" s="253"/>
      <c r="H586" s="249">
        <v>10</v>
      </c>
    </row>
    <row r="587" spans="2:8" ht="14.4" thickBot="1" x14ac:dyDescent="0.3">
      <c r="B587" s="250">
        <v>2149</v>
      </c>
      <c r="C587" s="251" t="s">
        <v>2135</v>
      </c>
      <c r="D587" s="265"/>
      <c r="E587" s="265"/>
      <c r="F587" s="265"/>
      <c r="G587" s="265"/>
      <c r="H587" s="252">
        <v>10</v>
      </c>
    </row>
    <row r="588" spans="2:8" ht="14.4" thickBot="1" x14ac:dyDescent="0.3">
      <c r="B588" s="399" t="s">
        <v>2136</v>
      </c>
      <c r="C588" s="400"/>
      <c r="D588" s="400"/>
      <c r="E588" s="400"/>
      <c r="F588" s="400"/>
      <c r="G588" s="400"/>
      <c r="H588" s="401"/>
    </row>
    <row r="589" spans="2:8" ht="13.8" x14ac:dyDescent="0.25">
      <c r="B589" s="245">
        <v>2150</v>
      </c>
      <c r="C589" s="246" t="s">
        <v>2137</v>
      </c>
      <c r="D589" s="266"/>
      <c r="E589" s="246"/>
      <c r="F589" s="246"/>
      <c r="G589" s="246"/>
      <c r="H589" s="247">
        <v>13</v>
      </c>
    </row>
    <row r="590" spans="2:8" ht="13.8" x14ac:dyDescent="0.25">
      <c r="B590" s="248">
        <v>2151</v>
      </c>
      <c r="C590" s="243" t="s">
        <v>2138</v>
      </c>
      <c r="D590" s="253"/>
      <c r="E590" s="243"/>
      <c r="F590" s="243"/>
      <c r="G590" s="243"/>
      <c r="H590" s="249">
        <v>12</v>
      </c>
    </row>
    <row r="591" spans="2:8" ht="13.8" x14ac:dyDescent="0.25">
      <c r="B591" s="248">
        <v>2152</v>
      </c>
      <c r="C591" s="243" t="s">
        <v>2139</v>
      </c>
      <c r="D591" s="253"/>
      <c r="E591" s="243"/>
      <c r="F591" s="243"/>
      <c r="G591" s="243"/>
      <c r="H591" s="249">
        <v>12</v>
      </c>
    </row>
    <row r="592" spans="2:8" ht="13.8" x14ac:dyDescent="0.25">
      <c r="B592" s="248">
        <v>2153</v>
      </c>
      <c r="C592" s="243" t="s">
        <v>2140</v>
      </c>
      <c r="D592" s="253"/>
      <c r="E592" s="243"/>
      <c r="F592" s="243"/>
      <c r="G592" s="243"/>
      <c r="H592" s="249">
        <v>12</v>
      </c>
    </row>
    <row r="593" spans="2:8" ht="13.8" x14ac:dyDescent="0.25">
      <c r="B593" s="248">
        <v>2154</v>
      </c>
      <c r="C593" s="243" t="s">
        <v>2141</v>
      </c>
      <c r="D593" s="253"/>
      <c r="E593" s="243"/>
      <c r="F593" s="243"/>
      <c r="G593" s="243"/>
      <c r="H593" s="249">
        <v>8</v>
      </c>
    </row>
    <row r="594" spans="2:8" ht="13.8" x14ac:dyDescent="0.25">
      <c r="B594" s="248">
        <v>2155</v>
      </c>
      <c r="C594" s="243" t="s">
        <v>2142</v>
      </c>
      <c r="D594" s="253"/>
      <c r="E594" s="243"/>
      <c r="F594" s="243"/>
      <c r="G594" s="243"/>
      <c r="H594" s="249">
        <v>8</v>
      </c>
    </row>
    <row r="595" spans="2:8" ht="13.8" x14ac:dyDescent="0.25">
      <c r="B595" s="248">
        <v>2156</v>
      </c>
      <c r="C595" s="243" t="s">
        <v>2143</v>
      </c>
      <c r="D595" s="253"/>
      <c r="E595" s="243"/>
      <c r="F595" s="243"/>
      <c r="G595" s="243"/>
      <c r="H595" s="249">
        <v>13</v>
      </c>
    </row>
    <row r="596" spans="2:8" ht="13.8" x14ac:dyDescent="0.25">
      <c r="B596" s="248">
        <v>2157</v>
      </c>
      <c r="C596" s="243" t="s">
        <v>2144</v>
      </c>
      <c r="D596" s="253"/>
      <c r="E596" s="243"/>
      <c r="F596" s="243"/>
      <c r="G596" s="243"/>
      <c r="H596" s="249">
        <v>8</v>
      </c>
    </row>
    <row r="597" spans="2:8" ht="13.8" x14ac:dyDescent="0.25">
      <c r="B597" s="248">
        <v>2158</v>
      </c>
      <c r="C597" s="243" t="s">
        <v>2145</v>
      </c>
      <c r="D597" s="253"/>
      <c r="E597" s="243"/>
      <c r="F597" s="243"/>
      <c r="G597" s="243"/>
      <c r="H597" s="249">
        <v>8</v>
      </c>
    </row>
    <row r="598" spans="2:8" ht="13.8" x14ac:dyDescent="0.25">
      <c r="B598" s="248">
        <v>2159</v>
      </c>
      <c r="C598" s="243" t="s">
        <v>2146</v>
      </c>
      <c r="D598" s="253"/>
      <c r="E598" s="243"/>
      <c r="F598" s="243"/>
      <c r="G598" s="243"/>
      <c r="H598" s="249">
        <v>8</v>
      </c>
    </row>
    <row r="599" spans="2:8" ht="14.4" thickBot="1" x14ac:dyDescent="0.3">
      <c r="B599" s="268">
        <v>2160</v>
      </c>
      <c r="C599" s="255" t="s">
        <v>2147</v>
      </c>
      <c r="D599" s="260"/>
      <c r="E599" s="255"/>
      <c r="F599" s="255"/>
      <c r="G599" s="255"/>
      <c r="H599" s="263">
        <v>10</v>
      </c>
    </row>
    <row r="600" spans="2:8" ht="14.4" thickBot="1" x14ac:dyDescent="0.3">
      <c r="B600" s="375" t="s">
        <v>2148</v>
      </c>
      <c r="C600" s="376"/>
      <c r="D600" s="376"/>
      <c r="E600" s="376"/>
      <c r="F600" s="376"/>
      <c r="G600" s="376"/>
      <c r="H600" s="377"/>
    </row>
    <row r="601" spans="2:8" ht="13.8" x14ac:dyDescent="0.25">
      <c r="B601" s="287">
        <v>2161</v>
      </c>
      <c r="C601" s="244" t="s">
        <v>2149</v>
      </c>
      <c r="D601" s="259"/>
      <c r="E601" s="244"/>
      <c r="F601" s="244"/>
      <c r="G601" s="244"/>
      <c r="H601" s="285">
        <v>13</v>
      </c>
    </row>
    <row r="602" spans="2:8" ht="13.8" x14ac:dyDescent="0.25">
      <c r="B602" s="248">
        <v>2162</v>
      </c>
      <c r="C602" s="243" t="s">
        <v>2150</v>
      </c>
      <c r="D602" s="253"/>
      <c r="E602" s="243"/>
      <c r="F602" s="243"/>
      <c r="G602" s="243"/>
      <c r="H602" s="249">
        <v>10</v>
      </c>
    </row>
    <row r="603" spans="2:8" ht="13.8" x14ac:dyDescent="0.25">
      <c r="B603" s="248">
        <v>2163</v>
      </c>
      <c r="C603" s="243" t="s">
        <v>2151</v>
      </c>
      <c r="D603" s="253"/>
      <c r="E603" s="243"/>
      <c r="F603" s="243"/>
      <c r="G603" s="243"/>
      <c r="H603" s="249">
        <v>10</v>
      </c>
    </row>
    <row r="604" spans="2:8" ht="13.8" x14ac:dyDescent="0.25">
      <c r="B604" s="248">
        <v>2164</v>
      </c>
      <c r="C604" s="243" t="s">
        <v>2152</v>
      </c>
      <c r="D604" s="253"/>
      <c r="E604" s="243"/>
      <c r="F604" s="243"/>
      <c r="G604" s="243"/>
      <c r="H604" s="249">
        <v>10</v>
      </c>
    </row>
    <row r="605" spans="2:8" ht="13.8" x14ac:dyDescent="0.25">
      <c r="B605" s="248">
        <v>2165</v>
      </c>
      <c r="C605" s="243" t="s">
        <v>2153</v>
      </c>
      <c r="D605" s="253"/>
      <c r="E605" s="243"/>
      <c r="F605" s="243"/>
      <c r="G605" s="243"/>
      <c r="H605" s="249">
        <v>13</v>
      </c>
    </row>
    <row r="606" spans="2:8" ht="13.8" x14ac:dyDescent="0.25">
      <c r="B606" s="248">
        <v>2166</v>
      </c>
      <c r="C606" s="243" t="s">
        <v>2154</v>
      </c>
      <c r="D606" s="253"/>
      <c r="E606" s="243"/>
      <c r="F606" s="243"/>
      <c r="G606" s="243"/>
      <c r="H606" s="249">
        <v>8</v>
      </c>
    </row>
    <row r="607" spans="2:8" ht="13.8" x14ac:dyDescent="0.25">
      <c r="B607" s="248">
        <v>2167</v>
      </c>
      <c r="C607" s="243" t="s">
        <v>2155</v>
      </c>
      <c r="D607" s="253"/>
      <c r="E607" s="243"/>
      <c r="F607" s="243"/>
      <c r="G607" s="243"/>
      <c r="H607" s="249">
        <v>8</v>
      </c>
    </row>
    <row r="608" spans="2:8" ht="14.4" thickBot="1" x14ac:dyDescent="0.3">
      <c r="B608" s="268">
        <v>2168</v>
      </c>
      <c r="C608" s="255" t="s">
        <v>2156</v>
      </c>
      <c r="D608" s="260"/>
      <c r="E608" s="255"/>
      <c r="F608" s="255"/>
      <c r="G608" s="255"/>
      <c r="H608" s="263">
        <v>12</v>
      </c>
    </row>
    <row r="609" spans="2:8" ht="14.4" thickBot="1" x14ac:dyDescent="0.3">
      <c r="B609" s="375" t="s">
        <v>2157</v>
      </c>
      <c r="C609" s="376"/>
      <c r="D609" s="376"/>
      <c r="E609" s="376"/>
      <c r="F609" s="376"/>
      <c r="G609" s="376"/>
      <c r="H609" s="377"/>
    </row>
    <row r="610" spans="2:8" ht="13.8" x14ac:dyDescent="0.25">
      <c r="B610" s="287">
        <v>2169</v>
      </c>
      <c r="C610" s="244" t="s">
        <v>2158</v>
      </c>
      <c r="D610" s="259"/>
      <c r="E610" s="244"/>
      <c r="F610" s="244"/>
      <c r="G610" s="244"/>
      <c r="H610" s="285">
        <v>12</v>
      </c>
    </row>
    <row r="611" spans="2:8" ht="13.8" x14ac:dyDescent="0.25">
      <c r="B611" s="248">
        <v>2170</v>
      </c>
      <c r="C611" s="243" t="s">
        <v>2159</v>
      </c>
      <c r="D611" s="253"/>
      <c r="E611" s="243"/>
      <c r="F611" s="243"/>
      <c r="G611" s="243"/>
      <c r="H611" s="249">
        <v>20</v>
      </c>
    </row>
    <row r="612" spans="2:8" ht="13.8" x14ac:dyDescent="0.25">
      <c r="B612" s="248">
        <v>2171</v>
      </c>
      <c r="C612" s="243" t="s">
        <v>2160</v>
      </c>
      <c r="D612" s="253"/>
      <c r="E612" s="243"/>
      <c r="F612" s="243"/>
      <c r="G612" s="243"/>
      <c r="H612" s="249">
        <v>20</v>
      </c>
    </row>
    <row r="613" spans="2:8" ht="13.8" x14ac:dyDescent="0.25">
      <c r="B613" s="248">
        <v>2172</v>
      </c>
      <c r="C613" s="243" t="s">
        <v>2161</v>
      </c>
      <c r="D613" s="253"/>
      <c r="E613" s="243"/>
      <c r="F613" s="243"/>
      <c r="G613" s="243"/>
      <c r="H613" s="249">
        <v>13</v>
      </c>
    </row>
    <row r="614" spans="2:8" ht="13.8" x14ac:dyDescent="0.25">
      <c r="B614" s="248">
        <v>2173</v>
      </c>
      <c r="C614" s="243" t="s">
        <v>2162</v>
      </c>
      <c r="D614" s="253"/>
      <c r="E614" s="243"/>
      <c r="F614" s="243"/>
      <c r="G614" s="243"/>
      <c r="H614" s="249">
        <v>10</v>
      </c>
    </row>
    <row r="615" spans="2:8" ht="13.8" x14ac:dyDescent="0.25">
      <c r="B615" s="248">
        <v>2174</v>
      </c>
      <c r="C615" s="243" t="s">
        <v>2163</v>
      </c>
      <c r="D615" s="253"/>
      <c r="E615" s="243"/>
      <c r="F615" s="243"/>
      <c r="G615" s="243"/>
      <c r="H615" s="249">
        <v>10</v>
      </c>
    </row>
    <row r="616" spans="2:8" ht="13.8" x14ac:dyDescent="0.25">
      <c r="B616" s="248">
        <v>2175</v>
      </c>
      <c r="C616" s="243" t="s">
        <v>2164</v>
      </c>
      <c r="D616" s="253"/>
      <c r="E616" s="243"/>
      <c r="F616" s="243"/>
      <c r="G616" s="243"/>
      <c r="H616" s="249">
        <v>10</v>
      </c>
    </row>
    <row r="617" spans="2:8" ht="13.8" x14ac:dyDescent="0.25">
      <c r="B617" s="248">
        <v>2176</v>
      </c>
      <c r="C617" s="243" t="s">
        <v>2165</v>
      </c>
      <c r="D617" s="253"/>
      <c r="E617" s="243"/>
      <c r="F617" s="243"/>
      <c r="G617" s="243"/>
      <c r="H617" s="249">
        <v>20</v>
      </c>
    </row>
    <row r="618" spans="2:8" ht="13.8" x14ac:dyDescent="0.25">
      <c r="B618" s="248">
        <v>2177</v>
      </c>
      <c r="C618" s="243" t="s">
        <v>2166</v>
      </c>
      <c r="D618" s="253"/>
      <c r="E618" s="243"/>
      <c r="F618" s="243"/>
      <c r="G618" s="243"/>
      <c r="H618" s="249">
        <v>8</v>
      </c>
    </row>
    <row r="619" spans="2:8" ht="13.8" x14ac:dyDescent="0.25">
      <c r="B619" s="248">
        <v>2178</v>
      </c>
      <c r="C619" s="243" t="s">
        <v>2167</v>
      </c>
      <c r="D619" s="253"/>
      <c r="E619" s="243"/>
      <c r="F619" s="243"/>
      <c r="G619" s="243"/>
      <c r="H619" s="249">
        <v>20</v>
      </c>
    </row>
    <row r="620" spans="2:8" ht="14.4" thickBot="1" x14ac:dyDescent="0.3">
      <c r="B620" s="268">
        <v>2179</v>
      </c>
      <c r="C620" s="255" t="s">
        <v>2168</v>
      </c>
      <c r="D620" s="260"/>
      <c r="E620" s="255"/>
      <c r="F620" s="255"/>
      <c r="G620" s="255"/>
      <c r="H620" s="263">
        <v>20</v>
      </c>
    </row>
    <row r="621" spans="2:8" ht="14.4" thickBot="1" x14ac:dyDescent="0.3">
      <c r="B621" s="375" t="s">
        <v>2169</v>
      </c>
      <c r="C621" s="376"/>
      <c r="D621" s="376"/>
      <c r="E621" s="376"/>
      <c r="F621" s="376"/>
      <c r="G621" s="376"/>
      <c r="H621" s="377"/>
    </row>
    <row r="622" spans="2:8" ht="13.8" x14ac:dyDescent="0.25">
      <c r="B622" s="287">
        <v>2180</v>
      </c>
      <c r="C622" s="244" t="s">
        <v>2170</v>
      </c>
      <c r="D622" s="259"/>
      <c r="E622" s="244"/>
      <c r="F622" s="244"/>
      <c r="G622" s="244"/>
      <c r="H622" s="285">
        <v>10</v>
      </c>
    </row>
    <row r="623" spans="2:8" ht="13.8" x14ac:dyDescent="0.25">
      <c r="B623" s="248">
        <v>2181</v>
      </c>
      <c r="C623" s="243" t="s">
        <v>2171</v>
      </c>
      <c r="D623" s="253"/>
      <c r="E623" s="243"/>
      <c r="F623" s="243"/>
      <c r="G623" s="243"/>
      <c r="H623" s="249">
        <v>12</v>
      </c>
    </row>
    <row r="624" spans="2:8" ht="13.8" x14ac:dyDescent="0.25">
      <c r="B624" s="248">
        <v>2182</v>
      </c>
      <c r="C624" s="243" t="s">
        <v>2172</v>
      </c>
      <c r="D624" s="253"/>
      <c r="E624" s="243"/>
      <c r="F624" s="243"/>
      <c r="G624" s="243"/>
      <c r="H624" s="249">
        <v>13</v>
      </c>
    </row>
    <row r="625" spans="2:8" ht="14.4" thickBot="1" x14ac:dyDescent="0.3">
      <c r="B625" s="250">
        <v>2183</v>
      </c>
      <c r="C625" s="251" t="s">
        <v>2173</v>
      </c>
      <c r="D625" s="265"/>
      <c r="E625" s="251"/>
      <c r="F625" s="251"/>
      <c r="G625" s="251"/>
      <c r="H625" s="252">
        <v>10</v>
      </c>
    </row>
    <row r="626" spans="2:8" ht="14.4" thickBot="1" x14ac:dyDescent="0.3">
      <c r="B626" s="375" t="s">
        <v>2174</v>
      </c>
      <c r="C626" s="376"/>
      <c r="D626" s="376"/>
      <c r="E626" s="376"/>
      <c r="F626" s="376"/>
      <c r="G626" s="376"/>
      <c r="H626" s="377"/>
    </row>
    <row r="627" spans="2:8" ht="13.8" x14ac:dyDescent="0.25">
      <c r="B627" s="248">
        <v>2184</v>
      </c>
      <c r="C627" s="243" t="s">
        <v>2175</v>
      </c>
      <c r="D627" s="243"/>
      <c r="E627" s="243"/>
      <c r="F627" s="243"/>
      <c r="G627" s="243"/>
      <c r="H627" s="249">
        <v>8</v>
      </c>
    </row>
    <row r="628" spans="2:8" ht="13.8" x14ac:dyDescent="0.25">
      <c r="B628" s="248">
        <v>2185</v>
      </c>
      <c r="C628" s="243" t="s">
        <v>2176</v>
      </c>
      <c r="D628" s="243"/>
      <c r="E628" s="243"/>
      <c r="F628" s="243"/>
      <c r="G628" s="243"/>
      <c r="H628" s="249">
        <v>10</v>
      </c>
    </row>
    <row r="629" spans="2:8" ht="13.8" x14ac:dyDescent="0.25">
      <c r="B629" s="248">
        <v>2186</v>
      </c>
      <c r="C629" s="243" t="s">
        <v>2177</v>
      </c>
      <c r="D629" s="243"/>
      <c r="E629" s="243"/>
      <c r="F629" s="243"/>
      <c r="G629" s="243"/>
      <c r="H629" s="249">
        <v>4</v>
      </c>
    </row>
    <row r="630" spans="2:8" ht="13.8" x14ac:dyDescent="0.25">
      <c r="B630" s="248">
        <v>2187</v>
      </c>
      <c r="C630" s="243" t="s">
        <v>2178</v>
      </c>
      <c r="D630" s="243"/>
      <c r="E630" s="243"/>
      <c r="F630" s="243"/>
      <c r="G630" s="243"/>
      <c r="H630" s="249">
        <v>4</v>
      </c>
    </row>
    <row r="631" spans="2:8" ht="13.8" x14ac:dyDescent="0.25">
      <c r="B631" s="248">
        <v>2188</v>
      </c>
      <c r="C631" s="243" t="s">
        <v>2179</v>
      </c>
      <c r="D631" s="243"/>
      <c r="E631" s="243"/>
      <c r="F631" s="243"/>
      <c r="G631" s="243"/>
      <c r="H631" s="249">
        <v>4</v>
      </c>
    </row>
    <row r="632" spans="2:8" ht="13.8" x14ac:dyDescent="0.25">
      <c r="B632" s="248">
        <v>2189</v>
      </c>
      <c r="C632" s="243" t="s">
        <v>2180</v>
      </c>
      <c r="D632" s="243"/>
      <c r="E632" s="243"/>
      <c r="F632" s="243"/>
      <c r="G632" s="243"/>
      <c r="H632" s="249">
        <v>8</v>
      </c>
    </row>
    <row r="633" spans="2:8" ht="13.8" x14ac:dyDescent="0.25">
      <c r="B633" s="248">
        <v>2190</v>
      </c>
      <c r="C633" s="243" t="s">
        <v>2181</v>
      </c>
      <c r="D633" s="243"/>
      <c r="E633" s="243"/>
      <c r="F633" s="243"/>
      <c r="G633" s="243"/>
      <c r="H633" s="249">
        <v>8</v>
      </c>
    </row>
    <row r="634" spans="2:8" ht="13.8" x14ac:dyDescent="0.25">
      <c r="B634" s="248">
        <v>2191</v>
      </c>
      <c r="C634" s="243" t="s">
        <v>2182</v>
      </c>
      <c r="D634" s="243"/>
      <c r="E634" s="243"/>
      <c r="F634" s="243"/>
      <c r="G634" s="243"/>
      <c r="H634" s="249">
        <v>8</v>
      </c>
    </row>
    <row r="635" spans="2:8" ht="13.8" x14ac:dyDescent="0.25">
      <c r="B635" s="248">
        <v>2192</v>
      </c>
      <c r="C635" s="243" t="s">
        <v>2183</v>
      </c>
      <c r="D635" s="243"/>
      <c r="E635" s="243"/>
      <c r="F635" s="243"/>
      <c r="G635" s="243"/>
      <c r="H635" s="249">
        <v>8</v>
      </c>
    </row>
    <row r="636" spans="2:8" ht="13.8" x14ac:dyDescent="0.25">
      <c r="B636" s="248">
        <v>2193</v>
      </c>
      <c r="C636" s="243" t="s">
        <v>2184</v>
      </c>
      <c r="D636" s="243"/>
      <c r="E636" s="243"/>
      <c r="F636" s="243"/>
      <c r="G636" s="243"/>
      <c r="H636" s="249">
        <v>8</v>
      </c>
    </row>
    <row r="637" spans="2:8" ht="13.8" x14ac:dyDescent="0.25">
      <c r="B637" s="248">
        <v>2194</v>
      </c>
      <c r="C637" s="243" t="s">
        <v>2185</v>
      </c>
      <c r="D637" s="243"/>
      <c r="E637" s="243"/>
      <c r="F637" s="243"/>
      <c r="G637" s="243"/>
      <c r="H637" s="249">
        <v>8</v>
      </c>
    </row>
    <row r="638" spans="2:8" ht="13.8" x14ac:dyDescent="0.25">
      <c r="B638" s="248">
        <v>2195</v>
      </c>
      <c r="C638" s="243" t="s">
        <v>2186</v>
      </c>
      <c r="D638" s="243"/>
      <c r="E638" s="243"/>
      <c r="F638" s="243"/>
      <c r="G638" s="243"/>
      <c r="H638" s="249">
        <v>4</v>
      </c>
    </row>
    <row r="639" spans="2:8" ht="13.8" x14ac:dyDescent="0.25">
      <c r="B639" s="248">
        <v>2196</v>
      </c>
      <c r="C639" s="243" t="s">
        <v>2187</v>
      </c>
      <c r="D639" s="243"/>
      <c r="E639" s="243"/>
      <c r="F639" s="243"/>
      <c r="G639" s="243"/>
      <c r="H639" s="249">
        <v>4</v>
      </c>
    </row>
    <row r="640" spans="2:8" ht="13.8" x14ac:dyDescent="0.25">
      <c r="B640" s="248">
        <v>2197</v>
      </c>
      <c r="C640" s="243" t="s">
        <v>2188</v>
      </c>
      <c r="D640" s="243"/>
      <c r="E640" s="243"/>
      <c r="F640" s="243"/>
      <c r="G640" s="243"/>
      <c r="H640" s="249">
        <v>4</v>
      </c>
    </row>
    <row r="641" spans="2:8" ht="13.8" x14ac:dyDescent="0.25">
      <c r="B641" s="248">
        <v>2198</v>
      </c>
      <c r="C641" s="243" t="s">
        <v>2189</v>
      </c>
      <c r="D641" s="243"/>
      <c r="E641" s="243"/>
      <c r="F641" s="243"/>
      <c r="G641" s="243"/>
      <c r="H641" s="249">
        <v>6</v>
      </c>
    </row>
    <row r="642" spans="2:8" ht="13.8" x14ac:dyDescent="0.25">
      <c r="B642" s="248">
        <v>2199</v>
      </c>
      <c r="C642" s="243" t="s">
        <v>2190</v>
      </c>
      <c r="D642" s="243"/>
      <c r="E642" s="243"/>
      <c r="F642" s="243"/>
      <c r="G642" s="243"/>
      <c r="H642" s="249">
        <v>10</v>
      </c>
    </row>
    <row r="643" spans="2:8" ht="13.8" x14ac:dyDescent="0.25">
      <c r="B643" s="248">
        <v>2200</v>
      </c>
      <c r="C643" s="243" t="s">
        <v>2191</v>
      </c>
      <c r="D643" s="243"/>
      <c r="E643" s="243"/>
      <c r="F643" s="243"/>
      <c r="G643" s="243"/>
      <c r="H643" s="249">
        <v>10</v>
      </c>
    </row>
    <row r="644" spans="2:8" ht="13.8" x14ac:dyDescent="0.25">
      <c r="B644" s="248">
        <v>2201</v>
      </c>
      <c r="C644" s="243" t="s">
        <v>2192</v>
      </c>
      <c r="D644" s="243"/>
      <c r="E644" s="243"/>
      <c r="F644" s="243"/>
      <c r="G644" s="243"/>
      <c r="H644" s="249">
        <v>12</v>
      </c>
    </row>
    <row r="645" spans="2:8" ht="13.8" x14ac:dyDescent="0.25">
      <c r="B645" s="248">
        <v>2202</v>
      </c>
      <c r="C645" s="243" t="s">
        <v>2193</v>
      </c>
      <c r="D645" s="243"/>
      <c r="E645" s="243"/>
      <c r="F645" s="243"/>
      <c r="G645" s="243"/>
      <c r="H645" s="249">
        <v>8</v>
      </c>
    </row>
    <row r="646" spans="2:8" ht="13.8" x14ac:dyDescent="0.25">
      <c r="B646" s="248">
        <v>2203</v>
      </c>
      <c r="C646" s="243" t="s">
        <v>2194</v>
      </c>
      <c r="D646" s="243"/>
      <c r="E646" s="243"/>
      <c r="F646" s="243"/>
      <c r="G646" s="243"/>
      <c r="H646" s="249">
        <v>8</v>
      </c>
    </row>
    <row r="647" spans="2:8" ht="13.8" x14ac:dyDescent="0.25">
      <c r="B647" s="248">
        <v>2204</v>
      </c>
      <c r="C647" s="243" t="s">
        <v>2195</v>
      </c>
      <c r="D647" s="243"/>
      <c r="E647" s="243"/>
      <c r="F647" s="243"/>
      <c r="G647" s="243"/>
      <c r="H647" s="249">
        <v>10</v>
      </c>
    </row>
    <row r="648" spans="2:8" ht="13.8" x14ac:dyDescent="0.25">
      <c r="B648" s="248">
        <v>2205</v>
      </c>
      <c r="C648" s="243" t="s">
        <v>2196</v>
      </c>
      <c r="D648" s="243"/>
      <c r="E648" s="243"/>
      <c r="F648" s="243"/>
      <c r="G648" s="243"/>
      <c r="H648" s="249">
        <v>10</v>
      </c>
    </row>
    <row r="649" spans="2:8" ht="13.8" x14ac:dyDescent="0.25">
      <c r="B649" s="248">
        <v>2206</v>
      </c>
      <c r="C649" s="243" t="s">
        <v>2197</v>
      </c>
      <c r="D649" s="243"/>
      <c r="E649" s="243"/>
      <c r="F649" s="243"/>
      <c r="G649" s="243"/>
      <c r="H649" s="249">
        <v>8</v>
      </c>
    </row>
    <row r="650" spans="2:8" ht="13.8" x14ac:dyDescent="0.25">
      <c r="B650" s="248">
        <v>2207</v>
      </c>
      <c r="C650" s="243" t="s">
        <v>2198</v>
      </c>
      <c r="D650" s="243"/>
      <c r="E650" s="243"/>
      <c r="F650" s="243"/>
      <c r="G650" s="243"/>
      <c r="H650" s="249">
        <v>8</v>
      </c>
    </row>
    <row r="651" spans="2:8" ht="13.8" x14ac:dyDescent="0.25">
      <c r="B651" s="248">
        <v>2208</v>
      </c>
      <c r="C651" s="243" t="s">
        <v>2199</v>
      </c>
      <c r="D651" s="243"/>
      <c r="E651" s="243"/>
      <c r="F651" s="243"/>
      <c r="G651" s="243"/>
      <c r="H651" s="249">
        <v>10</v>
      </c>
    </row>
    <row r="652" spans="2:8" ht="13.8" x14ac:dyDescent="0.25">
      <c r="B652" s="248">
        <v>2209</v>
      </c>
      <c r="C652" s="243" t="s">
        <v>2200</v>
      </c>
      <c r="D652" s="243"/>
      <c r="E652" s="243"/>
      <c r="F652" s="243"/>
      <c r="G652" s="243"/>
      <c r="H652" s="249">
        <v>10</v>
      </c>
    </row>
    <row r="653" spans="2:8" ht="13.8" x14ac:dyDescent="0.25">
      <c r="B653" s="248">
        <v>2210</v>
      </c>
      <c r="C653" s="243" t="s">
        <v>2201</v>
      </c>
      <c r="D653" s="243"/>
      <c r="E653" s="243"/>
      <c r="F653" s="243"/>
      <c r="G653" s="243"/>
      <c r="H653" s="249">
        <v>12</v>
      </c>
    </row>
    <row r="654" spans="2:8" ht="14.4" thickBot="1" x14ac:dyDescent="0.3">
      <c r="B654" s="250">
        <v>2211</v>
      </c>
      <c r="C654" s="251" t="s">
        <v>2202</v>
      </c>
      <c r="D654" s="251"/>
      <c r="E654" s="251"/>
      <c r="F654" s="251"/>
      <c r="G654" s="251"/>
      <c r="H654" s="252">
        <v>13</v>
      </c>
    </row>
    <row r="655" spans="2:8" ht="13.8" thickBot="1" x14ac:dyDescent="0.3"/>
    <row r="656" spans="2:8" ht="14.4" thickBot="1" x14ac:dyDescent="0.3">
      <c r="B656" s="375" t="s">
        <v>2203</v>
      </c>
      <c r="C656" s="376"/>
      <c r="D656" s="376"/>
      <c r="E656" s="376"/>
      <c r="F656" s="376"/>
      <c r="G656" s="376"/>
      <c r="H656" s="377"/>
    </row>
    <row r="657" spans="2:8" ht="14.4" thickBot="1" x14ac:dyDescent="0.3">
      <c r="B657" s="375" t="s">
        <v>2204</v>
      </c>
      <c r="C657" s="376"/>
      <c r="D657" s="376"/>
      <c r="E657" s="376"/>
      <c r="F657" s="376"/>
      <c r="G657" s="376"/>
      <c r="H657" s="377"/>
    </row>
    <row r="658" spans="2:8" ht="13.8" x14ac:dyDescent="0.25">
      <c r="B658" s="248">
        <v>3101</v>
      </c>
      <c r="C658" s="243" t="s">
        <v>2205</v>
      </c>
      <c r="D658" s="243"/>
      <c r="E658" s="243"/>
      <c r="F658" s="243"/>
      <c r="G658" s="243"/>
      <c r="H658" s="249">
        <v>8</v>
      </c>
    </row>
    <row r="659" spans="2:8" ht="13.8" x14ac:dyDescent="0.25">
      <c r="B659" s="248">
        <v>3102</v>
      </c>
      <c r="C659" s="243" t="s">
        <v>2206</v>
      </c>
      <c r="D659" s="243"/>
      <c r="E659" s="243"/>
      <c r="F659" s="243"/>
      <c r="G659" s="243"/>
      <c r="H659" s="249">
        <v>10</v>
      </c>
    </row>
    <row r="660" spans="2:8" ht="13.8" x14ac:dyDescent="0.25">
      <c r="B660" s="248">
        <v>3103</v>
      </c>
      <c r="C660" s="243" t="s">
        <v>2207</v>
      </c>
      <c r="D660" s="243"/>
      <c r="E660" s="243"/>
      <c r="F660" s="243"/>
      <c r="G660" s="243"/>
      <c r="H660" s="249">
        <v>8</v>
      </c>
    </row>
    <row r="661" spans="2:8" ht="13.8" x14ac:dyDescent="0.25">
      <c r="B661" s="248">
        <v>3104</v>
      </c>
      <c r="C661" s="243" t="s">
        <v>2208</v>
      </c>
      <c r="D661" s="243"/>
      <c r="E661" s="243"/>
      <c r="F661" s="243"/>
      <c r="G661" s="243"/>
      <c r="H661" s="249">
        <v>10</v>
      </c>
    </row>
    <row r="662" spans="2:8" ht="13.8" x14ac:dyDescent="0.25">
      <c r="B662" s="248">
        <v>3105</v>
      </c>
      <c r="C662" s="243" t="s">
        <v>2209</v>
      </c>
      <c r="D662" s="243"/>
      <c r="E662" s="243"/>
      <c r="F662" s="243"/>
      <c r="G662" s="243"/>
      <c r="H662" s="249">
        <v>8</v>
      </c>
    </row>
    <row r="663" spans="2:8" ht="13.8" x14ac:dyDescent="0.25">
      <c r="B663" s="248">
        <v>3106</v>
      </c>
      <c r="C663" s="243" t="s">
        <v>2210</v>
      </c>
      <c r="D663" s="243"/>
      <c r="E663" s="243"/>
      <c r="F663" s="243"/>
      <c r="G663" s="243"/>
      <c r="H663" s="249">
        <v>8</v>
      </c>
    </row>
    <row r="664" spans="2:8" ht="13.8" x14ac:dyDescent="0.25">
      <c r="B664" s="248">
        <v>3107</v>
      </c>
      <c r="C664" s="243" t="s">
        <v>2211</v>
      </c>
      <c r="D664" s="243"/>
      <c r="E664" s="243"/>
      <c r="F664" s="243"/>
      <c r="G664" s="243"/>
      <c r="H664" s="249">
        <v>13</v>
      </c>
    </row>
    <row r="665" spans="2:8" ht="13.8" x14ac:dyDescent="0.25">
      <c r="B665" s="248">
        <v>3108</v>
      </c>
      <c r="C665" s="243" t="s">
        <v>2212</v>
      </c>
      <c r="D665" s="243"/>
      <c r="E665" s="243"/>
      <c r="F665" s="243"/>
      <c r="G665" s="243"/>
      <c r="H665" s="249">
        <v>8</v>
      </c>
    </row>
    <row r="666" spans="2:8" ht="13.8" x14ac:dyDescent="0.25">
      <c r="B666" s="248">
        <v>3109</v>
      </c>
      <c r="C666" s="243" t="s">
        <v>2213</v>
      </c>
      <c r="D666" s="243"/>
      <c r="E666" s="243"/>
      <c r="F666" s="243"/>
      <c r="G666" s="243"/>
      <c r="H666" s="249">
        <v>10</v>
      </c>
    </row>
    <row r="667" spans="2:8" ht="14.4" thickBot="1" x14ac:dyDescent="0.3">
      <c r="B667" s="248">
        <v>3110</v>
      </c>
      <c r="C667" s="243" t="s">
        <v>2214</v>
      </c>
      <c r="D667" s="243"/>
      <c r="E667" s="243"/>
      <c r="F667" s="243"/>
      <c r="G667" s="243"/>
      <c r="H667" s="249">
        <v>10</v>
      </c>
    </row>
    <row r="668" spans="2:8" ht="14.4" thickBot="1" x14ac:dyDescent="0.3">
      <c r="B668" s="375" t="s">
        <v>2215</v>
      </c>
      <c r="C668" s="376"/>
      <c r="D668" s="376"/>
      <c r="E668" s="376"/>
      <c r="F668" s="376"/>
      <c r="G668" s="376"/>
      <c r="H668" s="377"/>
    </row>
    <row r="669" spans="2:8" ht="13.8" x14ac:dyDescent="0.25">
      <c r="B669" s="287">
        <v>3111</v>
      </c>
      <c r="C669" s="244" t="s">
        <v>2216</v>
      </c>
      <c r="D669" s="259"/>
      <c r="E669" s="244"/>
      <c r="F669" s="259"/>
      <c r="G669" s="259"/>
      <c r="H669" s="285">
        <v>8</v>
      </c>
    </row>
    <row r="670" spans="2:8" ht="13.8" x14ac:dyDescent="0.25">
      <c r="B670" s="248">
        <v>3112</v>
      </c>
      <c r="C670" s="243" t="s">
        <v>2217</v>
      </c>
      <c r="D670" s="253"/>
      <c r="E670" s="243"/>
      <c r="F670" s="253"/>
      <c r="G670" s="253"/>
      <c r="H670" s="249">
        <v>12</v>
      </c>
    </row>
    <row r="671" spans="2:8" ht="13.8" x14ac:dyDescent="0.25">
      <c r="B671" s="248">
        <v>3113</v>
      </c>
      <c r="C671" s="243" t="s">
        <v>2218</v>
      </c>
      <c r="D671" s="253"/>
      <c r="E671" s="243"/>
      <c r="F671" s="253"/>
      <c r="G671" s="253"/>
      <c r="H671" s="249">
        <v>13</v>
      </c>
    </row>
    <row r="672" spans="2:8" ht="13.8" x14ac:dyDescent="0.25">
      <c r="B672" s="248">
        <v>3114</v>
      </c>
      <c r="C672" s="243" t="s">
        <v>2219</v>
      </c>
      <c r="D672" s="253"/>
      <c r="E672" s="243"/>
      <c r="F672" s="253"/>
      <c r="G672" s="253"/>
      <c r="H672" s="249">
        <v>20</v>
      </c>
    </row>
    <row r="673" spans="2:8" ht="13.8" x14ac:dyDescent="0.25">
      <c r="B673" s="248">
        <v>3115</v>
      </c>
      <c r="C673" s="243" t="s">
        <v>2220</v>
      </c>
      <c r="D673" s="253"/>
      <c r="E673" s="243"/>
      <c r="F673" s="253"/>
      <c r="G673" s="253"/>
      <c r="H673" s="249">
        <v>20</v>
      </c>
    </row>
    <row r="674" spans="2:8" ht="13.8" x14ac:dyDescent="0.25">
      <c r="B674" s="248">
        <v>3116</v>
      </c>
      <c r="C674" s="243" t="s">
        <v>2221</v>
      </c>
      <c r="D674" s="253"/>
      <c r="E674" s="243"/>
      <c r="F674" s="253"/>
      <c r="G674" s="253"/>
      <c r="H674" s="249">
        <v>20</v>
      </c>
    </row>
    <row r="675" spans="2:8" ht="13.8" x14ac:dyDescent="0.25">
      <c r="B675" s="248">
        <v>3117</v>
      </c>
      <c r="C675" s="243" t="s">
        <v>2222</v>
      </c>
      <c r="D675" s="253"/>
      <c r="E675" s="243"/>
      <c r="F675" s="253"/>
      <c r="G675" s="253"/>
      <c r="H675" s="249">
        <v>20</v>
      </c>
    </row>
    <row r="676" spans="2:8" ht="13.8" x14ac:dyDescent="0.25">
      <c r="B676" s="248">
        <v>3118</v>
      </c>
      <c r="C676" s="243" t="s">
        <v>2223</v>
      </c>
      <c r="D676" s="253"/>
      <c r="E676" s="243"/>
      <c r="F676" s="253"/>
      <c r="G676" s="253"/>
      <c r="H676" s="249">
        <v>12</v>
      </c>
    </row>
    <row r="677" spans="2:8" ht="13.8" x14ac:dyDescent="0.25">
      <c r="B677" s="248">
        <v>3119</v>
      </c>
      <c r="C677" s="243" t="s">
        <v>2224</v>
      </c>
      <c r="D677" s="253"/>
      <c r="E677" s="243"/>
      <c r="F677" s="253"/>
      <c r="G677" s="253"/>
      <c r="H677" s="249">
        <v>20</v>
      </c>
    </row>
    <row r="678" spans="2:8" ht="13.8" x14ac:dyDescent="0.25">
      <c r="B678" s="248">
        <v>3120</v>
      </c>
      <c r="C678" s="243" t="s">
        <v>2225</v>
      </c>
      <c r="D678" s="253"/>
      <c r="E678" s="243"/>
      <c r="F678" s="253"/>
      <c r="G678" s="253"/>
      <c r="H678" s="249">
        <v>13</v>
      </c>
    </row>
    <row r="679" spans="2:8" ht="13.8" x14ac:dyDescent="0.25">
      <c r="B679" s="248">
        <v>3121</v>
      </c>
      <c r="C679" s="243" t="s">
        <v>2226</v>
      </c>
      <c r="D679" s="253"/>
      <c r="E679" s="243"/>
      <c r="F679" s="253"/>
      <c r="G679" s="253"/>
      <c r="H679" s="249">
        <v>10</v>
      </c>
    </row>
    <row r="680" spans="2:8" ht="13.8" x14ac:dyDescent="0.25">
      <c r="B680" s="248">
        <v>3122</v>
      </c>
      <c r="C680" s="243" t="s">
        <v>2227</v>
      </c>
      <c r="D680" s="253"/>
      <c r="E680" s="243"/>
      <c r="F680" s="253"/>
      <c r="G680" s="253"/>
      <c r="H680" s="249">
        <v>10</v>
      </c>
    </row>
    <row r="681" spans="2:8" ht="13.8" x14ac:dyDescent="0.25">
      <c r="B681" s="248">
        <v>3123</v>
      </c>
      <c r="C681" s="243" t="s">
        <v>2228</v>
      </c>
      <c r="D681" s="253"/>
      <c r="E681" s="243"/>
      <c r="F681" s="253"/>
      <c r="G681" s="253"/>
      <c r="H681" s="249">
        <v>13</v>
      </c>
    </row>
    <row r="682" spans="2:8" ht="13.8" x14ac:dyDescent="0.25">
      <c r="B682" s="248">
        <v>3124</v>
      </c>
      <c r="C682" s="243" t="s">
        <v>2229</v>
      </c>
      <c r="D682" s="253"/>
      <c r="E682" s="243"/>
      <c r="F682" s="253"/>
      <c r="G682" s="253"/>
      <c r="H682" s="249">
        <v>20</v>
      </c>
    </row>
    <row r="683" spans="2:8" ht="13.8" x14ac:dyDescent="0.25">
      <c r="B683" s="248">
        <v>3125</v>
      </c>
      <c r="C683" s="243" t="s">
        <v>2230</v>
      </c>
      <c r="D683" s="253"/>
      <c r="E683" s="243"/>
      <c r="F683" s="253"/>
      <c r="G683" s="253"/>
      <c r="H683" s="249">
        <v>20</v>
      </c>
    </row>
    <row r="684" spans="2:8" ht="14.4" thickBot="1" x14ac:dyDescent="0.3">
      <c r="B684" s="248">
        <v>3126</v>
      </c>
      <c r="C684" s="243" t="s">
        <v>2231</v>
      </c>
      <c r="D684" s="253"/>
      <c r="E684" s="243"/>
      <c r="F684" s="253"/>
      <c r="G684" s="253"/>
      <c r="H684" s="249">
        <v>12</v>
      </c>
    </row>
    <row r="685" spans="2:8" ht="14.4" thickBot="1" x14ac:dyDescent="0.3">
      <c r="B685" s="375" t="s">
        <v>2232</v>
      </c>
      <c r="C685" s="376"/>
      <c r="D685" s="376"/>
      <c r="E685" s="376"/>
      <c r="F685" s="376"/>
      <c r="G685" s="376"/>
      <c r="H685" s="377"/>
    </row>
    <row r="686" spans="2:8" ht="13.8" x14ac:dyDescent="0.25">
      <c r="B686" s="248">
        <v>3127</v>
      </c>
      <c r="C686" s="243" t="s">
        <v>2233</v>
      </c>
      <c r="D686" s="253"/>
      <c r="E686" s="243"/>
      <c r="F686" s="253"/>
      <c r="G686" s="253"/>
      <c r="H686" s="249">
        <v>20</v>
      </c>
    </row>
    <row r="687" spans="2:8" ht="13.8" x14ac:dyDescent="0.25">
      <c r="B687" s="248">
        <v>3128</v>
      </c>
      <c r="C687" s="243" t="s">
        <v>2234</v>
      </c>
      <c r="D687" s="253"/>
      <c r="E687" s="243"/>
      <c r="F687" s="253"/>
      <c r="G687" s="253"/>
      <c r="H687" s="249">
        <v>20</v>
      </c>
    </row>
    <row r="688" spans="2:8" ht="13.8" x14ac:dyDescent="0.25">
      <c r="B688" s="248">
        <v>3129</v>
      </c>
      <c r="C688" s="243" t="s">
        <v>2235</v>
      </c>
      <c r="D688" s="253"/>
      <c r="E688" s="243"/>
      <c r="F688" s="253"/>
      <c r="G688" s="253"/>
      <c r="H688" s="249">
        <v>20</v>
      </c>
    </row>
    <row r="689" spans="2:8" ht="13.8" x14ac:dyDescent="0.25">
      <c r="B689" s="248">
        <v>3130</v>
      </c>
      <c r="C689" s="243" t="s">
        <v>2236</v>
      </c>
      <c r="D689" s="253"/>
      <c r="E689" s="243"/>
      <c r="F689" s="253"/>
      <c r="G689" s="253"/>
      <c r="H689" s="249">
        <v>22</v>
      </c>
    </row>
    <row r="690" spans="2:8" ht="13.8" x14ac:dyDescent="0.25">
      <c r="B690" s="248">
        <v>3131</v>
      </c>
      <c r="C690" s="243" t="s">
        <v>2237</v>
      </c>
      <c r="D690" s="253"/>
      <c r="E690" s="243"/>
      <c r="F690" s="253"/>
      <c r="G690" s="253"/>
      <c r="H690" s="249">
        <v>13</v>
      </c>
    </row>
    <row r="691" spans="2:8" ht="13.8" x14ac:dyDescent="0.25">
      <c r="B691" s="248">
        <v>3132</v>
      </c>
      <c r="C691" s="243" t="s">
        <v>2238</v>
      </c>
      <c r="D691" s="253"/>
      <c r="E691" s="243"/>
      <c r="F691" s="253"/>
      <c r="G691" s="253"/>
      <c r="H691" s="249">
        <v>22</v>
      </c>
    </row>
    <row r="692" spans="2:8" ht="13.8" x14ac:dyDescent="0.25">
      <c r="B692" s="248">
        <v>3133</v>
      </c>
      <c r="C692" s="243" t="s">
        <v>2239</v>
      </c>
      <c r="D692" s="253"/>
      <c r="E692" s="243"/>
      <c r="F692" s="253"/>
      <c r="G692" s="253"/>
      <c r="H692" s="249">
        <v>22</v>
      </c>
    </row>
    <row r="693" spans="2:8" ht="14.4" thickBot="1" x14ac:dyDescent="0.3">
      <c r="B693" s="248">
        <v>3134</v>
      </c>
      <c r="C693" s="243" t="s">
        <v>2240</v>
      </c>
      <c r="D693" s="253"/>
      <c r="E693" s="243"/>
      <c r="F693" s="253"/>
      <c r="G693" s="253"/>
      <c r="H693" s="249">
        <v>22</v>
      </c>
    </row>
    <row r="694" spans="2:8" ht="14.4" thickBot="1" x14ac:dyDescent="0.3">
      <c r="B694" s="375" t="s">
        <v>2241</v>
      </c>
      <c r="C694" s="376"/>
      <c r="D694" s="376"/>
      <c r="E694" s="376"/>
      <c r="F694" s="376"/>
      <c r="G694" s="376"/>
      <c r="H694" s="377"/>
    </row>
    <row r="695" spans="2:8" ht="13.8" x14ac:dyDescent="0.25">
      <c r="B695" s="248">
        <v>3135</v>
      </c>
      <c r="C695" s="243" t="s">
        <v>2242</v>
      </c>
      <c r="D695" s="243"/>
      <c r="E695" s="243"/>
      <c r="F695" s="243"/>
      <c r="G695" s="243"/>
      <c r="H695" s="249">
        <v>8</v>
      </c>
    </row>
    <row r="696" spans="2:8" ht="13.8" x14ac:dyDescent="0.25">
      <c r="B696" s="248">
        <v>3136</v>
      </c>
      <c r="C696" s="243" t="s">
        <v>2243</v>
      </c>
      <c r="D696" s="243"/>
      <c r="E696" s="243"/>
      <c r="F696" s="243"/>
      <c r="G696" s="243"/>
      <c r="H696" s="249">
        <v>10</v>
      </c>
    </row>
    <row r="697" spans="2:8" ht="13.8" x14ac:dyDescent="0.25">
      <c r="B697" s="248">
        <v>3137</v>
      </c>
      <c r="C697" s="243" t="s">
        <v>2244</v>
      </c>
      <c r="D697" s="243"/>
      <c r="E697" s="243"/>
      <c r="F697" s="243"/>
      <c r="G697" s="243"/>
      <c r="H697" s="249">
        <v>10</v>
      </c>
    </row>
    <row r="698" spans="2:8" ht="13.8" x14ac:dyDescent="0.25">
      <c r="B698" s="248">
        <v>3138</v>
      </c>
      <c r="C698" s="243" t="s">
        <v>2245</v>
      </c>
      <c r="D698" s="243"/>
      <c r="E698" s="243"/>
      <c r="F698" s="243"/>
      <c r="G698" s="243"/>
      <c r="H698" s="249">
        <v>12</v>
      </c>
    </row>
    <row r="699" spans="2:8" ht="13.8" x14ac:dyDescent="0.25">
      <c r="B699" s="248">
        <v>3139</v>
      </c>
      <c r="C699" s="243" t="s">
        <v>2246</v>
      </c>
      <c r="D699" s="243"/>
      <c r="E699" s="243"/>
      <c r="F699" s="243"/>
      <c r="G699" s="243"/>
      <c r="H699" s="249">
        <v>8</v>
      </c>
    </row>
    <row r="700" spans="2:8" ht="13.8" x14ac:dyDescent="0.25">
      <c r="B700" s="248">
        <v>3140</v>
      </c>
      <c r="C700" s="243" t="s">
        <v>2247</v>
      </c>
      <c r="D700" s="243"/>
      <c r="E700" s="243"/>
      <c r="F700" s="243"/>
      <c r="G700" s="243"/>
      <c r="H700" s="249">
        <v>8</v>
      </c>
    </row>
    <row r="701" spans="2:8" ht="13.8" x14ac:dyDescent="0.25">
      <c r="B701" s="248">
        <v>3141</v>
      </c>
      <c r="C701" s="243" t="s">
        <v>2248</v>
      </c>
      <c r="D701" s="243"/>
      <c r="E701" s="243"/>
      <c r="F701" s="243"/>
      <c r="G701" s="243"/>
      <c r="H701" s="249">
        <v>8</v>
      </c>
    </row>
    <row r="702" spans="2:8" ht="13.8" x14ac:dyDescent="0.25">
      <c r="B702" s="248">
        <v>3142</v>
      </c>
      <c r="C702" s="243" t="s">
        <v>2249</v>
      </c>
      <c r="D702" s="243"/>
      <c r="E702" s="243"/>
      <c r="F702" s="243"/>
      <c r="G702" s="243"/>
      <c r="H702" s="249">
        <v>8</v>
      </c>
    </row>
    <row r="703" spans="2:8" ht="13.8" x14ac:dyDescent="0.25">
      <c r="B703" s="248">
        <v>3143</v>
      </c>
      <c r="C703" s="243" t="s">
        <v>2250</v>
      </c>
      <c r="D703" s="243"/>
      <c r="E703" s="243"/>
      <c r="F703" s="243"/>
      <c r="G703" s="243"/>
      <c r="H703" s="249">
        <v>8</v>
      </c>
    </row>
    <row r="704" spans="2:8" ht="13.8" x14ac:dyDescent="0.25">
      <c r="B704" s="248">
        <v>3144</v>
      </c>
      <c r="C704" s="243" t="s">
        <v>2251</v>
      </c>
      <c r="D704" s="243"/>
      <c r="E704" s="243"/>
      <c r="F704" s="243"/>
      <c r="G704" s="243"/>
      <c r="H704" s="249">
        <v>8</v>
      </c>
    </row>
    <row r="705" spans="2:8" ht="13.8" x14ac:dyDescent="0.25">
      <c r="B705" s="248">
        <v>3145</v>
      </c>
      <c r="C705" s="243" t="s">
        <v>2252</v>
      </c>
      <c r="D705" s="243"/>
      <c r="E705" s="243"/>
      <c r="F705" s="243"/>
      <c r="G705" s="243"/>
      <c r="H705" s="249">
        <v>12</v>
      </c>
    </row>
    <row r="706" spans="2:8" ht="13.8" x14ac:dyDescent="0.25">
      <c r="B706" s="248">
        <v>3146</v>
      </c>
      <c r="C706" s="243" t="s">
        <v>2253</v>
      </c>
      <c r="D706" s="243"/>
      <c r="E706" s="243"/>
      <c r="F706" s="243"/>
      <c r="G706" s="243"/>
      <c r="H706" s="249">
        <v>12</v>
      </c>
    </row>
    <row r="707" spans="2:8" ht="13.8" x14ac:dyDescent="0.25">
      <c r="B707" s="248">
        <v>3147</v>
      </c>
      <c r="C707" s="243" t="s">
        <v>2254</v>
      </c>
      <c r="D707" s="243"/>
      <c r="E707" s="243"/>
      <c r="F707" s="243"/>
      <c r="G707" s="243"/>
      <c r="H707" s="249">
        <v>12</v>
      </c>
    </row>
    <row r="708" spans="2:8" ht="13.8" x14ac:dyDescent="0.25">
      <c r="B708" s="248">
        <v>3148</v>
      </c>
      <c r="C708" s="243" t="s">
        <v>2255</v>
      </c>
      <c r="D708" s="243"/>
      <c r="E708" s="243"/>
      <c r="F708" s="243"/>
      <c r="G708" s="243"/>
      <c r="H708" s="249">
        <v>12</v>
      </c>
    </row>
    <row r="709" spans="2:8" ht="13.8" x14ac:dyDescent="0.25">
      <c r="B709" s="248">
        <v>3149</v>
      </c>
      <c r="C709" s="243" t="s">
        <v>2256</v>
      </c>
      <c r="D709" s="243"/>
      <c r="E709" s="243"/>
      <c r="F709" s="243"/>
      <c r="G709" s="243"/>
      <c r="H709" s="249">
        <v>10</v>
      </c>
    </row>
    <row r="710" spans="2:8" ht="13.8" x14ac:dyDescent="0.25">
      <c r="B710" s="248">
        <v>3150</v>
      </c>
      <c r="C710" s="243" t="s">
        <v>2257</v>
      </c>
      <c r="D710" s="243"/>
      <c r="E710" s="243"/>
      <c r="F710" s="243"/>
      <c r="G710" s="243"/>
      <c r="H710" s="249">
        <v>13</v>
      </c>
    </row>
    <row r="711" spans="2:8" ht="13.8" x14ac:dyDescent="0.25">
      <c r="B711" s="248">
        <v>3151</v>
      </c>
      <c r="C711" s="243" t="s">
        <v>2258</v>
      </c>
      <c r="D711" s="243"/>
      <c r="E711" s="243"/>
      <c r="F711" s="243"/>
      <c r="G711" s="243"/>
      <c r="H711" s="249">
        <v>12</v>
      </c>
    </row>
    <row r="712" spans="2:8" ht="13.8" x14ac:dyDescent="0.25">
      <c r="B712" s="248">
        <v>3152</v>
      </c>
      <c r="C712" s="243" t="s">
        <v>2259</v>
      </c>
      <c r="D712" s="243"/>
      <c r="E712" s="243"/>
      <c r="F712" s="243"/>
      <c r="G712" s="243"/>
      <c r="H712" s="249">
        <v>20</v>
      </c>
    </row>
    <row r="713" spans="2:8" ht="13.8" x14ac:dyDescent="0.25">
      <c r="B713" s="248">
        <v>3153</v>
      </c>
      <c r="C713" s="243" t="s">
        <v>2260</v>
      </c>
      <c r="D713" s="243"/>
      <c r="E713" s="243"/>
      <c r="F713" s="243"/>
      <c r="G713" s="243"/>
      <c r="H713" s="249">
        <v>13</v>
      </c>
    </row>
    <row r="714" spans="2:8" ht="13.8" x14ac:dyDescent="0.25">
      <c r="B714" s="248">
        <v>3154</v>
      </c>
      <c r="C714" s="243" t="s">
        <v>2261</v>
      </c>
      <c r="D714" s="243"/>
      <c r="E714" s="243"/>
      <c r="F714" s="243"/>
      <c r="G714" s="243"/>
      <c r="H714" s="249">
        <v>12</v>
      </c>
    </row>
    <row r="715" spans="2:8" ht="13.8" x14ac:dyDescent="0.25">
      <c r="B715" s="248">
        <v>3155</v>
      </c>
      <c r="C715" s="243" t="s">
        <v>2262</v>
      </c>
      <c r="D715" s="243"/>
      <c r="E715" s="243"/>
      <c r="F715" s="243"/>
      <c r="G715" s="243"/>
      <c r="H715" s="249">
        <v>13</v>
      </c>
    </row>
    <row r="716" spans="2:8" ht="13.8" x14ac:dyDescent="0.25">
      <c r="B716" s="248">
        <v>3156</v>
      </c>
      <c r="C716" s="243" t="s">
        <v>2263</v>
      </c>
      <c r="D716" s="243"/>
      <c r="E716" s="243"/>
      <c r="F716" s="243"/>
      <c r="G716" s="243"/>
      <c r="H716" s="249">
        <v>8</v>
      </c>
    </row>
    <row r="717" spans="2:8" ht="14.4" thickBot="1" x14ac:dyDescent="0.3">
      <c r="B717" s="248">
        <v>3157</v>
      </c>
      <c r="C717" s="243" t="s">
        <v>2264</v>
      </c>
      <c r="D717" s="243"/>
      <c r="E717" s="243"/>
      <c r="F717" s="243"/>
      <c r="G717" s="243"/>
      <c r="H717" s="249">
        <v>8</v>
      </c>
    </row>
    <row r="718" spans="2:8" ht="14.4" thickBot="1" x14ac:dyDescent="0.3">
      <c r="B718" s="375" t="s">
        <v>2265</v>
      </c>
      <c r="C718" s="376"/>
      <c r="D718" s="376"/>
      <c r="E718" s="376"/>
      <c r="F718" s="376"/>
      <c r="G718" s="376"/>
      <c r="H718" s="377"/>
    </row>
    <row r="719" spans="2:8" ht="13.8" x14ac:dyDescent="0.25">
      <c r="B719" s="248">
        <v>3158</v>
      </c>
      <c r="C719" s="243" t="s">
        <v>2266</v>
      </c>
      <c r="D719" s="243"/>
      <c r="E719" s="243"/>
      <c r="F719" s="243"/>
      <c r="G719" s="243"/>
      <c r="H719" s="249">
        <v>9</v>
      </c>
    </row>
    <row r="720" spans="2:8" ht="13.8" x14ac:dyDescent="0.25">
      <c r="B720" s="248">
        <v>3159</v>
      </c>
      <c r="C720" s="243" t="s">
        <v>2267</v>
      </c>
      <c r="D720" s="243"/>
      <c r="E720" s="243"/>
      <c r="F720" s="243"/>
      <c r="G720" s="243"/>
      <c r="H720" s="249">
        <v>9</v>
      </c>
    </row>
    <row r="721" spans="2:8" ht="13.8" x14ac:dyDescent="0.25">
      <c r="B721" s="248">
        <v>3160</v>
      </c>
      <c r="C721" s="243" t="s">
        <v>2268</v>
      </c>
      <c r="D721" s="243"/>
      <c r="E721" s="243"/>
      <c r="F721" s="243"/>
      <c r="G721" s="243"/>
      <c r="H721" s="249">
        <v>10</v>
      </c>
    </row>
    <row r="722" spans="2:8" ht="13.8" x14ac:dyDescent="0.25">
      <c r="B722" s="248">
        <v>3161</v>
      </c>
      <c r="C722" s="243" t="s">
        <v>2269</v>
      </c>
      <c r="D722" s="243"/>
      <c r="E722" s="243"/>
      <c r="F722" s="243"/>
      <c r="G722" s="243"/>
      <c r="H722" s="249">
        <v>8</v>
      </c>
    </row>
    <row r="723" spans="2:8" ht="13.8" x14ac:dyDescent="0.25">
      <c r="B723" s="248">
        <v>3162</v>
      </c>
      <c r="C723" s="243" t="s">
        <v>2270</v>
      </c>
      <c r="D723" s="243"/>
      <c r="E723" s="243"/>
      <c r="F723" s="243"/>
      <c r="G723" s="243"/>
      <c r="H723" s="249">
        <v>10</v>
      </c>
    </row>
    <row r="724" spans="2:8" ht="13.8" x14ac:dyDescent="0.25">
      <c r="B724" s="248">
        <v>3163</v>
      </c>
      <c r="C724" s="243" t="s">
        <v>2271</v>
      </c>
      <c r="D724" s="243"/>
      <c r="E724" s="243"/>
      <c r="F724" s="243"/>
      <c r="G724" s="243"/>
      <c r="H724" s="249">
        <v>12</v>
      </c>
    </row>
    <row r="725" spans="2:8" ht="13.8" x14ac:dyDescent="0.25">
      <c r="B725" s="248">
        <v>3164</v>
      </c>
      <c r="C725" s="243" t="s">
        <v>2272</v>
      </c>
      <c r="D725" s="243"/>
      <c r="E725" s="243"/>
      <c r="F725" s="243"/>
      <c r="G725" s="243"/>
      <c r="H725" s="249">
        <v>8</v>
      </c>
    </row>
    <row r="726" spans="2:8" ht="13.8" x14ac:dyDescent="0.25">
      <c r="B726" s="248">
        <v>3165</v>
      </c>
      <c r="C726" s="243" t="s">
        <v>2273</v>
      </c>
      <c r="D726" s="243"/>
      <c r="E726" s="243"/>
      <c r="F726" s="243"/>
      <c r="G726" s="243"/>
      <c r="H726" s="249">
        <v>10</v>
      </c>
    </row>
    <row r="727" spans="2:8" ht="14.4" thickBot="1" x14ac:dyDescent="0.3">
      <c r="B727" s="248">
        <v>3166</v>
      </c>
      <c r="C727" s="243" t="s">
        <v>2274</v>
      </c>
      <c r="D727" s="243"/>
      <c r="E727" s="243"/>
      <c r="F727" s="243"/>
      <c r="G727" s="243"/>
      <c r="H727" s="249">
        <v>20</v>
      </c>
    </row>
    <row r="728" spans="2:8" ht="14.4" thickBot="1" x14ac:dyDescent="0.3">
      <c r="B728" s="375" t="s">
        <v>2275</v>
      </c>
      <c r="C728" s="376"/>
      <c r="D728" s="376"/>
      <c r="E728" s="376"/>
      <c r="F728" s="376"/>
      <c r="G728" s="376"/>
      <c r="H728" s="377"/>
    </row>
    <row r="729" spans="2:8" ht="13.8" x14ac:dyDescent="0.25">
      <c r="B729" s="248">
        <v>3167</v>
      </c>
      <c r="C729" s="243" t="s">
        <v>2276</v>
      </c>
      <c r="D729" s="243"/>
      <c r="E729" s="243"/>
      <c r="F729" s="243"/>
      <c r="G729" s="243"/>
      <c r="H729" s="249">
        <v>8</v>
      </c>
    </row>
    <row r="730" spans="2:8" ht="13.8" x14ac:dyDescent="0.25">
      <c r="B730" s="248">
        <v>3168</v>
      </c>
      <c r="C730" s="243" t="s">
        <v>2277</v>
      </c>
      <c r="D730" s="243"/>
      <c r="E730" s="243"/>
      <c r="F730" s="243"/>
      <c r="G730" s="243"/>
      <c r="H730" s="249">
        <v>8</v>
      </c>
    </row>
    <row r="731" spans="2:8" ht="13.8" x14ac:dyDescent="0.25">
      <c r="B731" s="248">
        <v>3169</v>
      </c>
      <c r="C731" s="243" t="s">
        <v>2278</v>
      </c>
      <c r="D731" s="243"/>
      <c r="E731" s="243"/>
      <c r="F731" s="243"/>
      <c r="G731" s="243"/>
      <c r="H731" s="249">
        <v>10</v>
      </c>
    </row>
    <row r="732" spans="2:8" ht="13.8" x14ac:dyDescent="0.25">
      <c r="B732" s="248">
        <v>3170</v>
      </c>
      <c r="C732" s="243" t="s">
        <v>2279</v>
      </c>
      <c r="D732" s="243"/>
      <c r="E732" s="243"/>
      <c r="F732" s="243"/>
      <c r="G732" s="243"/>
      <c r="H732" s="249">
        <v>10</v>
      </c>
    </row>
    <row r="733" spans="2:8" ht="13.8" x14ac:dyDescent="0.25">
      <c r="B733" s="248">
        <v>3171</v>
      </c>
      <c r="C733" s="243" t="s">
        <v>2280</v>
      </c>
      <c r="D733" s="243"/>
      <c r="E733" s="243"/>
      <c r="F733" s="243"/>
      <c r="G733" s="243"/>
      <c r="H733" s="249">
        <v>8</v>
      </c>
    </row>
    <row r="734" spans="2:8" ht="13.8" x14ac:dyDescent="0.25">
      <c r="B734" s="248">
        <v>3172</v>
      </c>
      <c r="C734" s="243" t="s">
        <v>2281</v>
      </c>
      <c r="D734" s="243"/>
      <c r="E734" s="243"/>
      <c r="F734" s="243"/>
      <c r="G734" s="243"/>
      <c r="H734" s="249">
        <v>23</v>
      </c>
    </row>
    <row r="735" spans="2:8" ht="13.8" x14ac:dyDescent="0.25">
      <c r="B735" s="248">
        <v>3173</v>
      </c>
      <c r="C735" s="243" t="s">
        <v>2282</v>
      </c>
      <c r="D735" s="243"/>
      <c r="E735" s="243"/>
      <c r="F735" s="243"/>
      <c r="G735" s="243"/>
      <c r="H735" s="249">
        <v>20</v>
      </c>
    </row>
    <row r="736" spans="2:8" ht="13.8" x14ac:dyDescent="0.25">
      <c r="B736" s="248">
        <v>3174</v>
      </c>
      <c r="C736" s="243" t="s">
        <v>2283</v>
      </c>
      <c r="D736" s="243"/>
      <c r="E736" s="243"/>
      <c r="F736" s="243"/>
      <c r="G736" s="243"/>
      <c r="H736" s="249">
        <v>20</v>
      </c>
    </row>
    <row r="737" spans="2:8" ht="13.8" x14ac:dyDescent="0.25">
      <c r="B737" s="248">
        <v>3175</v>
      </c>
      <c r="C737" s="243" t="s">
        <v>2284</v>
      </c>
      <c r="D737" s="243"/>
      <c r="E737" s="243"/>
      <c r="F737" s="243"/>
      <c r="G737" s="243"/>
      <c r="H737" s="249">
        <v>8</v>
      </c>
    </row>
    <row r="738" spans="2:8" ht="13.8" x14ac:dyDescent="0.25">
      <c r="B738" s="248">
        <v>3176</v>
      </c>
      <c r="C738" s="243" t="s">
        <v>2285</v>
      </c>
      <c r="D738" s="243"/>
      <c r="E738" s="243"/>
      <c r="F738" s="243"/>
      <c r="G738" s="243"/>
      <c r="H738" s="249">
        <v>12</v>
      </c>
    </row>
    <row r="739" spans="2:8" ht="14.4" thickBot="1" x14ac:dyDescent="0.3">
      <c r="B739" s="250">
        <v>3177</v>
      </c>
      <c r="C739" s="251" t="s">
        <v>2286</v>
      </c>
      <c r="D739" s="251"/>
      <c r="E739" s="251"/>
      <c r="F739" s="251"/>
      <c r="G739" s="251"/>
      <c r="H739" s="252">
        <v>8</v>
      </c>
    </row>
    <row r="740" spans="2:8" ht="13.8" thickBot="1" x14ac:dyDescent="0.3"/>
    <row r="741" spans="2:8" ht="14.4" thickBot="1" x14ac:dyDescent="0.3">
      <c r="B741" s="375" t="s">
        <v>2287</v>
      </c>
      <c r="C741" s="376"/>
      <c r="D741" s="376"/>
      <c r="E741" s="376"/>
      <c r="F741" s="376"/>
      <c r="G741" s="376"/>
      <c r="H741" s="377"/>
    </row>
    <row r="742" spans="2:8" ht="14.4" thickBot="1" x14ac:dyDescent="0.3">
      <c r="B742" s="375" t="s">
        <v>2288</v>
      </c>
      <c r="C742" s="376"/>
      <c r="D742" s="376"/>
      <c r="E742" s="376"/>
      <c r="F742" s="376"/>
      <c r="G742" s="376"/>
      <c r="H742" s="377"/>
    </row>
    <row r="743" spans="2:8" ht="13.8" x14ac:dyDescent="0.25">
      <c r="B743" s="245">
        <v>4101</v>
      </c>
      <c r="C743" s="246" t="s">
        <v>2289</v>
      </c>
      <c r="D743" s="246"/>
      <c r="E743" s="246"/>
      <c r="F743" s="246"/>
      <c r="G743" s="246"/>
      <c r="H743" s="247">
        <v>12</v>
      </c>
    </row>
    <row r="744" spans="2:8" ht="13.8" x14ac:dyDescent="0.25">
      <c r="B744" s="248">
        <v>4102</v>
      </c>
      <c r="C744" s="243" t="s">
        <v>2290</v>
      </c>
      <c r="D744" s="243"/>
      <c r="E744" s="243"/>
      <c r="F744" s="243"/>
      <c r="G744" s="243"/>
      <c r="H744" s="249">
        <v>12</v>
      </c>
    </row>
    <row r="745" spans="2:8" ht="13.8" x14ac:dyDescent="0.25">
      <c r="B745" s="248">
        <v>4103</v>
      </c>
      <c r="C745" s="243" t="s">
        <v>2291</v>
      </c>
      <c r="D745" s="243"/>
      <c r="E745" s="243"/>
      <c r="F745" s="243"/>
      <c r="G745" s="243"/>
      <c r="H745" s="249">
        <v>8</v>
      </c>
    </row>
    <row r="746" spans="2:8" ht="13.8" x14ac:dyDescent="0.25">
      <c r="B746" s="248">
        <v>4104</v>
      </c>
      <c r="C746" s="243" t="s">
        <v>2292</v>
      </c>
      <c r="D746" s="243"/>
      <c r="E746" s="243"/>
      <c r="F746" s="243"/>
      <c r="G746" s="243"/>
      <c r="H746" s="249">
        <v>13</v>
      </c>
    </row>
    <row r="747" spans="2:8" ht="13.8" x14ac:dyDescent="0.25">
      <c r="B747" s="248">
        <v>4105</v>
      </c>
      <c r="C747" s="243" t="s">
        <v>2293</v>
      </c>
      <c r="D747" s="243"/>
      <c r="E747" s="243"/>
      <c r="F747" s="243"/>
      <c r="G747" s="243"/>
      <c r="H747" s="249">
        <v>8</v>
      </c>
    </row>
    <row r="748" spans="2:8" ht="13.8" x14ac:dyDescent="0.25">
      <c r="B748" s="248">
        <v>4106</v>
      </c>
      <c r="C748" s="243" t="s">
        <v>2294</v>
      </c>
      <c r="D748" s="243"/>
      <c r="E748" s="243"/>
      <c r="F748" s="243"/>
      <c r="G748" s="243"/>
      <c r="H748" s="249">
        <v>12</v>
      </c>
    </row>
    <row r="749" spans="2:8" ht="13.8" x14ac:dyDescent="0.25">
      <c r="B749" s="248">
        <v>4107</v>
      </c>
      <c r="C749" s="243" t="s">
        <v>2295</v>
      </c>
      <c r="D749" s="243"/>
      <c r="E749" s="243"/>
      <c r="F749" s="243"/>
      <c r="G749" s="243"/>
      <c r="H749" s="249">
        <v>20</v>
      </c>
    </row>
    <row r="750" spans="2:8" ht="13.8" x14ac:dyDescent="0.25">
      <c r="B750" s="248">
        <v>4108</v>
      </c>
      <c r="C750" s="243" t="s">
        <v>2296</v>
      </c>
      <c r="D750" s="243"/>
      <c r="E750" s="243"/>
      <c r="F750" s="243"/>
      <c r="G750" s="243"/>
      <c r="H750" s="249">
        <v>22</v>
      </c>
    </row>
    <row r="751" spans="2:8" ht="13.8" x14ac:dyDescent="0.25">
      <c r="B751" s="248">
        <v>4109</v>
      </c>
      <c r="C751" s="243" t="s">
        <v>2297</v>
      </c>
      <c r="D751" s="243"/>
      <c r="E751" s="243"/>
      <c r="F751" s="243"/>
      <c r="G751" s="243"/>
      <c r="H751" s="249">
        <v>12</v>
      </c>
    </row>
    <row r="752" spans="2:8" ht="13.8" x14ac:dyDescent="0.25">
      <c r="B752" s="248">
        <v>4110</v>
      </c>
      <c r="C752" s="243" t="s">
        <v>2298</v>
      </c>
      <c r="D752" s="243"/>
      <c r="E752" s="243"/>
      <c r="F752" s="243"/>
      <c r="G752" s="243"/>
      <c r="H752" s="249">
        <v>13</v>
      </c>
    </row>
    <row r="753" spans="2:8" ht="13.8" x14ac:dyDescent="0.25">
      <c r="B753" s="248">
        <v>4111</v>
      </c>
      <c r="C753" s="243" t="s">
        <v>2299</v>
      </c>
      <c r="D753" s="243"/>
      <c r="E753" s="243"/>
      <c r="F753" s="243"/>
      <c r="G753" s="243"/>
      <c r="H753" s="249">
        <v>8</v>
      </c>
    </row>
    <row r="754" spans="2:8" ht="13.8" x14ac:dyDescent="0.25">
      <c r="B754" s="248">
        <v>4112</v>
      </c>
      <c r="C754" s="243" t="s">
        <v>2300</v>
      </c>
      <c r="D754" s="243"/>
      <c r="E754" s="243"/>
      <c r="F754" s="243"/>
      <c r="G754" s="243"/>
      <c r="H754" s="249">
        <v>8</v>
      </c>
    </row>
    <row r="755" spans="2:8" ht="14.4" thickBot="1" x14ac:dyDescent="0.3">
      <c r="B755" s="248">
        <v>4113</v>
      </c>
      <c r="C755" s="243" t="s">
        <v>2301</v>
      </c>
      <c r="D755" s="243"/>
      <c r="E755" s="243"/>
      <c r="F755" s="243"/>
      <c r="G755" s="243"/>
      <c r="H755" s="249">
        <v>10</v>
      </c>
    </row>
    <row r="756" spans="2:8" ht="14.4" thickBot="1" x14ac:dyDescent="0.3">
      <c r="B756" s="375" t="s">
        <v>2302</v>
      </c>
      <c r="C756" s="376"/>
      <c r="D756" s="376"/>
      <c r="E756" s="376"/>
      <c r="F756" s="376"/>
      <c r="G756" s="376"/>
      <c r="H756" s="377"/>
    </row>
    <row r="757" spans="2:8" ht="14.4" thickBot="1" x14ac:dyDescent="0.3">
      <c r="B757" s="268">
        <v>4114</v>
      </c>
      <c r="C757" s="255" t="s">
        <v>2303</v>
      </c>
      <c r="D757" s="255"/>
      <c r="E757" s="255"/>
      <c r="F757" s="255"/>
      <c r="G757" s="255"/>
      <c r="H757" s="263">
        <v>12</v>
      </c>
    </row>
    <row r="758" spans="2:8" ht="13.8" x14ac:dyDescent="0.25">
      <c r="B758" s="245">
        <v>4115</v>
      </c>
      <c r="C758" s="246" t="s">
        <v>2304</v>
      </c>
      <c r="D758" s="246"/>
      <c r="E758" s="246"/>
      <c r="F758" s="246"/>
      <c r="G758" s="246"/>
      <c r="H758" s="247">
        <v>13</v>
      </c>
    </row>
    <row r="759" spans="2:8" ht="13.8" x14ac:dyDescent="0.25">
      <c r="B759" s="248">
        <v>4116</v>
      </c>
      <c r="C759" s="243" t="s">
        <v>2305</v>
      </c>
      <c r="D759" s="243"/>
      <c r="E759" s="243"/>
      <c r="F759" s="243"/>
      <c r="G759" s="243"/>
      <c r="H759" s="249">
        <v>20</v>
      </c>
    </row>
    <row r="760" spans="2:8" ht="13.8" x14ac:dyDescent="0.25">
      <c r="B760" s="248">
        <v>4117</v>
      </c>
      <c r="C760" s="243" t="s">
        <v>2306</v>
      </c>
      <c r="D760" s="243"/>
      <c r="E760" s="243"/>
      <c r="F760" s="243"/>
      <c r="G760" s="243"/>
      <c r="H760" s="249">
        <v>22</v>
      </c>
    </row>
    <row r="761" spans="2:8" ht="13.8" x14ac:dyDescent="0.25">
      <c r="B761" s="248">
        <v>4118</v>
      </c>
      <c r="C761" s="243" t="s">
        <v>2307</v>
      </c>
      <c r="D761" s="243"/>
      <c r="E761" s="243"/>
      <c r="F761" s="243"/>
      <c r="G761" s="243"/>
      <c r="H761" s="249">
        <v>8</v>
      </c>
    </row>
    <row r="762" spans="2:8" ht="13.8" x14ac:dyDescent="0.25">
      <c r="B762" s="248">
        <v>4119</v>
      </c>
      <c r="C762" s="243" t="s">
        <v>2308</v>
      </c>
      <c r="D762" s="243"/>
      <c r="E762" s="243"/>
      <c r="F762" s="243"/>
      <c r="G762" s="243"/>
      <c r="H762" s="249">
        <v>8</v>
      </c>
    </row>
    <row r="763" spans="2:8" ht="13.8" x14ac:dyDescent="0.25">
      <c r="B763" s="248">
        <v>4120</v>
      </c>
      <c r="C763" s="243" t="s">
        <v>2309</v>
      </c>
      <c r="D763" s="243"/>
      <c r="E763" s="243"/>
      <c r="F763" s="243"/>
      <c r="G763" s="243"/>
      <c r="H763" s="249">
        <v>8</v>
      </c>
    </row>
    <row r="764" spans="2:8" ht="14.4" thickBot="1" x14ac:dyDescent="0.3">
      <c r="B764" s="248">
        <v>4121</v>
      </c>
      <c r="C764" s="243" t="s">
        <v>2310</v>
      </c>
      <c r="D764" s="243"/>
      <c r="E764" s="243"/>
      <c r="F764" s="243"/>
      <c r="G764" s="243"/>
      <c r="H764" s="249">
        <v>10</v>
      </c>
    </row>
    <row r="765" spans="2:8" ht="14.4" thickBot="1" x14ac:dyDescent="0.3">
      <c r="B765" s="375" t="s">
        <v>2311</v>
      </c>
      <c r="C765" s="376"/>
      <c r="D765" s="376"/>
      <c r="E765" s="376"/>
      <c r="F765" s="376"/>
      <c r="G765" s="376"/>
      <c r="H765" s="377"/>
    </row>
    <row r="766" spans="2:8" ht="13.8" x14ac:dyDescent="0.25">
      <c r="B766" s="248">
        <v>4122</v>
      </c>
      <c r="C766" s="243" t="s">
        <v>2312</v>
      </c>
      <c r="D766" s="243"/>
      <c r="E766" s="243"/>
      <c r="F766" s="243"/>
      <c r="G766" s="243"/>
      <c r="H766" s="249">
        <v>8</v>
      </c>
    </row>
    <row r="767" spans="2:8" ht="13.8" x14ac:dyDescent="0.25">
      <c r="B767" s="248">
        <v>4123</v>
      </c>
      <c r="C767" s="243" t="s">
        <v>2313</v>
      </c>
      <c r="D767" s="243"/>
      <c r="E767" s="243"/>
      <c r="F767" s="243"/>
      <c r="G767" s="243"/>
      <c r="H767" s="249">
        <v>8</v>
      </c>
    </row>
    <row r="768" spans="2:8" ht="13.8" x14ac:dyDescent="0.25">
      <c r="B768" s="248">
        <v>4124</v>
      </c>
      <c r="C768" s="243" t="s">
        <v>2314</v>
      </c>
      <c r="D768" s="243"/>
      <c r="E768" s="243"/>
      <c r="F768" s="243"/>
      <c r="G768" s="243"/>
      <c r="H768" s="249">
        <v>12</v>
      </c>
    </row>
    <row r="769" spans="2:8" ht="13.8" x14ac:dyDescent="0.25">
      <c r="B769" s="248">
        <v>4125</v>
      </c>
      <c r="C769" s="243" t="s">
        <v>2315</v>
      </c>
      <c r="D769" s="243"/>
      <c r="E769" s="243"/>
      <c r="F769" s="243"/>
      <c r="G769" s="243"/>
      <c r="H769" s="249">
        <v>8</v>
      </c>
    </row>
    <row r="770" spans="2:8" ht="13.8" x14ac:dyDescent="0.25">
      <c r="B770" s="248">
        <v>4126</v>
      </c>
      <c r="C770" s="243" t="s">
        <v>2316</v>
      </c>
      <c r="D770" s="243"/>
      <c r="E770" s="243"/>
      <c r="F770" s="243"/>
      <c r="G770" s="243"/>
      <c r="H770" s="249">
        <v>8</v>
      </c>
    </row>
    <row r="771" spans="2:8" ht="13.8" x14ac:dyDescent="0.25">
      <c r="B771" s="248">
        <v>4127</v>
      </c>
      <c r="C771" s="243" t="s">
        <v>2317</v>
      </c>
      <c r="D771" s="243"/>
      <c r="E771" s="243"/>
      <c r="F771" s="243"/>
      <c r="G771" s="243"/>
      <c r="H771" s="249">
        <v>10</v>
      </c>
    </row>
    <row r="772" spans="2:8" ht="14.4" thickBot="1" x14ac:dyDescent="0.3">
      <c r="B772" s="250">
        <v>4128</v>
      </c>
      <c r="C772" s="251" t="s">
        <v>2318</v>
      </c>
      <c r="D772" s="251"/>
      <c r="E772" s="251"/>
      <c r="F772" s="251"/>
      <c r="G772" s="251"/>
      <c r="H772" s="252">
        <v>10</v>
      </c>
    </row>
    <row r="773" spans="2:8" ht="14.4" thickBot="1" x14ac:dyDescent="0.3">
      <c r="B773" s="269"/>
      <c r="C773" s="1"/>
      <c r="D773" s="1"/>
      <c r="E773" s="1"/>
      <c r="F773" s="1"/>
      <c r="G773" s="1"/>
      <c r="H773" s="264"/>
    </row>
    <row r="774" spans="2:8" ht="14.4" thickBot="1" x14ac:dyDescent="0.3">
      <c r="B774" s="375" t="s">
        <v>2319</v>
      </c>
      <c r="C774" s="376"/>
      <c r="D774" s="376"/>
      <c r="E774" s="376"/>
      <c r="F774" s="376"/>
      <c r="G774" s="376"/>
      <c r="H774" s="377"/>
    </row>
    <row r="775" spans="2:8" ht="14.4" thickBot="1" x14ac:dyDescent="0.3">
      <c r="B775" s="375" t="s">
        <v>2320</v>
      </c>
      <c r="C775" s="376"/>
      <c r="D775" s="376"/>
      <c r="E775" s="376"/>
      <c r="F775" s="376"/>
      <c r="G775" s="376"/>
      <c r="H775" s="377"/>
    </row>
    <row r="776" spans="2:8" ht="13.8" x14ac:dyDescent="0.25">
      <c r="B776" s="248">
        <v>5101</v>
      </c>
      <c r="C776" s="243" t="s">
        <v>2321</v>
      </c>
      <c r="D776" s="243"/>
      <c r="E776" s="243"/>
      <c r="F776" s="243"/>
      <c r="G776" s="243"/>
      <c r="H776" s="249">
        <v>23</v>
      </c>
    </row>
    <row r="777" spans="2:8" ht="13.8" x14ac:dyDescent="0.25">
      <c r="B777" s="248">
        <v>5102</v>
      </c>
      <c r="C777" s="243" t="s">
        <v>2322</v>
      </c>
      <c r="D777" s="243"/>
      <c r="E777" s="243"/>
      <c r="F777" s="243"/>
      <c r="G777" s="243"/>
      <c r="H777" s="249">
        <v>23</v>
      </c>
    </row>
    <row r="778" spans="2:8" ht="13.8" x14ac:dyDescent="0.25">
      <c r="B778" s="248">
        <v>5103</v>
      </c>
      <c r="C778" s="243" t="s">
        <v>2323</v>
      </c>
      <c r="D778" s="243"/>
      <c r="E778" s="243"/>
      <c r="F778" s="243"/>
      <c r="G778" s="243"/>
      <c r="H778" s="249">
        <v>23</v>
      </c>
    </row>
    <row r="779" spans="2:8" ht="13.8" x14ac:dyDescent="0.25">
      <c r="B779" s="248">
        <v>5104</v>
      </c>
      <c r="C779" s="243" t="s">
        <v>2324</v>
      </c>
      <c r="D779" s="243"/>
      <c r="E779" s="243"/>
      <c r="F779" s="243"/>
      <c r="G779" s="243"/>
      <c r="H779" s="249">
        <v>23</v>
      </c>
    </row>
    <row r="780" spans="2:8" ht="13.8" x14ac:dyDescent="0.25">
      <c r="B780" s="248">
        <v>5105</v>
      </c>
      <c r="C780" s="243" t="s">
        <v>2325</v>
      </c>
      <c r="D780" s="243"/>
      <c r="E780" s="243"/>
      <c r="F780" s="243"/>
      <c r="G780" s="243"/>
      <c r="H780" s="249">
        <v>22</v>
      </c>
    </row>
    <row r="781" spans="2:8" ht="13.8" x14ac:dyDescent="0.25">
      <c r="B781" s="248">
        <v>5106</v>
      </c>
      <c r="C781" s="243" t="s">
        <v>2326</v>
      </c>
      <c r="D781" s="243"/>
      <c r="E781" s="243"/>
      <c r="F781" s="243"/>
      <c r="G781" s="243"/>
      <c r="H781" s="249">
        <v>22</v>
      </c>
    </row>
    <row r="782" spans="2:8" ht="13.8" x14ac:dyDescent="0.25">
      <c r="B782" s="248">
        <v>5107</v>
      </c>
      <c r="C782" s="243" t="s">
        <v>2327</v>
      </c>
      <c r="D782" s="243"/>
      <c r="E782" s="243"/>
      <c r="F782" s="243"/>
      <c r="G782" s="243"/>
      <c r="H782" s="249">
        <v>23</v>
      </c>
    </row>
    <row r="783" spans="2:8" ht="13.8" x14ac:dyDescent="0.25">
      <c r="B783" s="248">
        <v>5108</v>
      </c>
      <c r="C783" s="243" t="s">
        <v>2328</v>
      </c>
      <c r="D783" s="243"/>
      <c r="E783" s="243"/>
      <c r="F783" s="243"/>
      <c r="G783" s="243"/>
      <c r="H783" s="249">
        <v>23</v>
      </c>
    </row>
    <row r="784" spans="2:8" ht="13.8" x14ac:dyDescent="0.25">
      <c r="B784" s="248">
        <v>5109</v>
      </c>
      <c r="C784" s="243" t="s">
        <v>2329</v>
      </c>
      <c r="D784" s="243"/>
      <c r="E784" s="243"/>
      <c r="F784" s="243"/>
      <c r="G784" s="243"/>
      <c r="H784" s="249">
        <v>23</v>
      </c>
    </row>
    <row r="785" spans="2:8" ht="13.8" x14ac:dyDescent="0.25">
      <c r="B785" s="248">
        <v>5110</v>
      </c>
      <c r="C785" s="243" t="s">
        <v>2330</v>
      </c>
      <c r="D785" s="243"/>
      <c r="E785" s="243"/>
      <c r="F785" s="243"/>
      <c r="G785" s="243"/>
      <c r="H785" s="249">
        <v>23</v>
      </c>
    </row>
    <row r="786" spans="2:8" ht="13.8" x14ac:dyDescent="0.25">
      <c r="B786" s="248">
        <v>5111</v>
      </c>
      <c r="C786" s="243" t="s">
        <v>2331</v>
      </c>
      <c r="D786" s="243"/>
      <c r="E786" s="243"/>
      <c r="F786" s="243"/>
      <c r="G786" s="243"/>
      <c r="H786" s="249">
        <v>23</v>
      </c>
    </row>
    <row r="787" spans="2:8" ht="13.8" x14ac:dyDescent="0.25">
      <c r="B787" s="248">
        <v>5112</v>
      </c>
      <c r="C787" s="243" t="s">
        <v>2332</v>
      </c>
      <c r="D787" s="243"/>
      <c r="E787" s="243"/>
      <c r="F787" s="243"/>
      <c r="G787" s="243"/>
      <c r="H787" s="249">
        <v>23</v>
      </c>
    </row>
    <row r="788" spans="2:8" ht="13.8" x14ac:dyDescent="0.25">
      <c r="B788" s="248">
        <v>5113</v>
      </c>
      <c r="C788" s="243" t="s">
        <v>2333</v>
      </c>
      <c r="D788" s="243"/>
      <c r="E788" s="243"/>
      <c r="F788" s="243"/>
      <c r="G788" s="243"/>
      <c r="H788" s="249">
        <v>23</v>
      </c>
    </row>
    <row r="789" spans="2:8" ht="13.8" x14ac:dyDescent="0.25">
      <c r="B789" s="248">
        <v>5114</v>
      </c>
      <c r="C789" s="243" t="s">
        <v>2334</v>
      </c>
      <c r="D789" s="243"/>
      <c r="E789" s="243"/>
      <c r="F789" s="243"/>
      <c r="G789" s="243"/>
      <c r="H789" s="249">
        <v>23</v>
      </c>
    </row>
    <row r="790" spans="2:8" ht="13.8" x14ac:dyDescent="0.25">
      <c r="B790" s="248">
        <v>5115</v>
      </c>
      <c r="C790" s="243" t="s">
        <v>2335</v>
      </c>
      <c r="D790" s="243"/>
      <c r="E790" s="243"/>
      <c r="F790" s="243"/>
      <c r="G790" s="243"/>
      <c r="H790" s="249">
        <v>23</v>
      </c>
    </row>
    <row r="791" spans="2:8" ht="13.8" x14ac:dyDescent="0.25">
      <c r="B791" s="248">
        <v>5116</v>
      </c>
      <c r="C791" s="243" t="s">
        <v>2336</v>
      </c>
      <c r="D791" s="243"/>
      <c r="E791" s="243"/>
      <c r="F791" s="243"/>
      <c r="G791" s="243"/>
      <c r="H791" s="249">
        <v>23</v>
      </c>
    </row>
    <row r="792" spans="2:8" ht="13.8" x14ac:dyDescent="0.25">
      <c r="B792" s="248">
        <v>5117</v>
      </c>
      <c r="C792" s="243" t="s">
        <v>2337</v>
      </c>
      <c r="D792" s="243"/>
      <c r="E792" s="243"/>
      <c r="F792" s="243"/>
      <c r="G792" s="243"/>
      <c r="H792" s="249">
        <v>22</v>
      </c>
    </row>
    <row r="793" spans="2:8" ht="13.8" x14ac:dyDescent="0.25">
      <c r="B793" s="248">
        <v>5118</v>
      </c>
      <c r="C793" s="243" t="s">
        <v>2338</v>
      </c>
      <c r="D793" s="243"/>
      <c r="E793" s="243"/>
      <c r="F793" s="243"/>
      <c r="G793" s="243"/>
      <c r="H793" s="249">
        <v>13</v>
      </c>
    </row>
    <row r="794" spans="2:8" ht="13.8" x14ac:dyDescent="0.25">
      <c r="B794" s="248">
        <v>5119</v>
      </c>
      <c r="C794" s="243" t="s">
        <v>2339</v>
      </c>
      <c r="D794" s="243"/>
      <c r="E794" s="243"/>
      <c r="F794" s="243"/>
      <c r="G794" s="243"/>
      <c r="H794" s="249">
        <v>8</v>
      </c>
    </row>
    <row r="795" spans="2:8" ht="13.8" x14ac:dyDescent="0.25">
      <c r="B795" s="248">
        <v>5120</v>
      </c>
      <c r="C795" s="243" t="s">
        <v>2340</v>
      </c>
      <c r="D795" s="243"/>
      <c r="E795" s="243"/>
      <c r="F795" s="243"/>
      <c r="G795" s="243"/>
      <c r="H795" s="249">
        <v>23</v>
      </c>
    </row>
    <row r="796" spans="2:8" ht="13.8" x14ac:dyDescent="0.25">
      <c r="B796" s="248">
        <v>5121</v>
      </c>
      <c r="C796" s="243" t="s">
        <v>2341</v>
      </c>
      <c r="D796" s="243"/>
      <c r="E796" s="243"/>
      <c r="F796" s="243"/>
      <c r="G796" s="243"/>
      <c r="H796" s="249">
        <v>23</v>
      </c>
    </row>
    <row r="797" spans="2:8" ht="14.4" thickBot="1" x14ac:dyDescent="0.3">
      <c r="B797" s="248">
        <v>5122</v>
      </c>
      <c r="C797" s="243" t="s">
        <v>2342</v>
      </c>
      <c r="D797" s="243"/>
      <c r="E797" s="243"/>
      <c r="F797" s="243"/>
      <c r="G797" s="243"/>
      <c r="H797" s="249">
        <v>23</v>
      </c>
    </row>
    <row r="798" spans="2:8" ht="14.4" thickBot="1" x14ac:dyDescent="0.3">
      <c r="B798" s="375" t="s">
        <v>2343</v>
      </c>
      <c r="C798" s="376"/>
      <c r="D798" s="376"/>
      <c r="E798" s="376"/>
      <c r="F798" s="376"/>
      <c r="G798" s="376"/>
      <c r="H798" s="377"/>
    </row>
    <row r="799" spans="2:8" ht="13.8" x14ac:dyDescent="0.25">
      <c r="B799" s="248">
        <v>5123</v>
      </c>
      <c r="C799" s="243" t="s">
        <v>2344</v>
      </c>
      <c r="D799" s="243"/>
      <c r="E799" s="243"/>
      <c r="F799" s="243"/>
      <c r="G799" s="243"/>
      <c r="H799" s="249">
        <v>20</v>
      </c>
    </row>
    <row r="800" spans="2:8" ht="13.8" x14ac:dyDescent="0.25">
      <c r="B800" s="248">
        <v>5124</v>
      </c>
      <c r="C800" s="243" t="s">
        <v>2345</v>
      </c>
      <c r="D800" s="243"/>
      <c r="E800" s="243"/>
      <c r="F800" s="243"/>
      <c r="G800" s="243"/>
      <c r="H800" s="249">
        <v>20</v>
      </c>
    </row>
    <row r="801" spans="2:8" ht="13.8" x14ac:dyDescent="0.25">
      <c r="B801" s="248">
        <v>5125</v>
      </c>
      <c r="C801" s="243" t="s">
        <v>2346</v>
      </c>
      <c r="D801" s="243"/>
      <c r="E801" s="243"/>
      <c r="F801" s="243"/>
      <c r="G801" s="243"/>
      <c r="H801" s="249">
        <v>20</v>
      </c>
    </row>
    <row r="802" spans="2:8" ht="13.8" x14ac:dyDescent="0.25">
      <c r="B802" s="248">
        <v>5126</v>
      </c>
      <c r="C802" s="243" t="s">
        <v>2347</v>
      </c>
      <c r="D802" s="243"/>
      <c r="E802" s="243"/>
      <c r="F802" s="243"/>
      <c r="G802" s="243"/>
      <c r="H802" s="249">
        <v>13</v>
      </c>
    </row>
    <row r="803" spans="2:8" ht="13.8" x14ac:dyDescent="0.25">
      <c r="B803" s="248">
        <v>5127</v>
      </c>
      <c r="C803" s="243" t="s">
        <v>2348</v>
      </c>
      <c r="D803" s="243"/>
      <c r="E803" s="243"/>
      <c r="F803" s="243"/>
      <c r="G803" s="243"/>
      <c r="H803" s="249">
        <v>13</v>
      </c>
    </row>
    <row r="804" spans="2:8" ht="13.8" x14ac:dyDescent="0.25">
      <c r="B804" s="248">
        <v>5128</v>
      </c>
      <c r="C804" s="243" t="s">
        <v>2349</v>
      </c>
      <c r="D804" s="243"/>
      <c r="E804" s="243"/>
      <c r="F804" s="243"/>
      <c r="G804" s="243"/>
      <c r="H804" s="249">
        <v>13</v>
      </c>
    </row>
    <row r="805" spans="2:8" ht="13.8" x14ac:dyDescent="0.25">
      <c r="B805" s="248">
        <v>5129</v>
      </c>
      <c r="C805" s="243" t="s">
        <v>2350</v>
      </c>
      <c r="D805" s="243"/>
      <c r="E805" s="243"/>
      <c r="F805" s="243"/>
      <c r="G805" s="243"/>
      <c r="H805" s="249">
        <v>13</v>
      </c>
    </row>
    <row r="806" spans="2:8" ht="13.8" x14ac:dyDescent="0.25">
      <c r="B806" s="248">
        <v>5130</v>
      </c>
      <c r="C806" s="243" t="s">
        <v>2351</v>
      </c>
      <c r="D806" s="243"/>
      <c r="E806" s="243"/>
      <c r="F806" s="243"/>
      <c r="G806" s="243"/>
      <c r="H806" s="249">
        <v>20</v>
      </c>
    </row>
    <row r="807" spans="2:8" ht="13.8" x14ac:dyDescent="0.25">
      <c r="B807" s="248">
        <v>5131</v>
      </c>
      <c r="C807" s="243" t="s">
        <v>2352</v>
      </c>
      <c r="D807" s="243"/>
      <c r="E807" s="243"/>
      <c r="F807" s="243"/>
      <c r="G807" s="243"/>
      <c r="H807" s="249">
        <v>20</v>
      </c>
    </row>
    <row r="808" spans="2:8" ht="13.8" x14ac:dyDescent="0.25">
      <c r="B808" s="248">
        <v>5132</v>
      </c>
      <c r="C808" s="243" t="s">
        <v>2353</v>
      </c>
      <c r="D808" s="243"/>
      <c r="E808" s="243"/>
      <c r="F808" s="243"/>
      <c r="G808" s="243"/>
      <c r="H808" s="249">
        <v>13</v>
      </c>
    </row>
    <row r="809" spans="2:8" ht="13.8" x14ac:dyDescent="0.25">
      <c r="B809" s="248">
        <v>5133</v>
      </c>
      <c r="C809" s="243" t="s">
        <v>2354</v>
      </c>
      <c r="D809" s="243"/>
      <c r="E809" s="243"/>
      <c r="F809" s="243"/>
      <c r="G809" s="243"/>
      <c r="H809" s="249">
        <v>13</v>
      </c>
    </row>
    <row r="810" spans="2:8" ht="13.8" x14ac:dyDescent="0.25">
      <c r="B810" s="248">
        <v>5134</v>
      </c>
      <c r="C810" s="243" t="s">
        <v>2355</v>
      </c>
      <c r="D810" s="243"/>
      <c r="E810" s="243"/>
      <c r="F810" s="243"/>
      <c r="G810" s="243"/>
      <c r="H810" s="249">
        <v>22</v>
      </c>
    </row>
    <row r="811" spans="2:8" ht="13.8" x14ac:dyDescent="0.25">
      <c r="B811" s="248">
        <v>5135</v>
      </c>
      <c r="C811" s="243" t="s">
        <v>2356</v>
      </c>
      <c r="D811" s="243"/>
      <c r="E811" s="243"/>
      <c r="F811" s="243"/>
      <c r="G811" s="243"/>
      <c r="H811" s="249">
        <v>13</v>
      </c>
    </row>
    <row r="812" spans="2:8" ht="13.8" x14ac:dyDescent="0.25">
      <c r="B812" s="248">
        <v>5136</v>
      </c>
      <c r="C812" s="243" t="s">
        <v>2357</v>
      </c>
      <c r="D812" s="243"/>
      <c r="E812" s="243"/>
      <c r="F812" s="243"/>
      <c r="G812" s="243"/>
      <c r="H812" s="249">
        <v>22</v>
      </c>
    </row>
    <row r="813" spans="2:8" ht="13.8" x14ac:dyDescent="0.25">
      <c r="B813" s="248">
        <v>5137</v>
      </c>
      <c r="C813" s="243" t="s">
        <v>2358</v>
      </c>
      <c r="D813" s="243"/>
      <c r="E813" s="243"/>
      <c r="F813" s="243"/>
      <c r="G813" s="243"/>
      <c r="H813" s="249">
        <v>22</v>
      </c>
    </row>
    <row r="814" spans="2:8" ht="13.8" x14ac:dyDescent="0.25">
      <c r="B814" s="248">
        <v>5138</v>
      </c>
      <c r="C814" s="243" t="s">
        <v>2359</v>
      </c>
      <c r="D814" s="243"/>
      <c r="E814" s="243"/>
      <c r="F814" s="243"/>
      <c r="G814" s="243"/>
      <c r="H814" s="249">
        <v>10</v>
      </c>
    </row>
    <row r="815" spans="2:8" ht="13.8" x14ac:dyDescent="0.25">
      <c r="B815" s="248">
        <v>5139</v>
      </c>
      <c r="C815" s="243" t="s">
        <v>2360</v>
      </c>
      <c r="D815" s="243"/>
      <c r="E815" s="243"/>
      <c r="F815" s="243"/>
      <c r="G815" s="243"/>
      <c r="H815" s="249">
        <v>12</v>
      </c>
    </row>
    <row r="816" spans="2:8" ht="13.8" x14ac:dyDescent="0.25">
      <c r="B816" s="248">
        <v>5140</v>
      </c>
      <c r="C816" s="243" t="s">
        <v>2361</v>
      </c>
      <c r="D816" s="243"/>
      <c r="E816" s="243"/>
      <c r="F816" s="243"/>
      <c r="G816" s="243"/>
      <c r="H816" s="249">
        <v>12</v>
      </c>
    </row>
    <row r="817" spans="2:8" ht="13.8" x14ac:dyDescent="0.25">
      <c r="B817" s="248">
        <v>5141</v>
      </c>
      <c r="C817" s="243" t="s">
        <v>2362</v>
      </c>
      <c r="D817" s="243"/>
      <c r="E817" s="243"/>
      <c r="F817" s="243"/>
      <c r="G817" s="243"/>
      <c r="H817" s="249">
        <v>10</v>
      </c>
    </row>
    <row r="818" spans="2:8" ht="13.8" x14ac:dyDescent="0.25">
      <c r="B818" s="248">
        <v>5142</v>
      </c>
      <c r="C818" s="243" t="s">
        <v>2363</v>
      </c>
      <c r="D818" s="243"/>
      <c r="E818" s="243"/>
      <c r="F818" s="243"/>
      <c r="G818" s="243"/>
      <c r="H818" s="249">
        <v>12</v>
      </c>
    </row>
    <row r="819" spans="2:8" ht="13.8" x14ac:dyDescent="0.25">
      <c r="B819" s="248">
        <v>5143</v>
      </c>
      <c r="C819" s="243" t="s">
        <v>2364</v>
      </c>
      <c r="D819" s="243"/>
      <c r="E819" s="243"/>
      <c r="F819" s="243"/>
      <c r="G819" s="243"/>
      <c r="H819" s="249">
        <v>13</v>
      </c>
    </row>
    <row r="820" spans="2:8" ht="13.8" x14ac:dyDescent="0.25">
      <c r="B820" s="248">
        <v>5144</v>
      </c>
      <c r="C820" s="243" t="s">
        <v>2365</v>
      </c>
      <c r="D820" s="243"/>
      <c r="E820" s="243"/>
      <c r="F820" s="243"/>
      <c r="G820" s="243"/>
      <c r="H820" s="249">
        <v>12</v>
      </c>
    </row>
    <row r="821" spans="2:8" ht="13.8" x14ac:dyDescent="0.25">
      <c r="B821" s="248">
        <v>5145</v>
      </c>
      <c r="C821" s="243" t="s">
        <v>2366</v>
      </c>
      <c r="D821" s="243"/>
      <c r="E821" s="243"/>
      <c r="F821" s="243"/>
      <c r="G821" s="243"/>
      <c r="H821" s="249">
        <v>13</v>
      </c>
    </row>
    <row r="822" spans="2:8" ht="13.8" x14ac:dyDescent="0.25">
      <c r="B822" s="248">
        <v>5146</v>
      </c>
      <c r="C822" s="243" t="s">
        <v>2367</v>
      </c>
      <c r="D822" s="243"/>
      <c r="E822" s="243"/>
      <c r="F822" s="243"/>
      <c r="G822" s="243"/>
      <c r="H822" s="249">
        <v>22</v>
      </c>
    </row>
    <row r="823" spans="2:8" ht="13.8" x14ac:dyDescent="0.25">
      <c r="B823" s="248">
        <v>5147</v>
      </c>
      <c r="C823" s="243" t="s">
        <v>2368</v>
      </c>
      <c r="D823" s="243"/>
      <c r="E823" s="243"/>
      <c r="F823" s="243"/>
      <c r="G823" s="243"/>
      <c r="H823" s="249">
        <v>20</v>
      </c>
    </row>
    <row r="824" spans="2:8" ht="13.8" x14ac:dyDescent="0.25">
      <c r="B824" s="248">
        <v>5148</v>
      </c>
      <c r="C824" s="243" t="s">
        <v>2369</v>
      </c>
      <c r="D824" s="243"/>
      <c r="E824" s="243"/>
      <c r="F824" s="243"/>
      <c r="G824" s="243"/>
      <c r="H824" s="249">
        <v>8</v>
      </c>
    </row>
    <row r="825" spans="2:8" ht="14.4" thickBot="1" x14ac:dyDescent="0.3">
      <c r="B825" s="248">
        <v>5149</v>
      </c>
      <c r="C825" s="243" t="s">
        <v>2370</v>
      </c>
      <c r="D825" s="243"/>
      <c r="E825" s="243"/>
      <c r="F825" s="243"/>
      <c r="G825" s="243"/>
      <c r="H825" s="249">
        <v>23</v>
      </c>
    </row>
    <row r="826" spans="2:8" ht="14.4" thickBot="1" x14ac:dyDescent="0.3">
      <c r="B826" s="375" t="s">
        <v>2371</v>
      </c>
      <c r="C826" s="376"/>
      <c r="D826" s="376"/>
      <c r="E826" s="376"/>
      <c r="F826" s="376"/>
      <c r="G826" s="376"/>
      <c r="H826" s="377"/>
    </row>
    <row r="827" spans="2:8" ht="13.8" x14ac:dyDescent="0.25">
      <c r="B827" s="248">
        <v>5150</v>
      </c>
      <c r="C827" s="243" t="s">
        <v>2372</v>
      </c>
      <c r="D827" s="243"/>
      <c r="E827" s="243"/>
      <c r="F827" s="243"/>
      <c r="G827" s="243"/>
      <c r="H827" s="249">
        <v>10</v>
      </c>
    </row>
    <row r="828" spans="2:8" ht="13.8" x14ac:dyDescent="0.25">
      <c r="B828" s="248">
        <v>5151</v>
      </c>
      <c r="C828" s="243" t="s">
        <v>2373</v>
      </c>
      <c r="D828" s="243"/>
      <c r="E828" s="243"/>
      <c r="F828" s="243"/>
      <c r="G828" s="243"/>
      <c r="H828" s="249">
        <v>10</v>
      </c>
    </row>
    <row r="829" spans="2:8" ht="13.8" x14ac:dyDescent="0.25">
      <c r="B829" s="248">
        <v>5152</v>
      </c>
      <c r="C829" s="243" t="s">
        <v>2374</v>
      </c>
      <c r="D829" s="243"/>
      <c r="E829" s="243"/>
      <c r="F829" s="243"/>
      <c r="G829" s="243"/>
      <c r="H829" s="249">
        <v>10</v>
      </c>
    </row>
    <row r="830" spans="2:8" ht="13.8" x14ac:dyDescent="0.25">
      <c r="B830" s="248">
        <v>5153</v>
      </c>
      <c r="C830" s="243" t="s">
        <v>2375</v>
      </c>
      <c r="D830" s="243"/>
      <c r="E830" s="243"/>
      <c r="F830" s="243"/>
      <c r="G830" s="243"/>
      <c r="H830" s="249">
        <v>13</v>
      </c>
    </row>
    <row r="831" spans="2:8" ht="13.8" x14ac:dyDescent="0.25">
      <c r="B831" s="248">
        <v>5154</v>
      </c>
      <c r="C831" s="243" t="s">
        <v>2376</v>
      </c>
      <c r="D831" s="243"/>
      <c r="E831" s="243"/>
      <c r="F831" s="243"/>
      <c r="G831" s="243"/>
      <c r="H831" s="249">
        <v>12</v>
      </c>
    </row>
    <row r="832" spans="2:8" ht="13.8" x14ac:dyDescent="0.25">
      <c r="B832" s="248">
        <v>5155</v>
      </c>
      <c r="C832" s="243" t="s">
        <v>2377</v>
      </c>
      <c r="D832" s="243"/>
      <c r="E832" s="243"/>
      <c r="F832" s="243"/>
      <c r="G832" s="243"/>
      <c r="H832" s="249">
        <v>8</v>
      </c>
    </row>
    <row r="833" spans="2:8" ht="13.8" x14ac:dyDescent="0.25">
      <c r="B833" s="248">
        <v>5156</v>
      </c>
      <c r="C833" s="243" t="s">
        <v>2378</v>
      </c>
      <c r="D833" s="243"/>
      <c r="E833" s="243"/>
      <c r="F833" s="243"/>
      <c r="G833" s="243"/>
      <c r="H833" s="249">
        <v>8</v>
      </c>
    </row>
    <row r="834" spans="2:8" ht="13.8" x14ac:dyDescent="0.25">
      <c r="B834" s="248">
        <v>5157</v>
      </c>
      <c r="C834" s="243" t="s">
        <v>2379</v>
      </c>
      <c r="D834" s="243"/>
      <c r="E834" s="243"/>
      <c r="F834" s="243"/>
      <c r="G834" s="243"/>
      <c r="H834" s="249">
        <v>12</v>
      </c>
    </row>
    <row r="835" spans="2:8" ht="13.8" x14ac:dyDescent="0.25">
      <c r="B835" s="248">
        <v>5158</v>
      </c>
      <c r="C835" s="243" t="s">
        <v>2380</v>
      </c>
      <c r="D835" s="243"/>
      <c r="E835" s="243"/>
      <c r="F835" s="243"/>
      <c r="G835" s="243"/>
      <c r="H835" s="249">
        <v>12</v>
      </c>
    </row>
    <row r="836" spans="2:8" ht="13.8" x14ac:dyDescent="0.25">
      <c r="B836" s="248">
        <v>5159</v>
      </c>
      <c r="C836" s="243" t="s">
        <v>2381</v>
      </c>
      <c r="D836" s="243"/>
      <c r="E836" s="243"/>
      <c r="F836" s="243"/>
      <c r="G836" s="243"/>
      <c r="H836" s="249">
        <v>13</v>
      </c>
    </row>
    <row r="837" spans="2:8" ht="13.8" x14ac:dyDescent="0.25">
      <c r="B837" s="248">
        <v>5160</v>
      </c>
      <c r="C837" s="243" t="s">
        <v>2382</v>
      </c>
      <c r="D837" s="243"/>
      <c r="E837" s="243"/>
      <c r="F837" s="243"/>
      <c r="G837" s="243"/>
      <c r="H837" s="249">
        <v>12</v>
      </c>
    </row>
    <row r="838" spans="2:8" ht="13.8" x14ac:dyDescent="0.25">
      <c r="B838" s="248">
        <v>5161</v>
      </c>
      <c r="C838" s="243" t="s">
        <v>2383</v>
      </c>
      <c r="D838" s="243"/>
      <c r="E838" s="243"/>
      <c r="F838" s="243"/>
      <c r="G838" s="243"/>
      <c r="H838" s="249">
        <v>10</v>
      </c>
    </row>
    <row r="839" spans="2:8" ht="14.4" thickBot="1" x14ac:dyDescent="0.3">
      <c r="B839" s="248">
        <v>5162</v>
      </c>
      <c r="C839" s="243" t="s">
        <v>2384</v>
      </c>
      <c r="D839" s="243"/>
      <c r="E839" s="243"/>
      <c r="F839" s="243"/>
      <c r="G839" s="243"/>
      <c r="H839" s="249">
        <v>10</v>
      </c>
    </row>
    <row r="840" spans="2:8" ht="14.4" thickBot="1" x14ac:dyDescent="0.3">
      <c r="B840" s="375" t="s">
        <v>2385</v>
      </c>
      <c r="C840" s="376"/>
      <c r="D840" s="376"/>
      <c r="E840" s="376"/>
      <c r="F840" s="376"/>
      <c r="G840" s="376"/>
      <c r="H840" s="377"/>
    </row>
    <row r="841" spans="2:8" ht="13.8" x14ac:dyDescent="0.25">
      <c r="B841" s="248">
        <v>5163</v>
      </c>
      <c r="C841" s="243" t="s">
        <v>2386</v>
      </c>
      <c r="D841" s="243"/>
      <c r="E841" s="243"/>
      <c r="F841" s="243"/>
      <c r="G841" s="243"/>
      <c r="H841" s="249">
        <v>22</v>
      </c>
    </row>
    <row r="842" spans="2:8" ht="13.8" x14ac:dyDescent="0.25">
      <c r="B842" s="248">
        <v>5164</v>
      </c>
      <c r="C842" s="243" t="s">
        <v>2387</v>
      </c>
      <c r="D842" s="243"/>
      <c r="E842" s="243"/>
      <c r="F842" s="243"/>
      <c r="G842" s="243"/>
      <c r="H842" s="249">
        <v>23</v>
      </c>
    </row>
    <row r="843" spans="2:8" ht="13.8" x14ac:dyDescent="0.25">
      <c r="B843" s="248">
        <v>5165</v>
      </c>
      <c r="C843" s="243" t="s">
        <v>2388</v>
      </c>
      <c r="D843" s="243"/>
      <c r="E843" s="243"/>
      <c r="F843" s="243"/>
      <c r="G843" s="243"/>
      <c r="H843" s="249">
        <v>8</v>
      </c>
    </row>
    <row r="844" spans="2:8" ht="13.8" x14ac:dyDescent="0.25">
      <c r="B844" s="248">
        <v>5166</v>
      </c>
      <c r="C844" s="243" t="s">
        <v>2389</v>
      </c>
      <c r="D844" s="243"/>
      <c r="E844" s="243"/>
      <c r="F844" s="243"/>
      <c r="G844" s="243"/>
      <c r="H844" s="249">
        <v>8</v>
      </c>
    </row>
    <row r="845" spans="2:8" ht="13.8" x14ac:dyDescent="0.25">
      <c r="B845" s="248">
        <v>5167</v>
      </c>
      <c r="C845" s="243" t="s">
        <v>2390</v>
      </c>
      <c r="D845" s="243"/>
      <c r="E845" s="243"/>
      <c r="F845" s="243"/>
      <c r="G845" s="243"/>
      <c r="H845" s="249">
        <v>12</v>
      </c>
    </row>
    <row r="846" spans="2:8" ht="13.8" x14ac:dyDescent="0.25">
      <c r="B846" s="248">
        <v>5168</v>
      </c>
      <c r="C846" s="243" t="s">
        <v>2391</v>
      </c>
      <c r="D846" s="243"/>
      <c r="E846" s="243"/>
      <c r="F846" s="243"/>
      <c r="G846" s="243"/>
      <c r="H846" s="249">
        <v>13</v>
      </c>
    </row>
    <row r="847" spans="2:8" ht="13.8" x14ac:dyDescent="0.25">
      <c r="B847" s="248">
        <v>5169</v>
      </c>
      <c r="C847" s="243" t="s">
        <v>2392</v>
      </c>
      <c r="D847" s="243"/>
      <c r="E847" s="243"/>
      <c r="F847" s="243"/>
      <c r="G847" s="243"/>
      <c r="H847" s="249">
        <v>20</v>
      </c>
    </row>
    <row r="848" spans="2:8" ht="13.8" x14ac:dyDescent="0.25">
      <c r="B848" s="248">
        <v>5170</v>
      </c>
      <c r="C848" s="243" t="s">
        <v>2393</v>
      </c>
      <c r="D848" s="243"/>
      <c r="E848" s="243"/>
      <c r="F848" s="243"/>
      <c r="G848" s="243"/>
      <c r="H848" s="249">
        <v>21</v>
      </c>
    </row>
    <row r="849" spans="2:8" ht="13.8" x14ac:dyDescent="0.25">
      <c r="B849" s="248">
        <v>5171</v>
      </c>
      <c r="C849" s="243" t="s">
        <v>2394</v>
      </c>
      <c r="D849" s="243"/>
      <c r="E849" s="243"/>
      <c r="F849" s="243"/>
      <c r="G849" s="243"/>
      <c r="H849" s="249">
        <v>22</v>
      </c>
    </row>
    <row r="850" spans="2:8" ht="13.8" x14ac:dyDescent="0.25">
      <c r="B850" s="248">
        <v>5172</v>
      </c>
      <c r="C850" s="243" t="s">
        <v>2395</v>
      </c>
      <c r="D850" s="243"/>
      <c r="E850" s="243"/>
      <c r="F850" s="243"/>
      <c r="G850" s="243"/>
      <c r="H850" s="249">
        <v>22</v>
      </c>
    </row>
    <row r="851" spans="2:8" ht="13.8" x14ac:dyDescent="0.25">
      <c r="B851" s="248">
        <v>5173</v>
      </c>
      <c r="C851" s="243" t="s">
        <v>2396</v>
      </c>
      <c r="D851" s="243"/>
      <c r="E851" s="243"/>
      <c r="F851" s="243"/>
      <c r="G851" s="243"/>
      <c r="H851" s="249">
        <v>22</v>
      </c>
    </row>
    <row r="852" spans="2:8" ht="13.8" x14ac:dyDescent="0.25">
      <c r="B852" s="248">
        <v>5174</v>
      </c>
      <c r="C852" s="243" t="s">
        <v>2397</v>
      </c>
      <c r="D852" s="243"/>
      <c r="E852" s="243"/>
      <c r="F852" s="243"/>
      <c r="G852" s="243"/>
      <c r="H852" s="249">
        <v>23</v>
      </c>
    </row>
    <row r="853" spans="2:8" ht="13.8" x14ac:dyDescent="0.25">
      <c r="B853" s="248">
        <v>5175</v>
      </c>
      <c r="C853" s="243" t="s">
        <v>2398</v>
      </c>
      <c r="D853" s="243"/>
      <c r="E853" s="243"/>
      <c r="F853" s="243"/>
      <c r="G853" s="243"/>
      <c r="H853" s="249">
        <v>23</v>
      </c>
    </row>
    <row r="854" spans="2:8" ht="13.8" x14ac:dyDescent="0.25">
      <c r="B854" s="248">
        <v>5176</v>
      </c>
      <c r="C854" s="243" t="s">
        <v>2399</v>
      </c>
      <c r="D854" s="243"/>
      <c r="E854" s="243"/>
      <c r="F854" s="243"/>
      <c r="G854" s="243"/>
      <c r="H854" s="249">
        <v>23</v>
      </c>
    </row>
    <row r="855" spans="2:8" ht="13.8" x14ac:dyDescent="0.25">
      <c r="B855" s="248">
        <v>5177</v>
      </c>
      <c r="C855" s="243" t="s">
        <v>2400</v>
      </c>
      <c r="D855" s="243"/>
      <c r="E855" s="243"/>
      <c r="F855" s="243"/>
      <c r="G855" s="243"/>
      <c r="H855" s="249">
        <v>13</v>
      </c>
    </row>
    <row r="856" spans="2:8" ht="13.8" x14ac:dyDescent="0.25">
      <c r="B856" s="248">
        <v>5178</v>
      </c>
      <c r="C856" s="243" t="s">
        <v>2401</v>
      </c>
      <c r="D856" s="243"/>
      <c r="E856" s="243"/>
      <c r="F856" s="243"/>
      <c r="G856" s="243"/>
      <c r="H856" s="249">
        <v>23</v>
      </c>
    </row>
    <row r="857" spans="2:8" ht="13.8" x14ac:dyDescent="0.25">
      <c r="B857" s="248">
        <v>5179</v>
      </c>
      <c r="C857" s="243" t="s">
        <v>2402</v>
      </c>
      <c r="D857" s="243"/>
      <c r="E857" s="243"/>
      <c r="F857" s="243"/>
      <c r="G857" s="243"/>
      <c r="H857" s="249">
        <v>21</v>
      </c>
    </row>
    <row r="858" spans="2:8" ht="13.8" x14ac:dyDescent="0.25">
      <c r="B858" s="248">
        <v>5180</v>
      </c>
      <c r="C858" s="243" t="s">
        <v>2403</v>
      </c>
      <c r="D858" s="243"/>
      <c r="E858" s="243"/>
      <c r="F858" s="243"/>
      <c r="G858" s="243"/>
      <c r="H858" s="249">
        <v>10</v>
      </c>
    </row>
    <row r="859" spans="2:8" ht="13.8" x14ac:dyDescent="0.25">
      <c r="B859" s="248">
        <v>5181</v>
      </c>
      <c r="C859" s="243" t="s">
        <v>2404</v>
      </c>
      <c r="D859" s="243"/>
      <c r="E859" s="243"/>
      <c r="F859" s="243"/>
      <c r="G859" s="243"/>
      <c r="H859" s="249">
        <v>9</v>
      </c>
    </row>
    <row r="860" spans="2:8" ht="13.8" x14ac:dyDescent="0.25">
      <c r="B860" s="248">
        <v>5182</v>
      </c>
      <c r="C860" s="243" t="s">
        <v>2405</v>
      </c>
      <c r="D860" s="243"/>
      <c r="E860" s="243"/>
      <c r="F860" s="243"/>
      <c r="G860" s="243"/>
      <c r="H860" s="249">
        <v>9</v>
      </c>
    </row>
    <row r="861" spans="2:8" ht="13.8" x14ac:dyDescent="0.25">
      <c r="B861" s="248">
        <v>5183</v>
      </c>
      <c r="C861" s="243" t="s">
        <v>2406</v>
      </c>
      <c r="D861" s="243"/>
      <c r="E861" s="243"/>
      <c r="F861" s="243"/>
      <c r="G861" s="243"/>
      <c r="H861" s="249">
        <v>10</v>
      </c>
    </row>
    <row r="862" spans="2:8" ht="13.8" x14ac:dyDescent="0.25">
      <c r="B862" s="248">
        <v>5184</v>
      </c>
      <c r="C862" s="243" t="s">
        <v>2407</v>
      </c>
      <c r="D862" s="243"/>
      <c r="E862" s="243"/>
      <c r="F862" s="243"/>
      <c r="G862" s="243"/>
      <c r="H862" s="249">
        <v>12</v>
      </c>
    </row>
    <row r="863" spans="2:8" ht="13.8" x14ac:dyDescent="0.25">
      <c r="B863" s="248">
        <v>5185</v>
      </c>
      <c r="C863" s="243" t="s">
        <v>2408</v>
      </c>
      <c r="D863" s="243"/>
      <c r="E863" s="243"/>
      <c r="F863" s="243"/>
      <c r="G863" s="243"/>
      <c r="H863" s="249">
        <v>10</v>
      </c>
    </row>
    <row r="864" spans="2:8" ht="13.8" x14ac:dyDescent="0.25">
      <c r="B864" s="248">
        <v>5186</v>
      </c>
      <c r="C864" s="243" t="s">
        <v>2409</v>
      </c>
      <c r="D864" s="243"/>
      <c r="E864" s="243"/>
      <c r="F864" s="243"/>
      <c r="G864" s="243"/>
      <c r="H864" s="249">
        <v>8</v>
      </c>
    </row>
    <row r="865" spans="2:8" ht="13.8" x14ac:dyDescent="0.25">
      <c r="B865" s="248">
        <v>5187</v>
      </c>
      <c r="C865" s="243" t="s">
        <v>2410</v>
      </c>
      <c r="D865" s="243"/>
      <c r="E865" s="243"/>
      <c r="F865" s="243"/>
      <c r="G865" s="243"/>
      <c r="H865" s="249">
        <v>12</v>
      </c>
    </row>
    <row r="866" spans="2:8" ht="13.8" x14ac:dyDescent="0.25">
      <c r="B866" s="248">
        <v>5188</v>
      </c>
      <c r="C866" s="243" t="s">
        <v>2411</v>
      </c>
      <c r="D866" s="243"/>
      <c r="E866" s="243"/>
      <c r="F866" s="243"/>
      <c r="G866" s="243"/>
      <c r="H866" s="249">
        <v>23</v>
      </c>
    </row>
    <row r="867" spans="2:8" ht="13.8" x14ac:dyDescent="0.25">
      <c r="B867" s="248">
        <v>5189</v>
      </c>
      <c r="C867" s="243" t="s">
        <v>2412</v>
      </c>
      <c r="D867" s="243"/>
      <c r="E867" s="243"/>
      <c r="F867" s="243"/>
      <c r="G867" s="243"/>
      <c r="H867" s="249">
        <v>22</v>
      </c>
    </row>
    <row r="868" spans="2:8" ht="13.8" x14ac:dyDescent="0.25">
      <c r="B868" s="248">
        <v>5190</v>
      </c>
      <c r="C868" s="243" t="s">
        <v>2413</v>
      </c>
      <c r="D868" s="243"/>
      <c r="E868" s="243"/>
      <c r="F868" s="243"/>
      <c r="G868" s="243"/>
      <c r="H868" s="249">
        <v>22</v>
      </c>
    </row>
    <row r="869" spans="2:8" ht="13.8" thickBot="1" x14ac:dyDescent="0.3">
      <c r="B869" s="237"/>
      <c r="H869" s="238"/>
    </row>
    <row r="870" spans="2:8" ht="14.4" thickBot="1" x14ac:dyDescent="0.3">
      <c r="B870" s="375" t="s">
        <v>2414</v>
      </c>
      <c r="C870" s="376"/>
      <c r="D870" s="376"/>
      <c r="E870" s="376"/>
      <c r="F870" s="376"/>
      <c r="G870" s="376"/>
      <c r="H870" s="377"/>
    </row>
    <row r="871" spans="2:8" ht="14.4" thickBot="1" x14ac:dyDescent="0.3">
      <c r="B871" s="375" t="s">
        <v>2415</v>
      </c>
      <c r="C871" s="376"/>
      <c r="D871" s="376"/>
      <c r="E871" s="376"/>
      <c r="F871" s="376"/>
      <c r="G871" s="376"/>
      <c r="H871" s="377"/>
    </row>
    <row r="872" spans="2:8" ht="13.8" x14ac:dyDescent="0.25">
      <c r="B872" s="245">
        <v>6101</v>
      </c>
      <c r="C872" s="246" t="s">
        <v>2416</v>
      </c>
      <c r="D872" s="246"/>
      <c r="E872" s="246"/>
      <c r="F872" s="246"/>
      <c r="G872" s="246"/>
      <c r="H872" s="247">
        <v>13</v>
      </c>
    </row>
    <row r="873" spans="2:8" ht="13.8" x14ac:dyDescent="0.25">
      <c r="B873" s="248">
        <v>6102</v>
      </c>
      <c r="C873" s="243" t="s">
        <v>2417</v>
      </c>
      <c r="D873" s="243"/>
      <c r="E873" s="243"/>
      <c r="F873" s="243"/>
      <c r="G873" s="243"/>
      <c r="H873" s="249">
        <v>10</v>
      </c>
    </row>
    <row r="874" spans="2:8" ht="13.8" x14ac:dyDescent="0.25">
      <c r="B874" s="248">
        <v>6103</v>
      </c>
      <c r="C874" s="243" t="s">
        <v>2418</v>
      </c>
      <c r="D874" s="243"/>
      <c r="E874" s="243"/>
      <c r="F874" s="243"/>
      <c r="G874" s="243"/>
      <c r="H874" s="249">
        <v>12</v>
      </c>
    </row>
    <row r="875" spans="2:8" ht="13.8" x14ac:dyDescent="0.25">
      <c r="B875" s="248">
        <v>6104</v>
      </c>
      <c r="C875" s="243" t="s">
        <v>2419</v>
      </c>
      <c r="D875" s="243"/>
      <c r="E875" s="243"/>
      <c r="F875" s="243"/>
      <c r="G875" s="243"/>
      <c r="H875" s="249">
        <v>10</v>
      </c>
    </row>
    <row r="876" spans="2:8" ht="13.8" x14ac:dyDescent="0.25">
      <c r="B876" s="248">
        <v>6105</v>
      </c>
      <c r="C876" s="243" t="s">
        <v>2420</v>
      </c>
      <c r="D876" s="243"/>
      <c r="E876" s="243"/>
      <c r="F876" s="243"/>
      <c r="G876" s="243"/>
      <c r="H876" s="249">
        <v>13</v>
      </c>
    </row>
    <row r="877" spans="2:8" ht="13.8" x14ac:dyDescent="0.25">
      <c r="B877" s="248">
        <v>6106</v>
      </c>
      <c r="C877" s="243" t="s">
        <v>2421</v>
      </c>
      <c r="D877" s="243"/>
      <c r="E877" s="243"/>
      <c r="F877" s="243"/>
      <c r="G877" s="243"/>
      <c r="H877" s="249">
        <v>12</v>
      </c>
    </row>
    <row r="878" spans="2:8" ht="13.8" x14ac:dyDescent="0.25">
      <c r="B878" s="248">
        <v>6107</v>
      </c>
      <c r="C878" s="243" t="s">
        <v>2422</v>
      </c>
      <c r="D878" s="243"/>
      <c r="E878" s="243"/>
      <c r="F878" s="243"/>
      <c r="G878" s="243"/>
      <c r="H878" s="249">
        <v>8</v>
      </c>
    </row>
    <row r="879" spans="2:8" ht="13.8" x14ac:dyDescent="0.25">
      <c r="B879" s="248">
        <v>6108</v>
      </c>
      <c r="C879" s="243" t="s">
        <v>2423</v>
      </c>
      <c r="D879" s="243"/>
      <c r="E879" s="243"/>
      <c r="F879" s="243"/>
      <c r="G879" s="243"/>
      <c r="H879" s="249">
        <v>10</v>
      </c>
    </row>
    <row r="880" spans="2:8" ht="13.8" x14ac:dyDescent="0.25">
      <c r="B880" s="248">
        <v>6109</v>
      </c>
      <c r="C880" s="243" t="s">
        <v>2424</v>
      </c>
      <c r="D880" s="243"/>
      <c r="E880" s="243"/>
      <c r="F880" s="243"/>
      <c r="G880" s="243"/>
      <c r="H880" s="249">
        <v>8</v>
      </c>
    </row>
    <row r="881" spans="2:8" ht="13.8" x14ac:dyDescent="0.25">
      <c r="B881" s="248">
        <v>6110</v>
      </c>
      <c r="C881" s="243" t="s">
        <v>2425</v>
      </c>
      <c r="D881" s="243"/>
      <c r="E881" s="243"/>
      <c r="F881" s="243"/>
      <c r="G881" s="243"/>
      <c r="H881" s="249">
        <v>20</v>
      </c>
    </row>
    <row r="882" spans="2:8" ht="13.8" x14ac:dyDescent="0.25">
      <c r="B882" s="248">
        <v>6111</v>
      </c>
      <c r="C882" s="243" t="s">
        <v>2426</v>
      </c>
      <c r="D882" s="243"/>
      <c r="E882" s="243"/>
      <c r="F882" s="243"/>
      <c r="G882" s="243"/>
      <c r="H882" s="249">
        <v>13</v>
      </c>
    </row>
    <row r="883" spans="2:8" ht="13.8" x14ac:dyDescent="0.25">
      <c r="B883" s="248">
        <v>6112</v>
      </c>
      <c r="C883" s="243" t="s">
        <v>2427</v>
      </c>
      <c r="D883" s="243"/>
      <c r="E883" s="243"/>
      <c r="F883" s="243"/>
      <c r="G883" s="243"/>
      <c r="H883" s="249">
        <v>13</v>
      </c>
    </row>
    <row r="884" spans="2:8" ht="13.8" x14ac:dyDescent="0.25">
      <c r="B884" s="248">
        <v>6113</v>
      </c>
      <c r="C884" s="243" t="s">
        <v>2428</v>
      </c>
      <c r="D884" s="243"/>
      <c r="E884" s="243"/>
      <c r="F884" s="243"/>
      <c r="G884" s="243"/>
      <c r="H884" s="249">
        <v>13</v>
      </c>
    </row>
    <row r="885" spans="2:8" ht="13.8" x14ac:dyDescent="0.25">
      <c r="B885" s="248">
        <v>6114</v>
      </c>
      <c r="C885" s="243" t="s">
        <v>2429</v>
      </c>
      <c r="D885" s="243"/>
      <c r="E885" s="243"/>
      <c r="F885" s="243"/>
      <c r="G885" s="243"/>
      <c r="H885" s="249">
        <v>13</v>
      </c>
    </row>
    <row r="886" spans="2:8" ht="13.8" x14ac:dyDescent="0.25">
      <c r="B886" s="248">
        <v>6115</v>
      </c>
      <c r="C886" s="243" t="s">
        <v>2430</v>
      </c>
      <c r="D886" s="243"/>
      <c r="E886" s="243"/>
      <c r="F886" s="243"/>
      <c r="G886" s="243"/>
      <c r="H886" s="249">
        <v>10</v>
      </c>
    </row>
    <row r="887" spans="2:8" ht="13.8" x14ac:dyDescent="0.25">
      <c r="B887" s="248">
        <v>6116</v>
      </c>
      <c r="C887" s="243" t="s">
        <v>2431</v>
      </c>
      <c r="D887" s="243"/>
      <c r="E887" s="243"/>
      <c r="F887" s="243"/>
      <c r="G887" s="243"/>
      <c r="H887" s="249">
        <v>12</v>
      </c>
    </row>
    <row r="888" spans="2:8" ht="13.8" x14ac:dyDescent="0.25">
      <c r="B888" s="248">
        <v>6117</v>
      </c>
      <c r="C888" s="243" t="s">
        <v>2432</v>
      </c>
      <c r="D888" s="243"/>
      <c r="E888" s="243"/>
      <c r="F888" s="243"/>
      <c r="G888" s="243"/>
      <c r="H888" s="249">
        <v>8</v>
      </c>
    </row>
    <row r="889" spans="2:8" ht="13.8" x14ac:dyDescent="0.25">
      <c r="B889" s="248">
        <v>6118</v>
      </c>
      <c r="C889" s="243" t="s">
        <v>2433</v>
      </c>
      <c r="D889" s="243"/>
      <c r="E889" s="243"/>
      <c r="F889" s="243"/>
      <c r="G889" s="243"/>
      <c r="H889" s="249">
        <v>8</v>
      </c>
    </row>
    <row r="890" spans="2:8" ht="13.8" x14ac:dyDescent="0.25">
      <c r="B890" s="248">
        <v>6119</v>
      </c>
      <c r="C890" s="243" t="s">
        <v>2434</v>
      </c>
      <c r="D890" s="243"/>
      <c r="E890" s="243"/>
      <c r="F890" s="243"/>
      <c r="G890" s="243"/>
      <c r="H890" s="249">
        <v>8</v>
      </c>
    </row>
    <row r="891" spans="2:8" ht="14.4" thickBot="1" x14ac:dyDescent="0.3">
      <c r="B891" s="248">
        <v>6120</v>
      </c>
      <c r="C891" s="243" t="s">
        <v>2435</v>
      </c>
      <c r="D891" s="243"/>
      <c r="E891" s="243"/>
      <c r="F891" s="243"/>
      <c r="G891" s="243"/>
      <c r="H891" s="249">
        <v>20</v>
      </c>
    </row>
    <row r="892" spans="2:8" ht="14.4" thickBot="1" x14ac:dyDescent="0.3">
      <c r="B892" s="375" t="s">
        <v>2436</v>
      </c>
      <c r="C892" s="376"/>
      <c r="D892" s="376"/>
      <c r="E892" s="376"/>
      <c r="F892" s="376"/>
      <c r="G892" s="376"/>
      <c r="H892" s="377"/>
    </row>
    <row r="893" spans="2:8" ht="13.8" x14ac:dyDescent="0.25">
      <c r="B893" s="248">
        <v>6121</v>
      </c>
      <c r="C893" s="243" t="s">
        <v>2437</v>
      </c>
      <c r="D893" s="243"/>
      <c r="E893" s="243"/>
      <c r="F893" s="243"/>
      <c r="G893" s="243"/>
      <c r="H893" s="249">
        <v>23</v>
      </c>
    </row>
    <row r="894" spans="2:8" ht="13.8" x14ac:dyDescent="0.25">
      <c r="B894" s="248">
        <v>6122</v>
      </c>
      <c r="C894" s="243" t="s">
        <v>2438</v>
      </c>
      <c r="D894" s="243"/>
      <c r="E894" s="243"/>
      <c r="F894" s="243"/>
      <c r="G894" s="243"/>
      <c r="H894" s="249">
        <v>22</v>
      </c>
    </row>
    <row r="895" spans="2:8" ht="13.8" x14ac:dyDescent="0.25">
      <c r="B895" s="248">
        <v>6123</v>
      </c>
      <c r="C895" s="243" t="s">
        <v>2439</v>
      </c>
      <c r="D895" s="243"/>
      <c r="E895" s="243"/>
      <c r="F895" s="243"/>
      <c r="G895" s="243"/>
      <c r="H895" s="249">
        <v>20</v>
      </c>
    </row>
    <row r="896" spans="2:8" ht="13.8" x14ac:dyDescent="0.25">
      <c r="B896" s="248">
        <v>6124</v>
      </c>
      <c r="C896" s="243" t="s">
        <v>2440</v>
      </c>
      <c r="D896" s="243"/>
      <c r="E896" s="243"/>
      <c r="F896" s="243"/>
      <c r="G896" s="243"/>
      <c r="H896" s="249">
        <v>12</v>
      </c>
    </row>
    <row r="897" spans="2:8" ht="13.8" x14ac:dyDescent="0.25">
      <c r="B897" s="248">
        <v>6125</v>
      </c>
      <c r="C897" s="243" t="s">
        <v>2441</v>
      </c>
      <c r="D897" s="243"/>
      <c r="E897" s="243"/>
      <c r="F897" s="243"/>
      <c r="G897" s="243"/>
      <c r="H897" s="249">
        <v>8</v>
      </c>
    </row>
    <row r="898" spans="2:8" ht="13.8" x14ac:dyDescent="0.25">
      <c r="B898" s="248">
        <v>6126</v>
      </c>
      <c r="C898" s="243" t="s">
        <v>2442</v>
      </c>
      <c r="D898" s="243"/>
      <c r="E898" s="243"/>
      <c r="F898" s="243"/>
      <c r="G898" s="243"/>
      <c r="H898" s="249">
        <v>8</v>
      </c>
    </row>
    <row r="899" spans="2:8" ht="13.8" x14ac:dyDescent="0.25">
      <c r="B899" s="248">
        <v>6127</v>
      </c>
      <c r="C899" s="243" t="s">
        <v>2443</v>
      </c>
      <c r="D899" s="243"/>
      <c r="E899" s="243"/>
      <c r="F899" s="243"/>
      <c r="G899" s="243"/>
      <c r="H899" s="249">
        <v>12</v>
      </c>
    </row>
    <row r="900" spans="2:8" ht="13.8" x14ac:dyDescent="0.25">
      <c r="B900" s="248">
        <v>6128</v>
      </c>
      <c r="C900" s="243" t="s">
        <v>2444</v>
      </c>
      <c r="D900" s="243"/>
      <c r="E900" s="243"/>
      <c r="F900" s="243"/>
      <c r="G900" s="243"/>
      <c r="H900" s="249">
        <v>13</v>
      </c>
    </row>
    <row r="901" spans="2:8" ht="13.8" x14ac:dyDescent="0.25">
      <c r="B901" s="248">
        <v>6129</v>
      </c>
      <c r="C901" s="243" t="s">
        <v>2445</v>
      </c>
      <c r="D901" s="243"/>
      <c r="E901" s="243"/>
      <c r="F901" s="243"/>
      <c r="G901" s="243"/>
      <c r="H901" s="249">
        <v>13</v>
      </c>
    </row>
    <row r="902" spans="2:8" ht="13.8" x14ac:dyDescent="0.25">
      <c r="B902" s="248">
        <v>6130</v>
      </c>
      <c r="C902" s="243" t="s">
        <v>2446</v>
      </c>
      <c r="D902" s="243"/>
      <c r="E902" s="243"/>
      <c r="F902" s="243"/>
      <c r="G902" s="243"/>
      <c r="H902" s="249">
        <v>13</v>
      </c>
    </row>
    <row r="903" spans="2:8" ht="13.8" x14ac:dyDescent="0.25">
      <c r="B903" s="248">
        <v>6131</v>
      </c>
      <c r="C903" s="243" t="s">
        <v>2447</v>
      </c>
      <c r="D903" s="243"/>
      <c r="E903" s="243"/>
      <c r="F903" s="243"/>
      <c r="G903" s="243"/>
      <c r="H903" s="249">
        <v>12</v>
      </c>
    </row>
    <row r="904" spans="2:8" ht="13.8" x14ac:dyDescent="0.25">
      <c r="B904" s="248">
        <v>6132</v>
      </c>
      <c r="C904" s="243" t="s">
        <v>2448</v>
      </c>
      <c r="D904" s="243"/>
      <c r="E904" s="243"/>
      <c r="F904" s="243"/>
      <c r="G904" s="243"/>
      <c r="H904" s="249">
        <v>23</v>
      </c>
    </row>
    <row r="905" spans="2:8" ht="13.8" x14ac:dyDescent="0.25">
      <c r="B905" s="248">
        <v>6133</v>
      </c>
      <c r="C905" s="243" t="s">
        <v>2449</v>
      </c>
      <c r="D905" s="243"/>
      <c r="E905" s="243"/>
      <c r="F905" s="243"/>
      <c r="G905" s="243"/>
      <c r="H905" s="249">
        <v>23</v>
      </c>
    </row>
    <row r="906" spans="2:8" ht="13.8" x14ac:dyDescent="0.25">
      <c r="B906" s="248">
        <v>6134</v>
      </c>
      <c r="C906" s="243" t="s">
        <v>2450</v>
      </c>
      <c r="D906" s="243"/>
      <c r="E906" s="243"/>
      <c r="F906" s="243"/>
      <c r="G906" s="243"/>
      <c r="H906" s="249">
        <v>22</v>
      </c>
    </row>
    <row r="907" spans="2:8" ht="14.4" thickBot="1" x14ac:dyDescent="0.3">
      <c r="B907" s="248">
        <v>6135</v>
      </c>
      <c r="C907" s="243" t="s">
        <v>2451</v>
      </c>
      <c r="D907" s="243"/>
      <c r="E907" s="243"/>
      <c r="F907" s="243"/>
      <c r="G907" s="243"/>
      <c r="H907" s="249">
        <v>22</v>
      </c>
    </row>
    <row r="908" spans="2:8" ht="14.4" thickBot="1" x14ac:dyDescent="0.3">
      <c r="B908" s="375" t="s">
        <v>2452</v>
      </c>
      <c r="C908" s="376"/>
      <c r="D908" s="376"/>
      <c r="E908" s="376"/>
      <c r="F908" s="376"/>
      <c r="G908" s="376"/>
      <c r="H908" s="377"/>
    </row>
    <row r="909" spans="2:8" ht="13.8" x14ac:dyDescent="0.25">
      <c r="B909" s="245">
        <v>6136</v>
      </c>
      <c r="C909" s="246" t="s">
        <v>2453</v>
      </c>
      <c r="D909" s="246"/>
      <c r="E909" s="246"/>
      <c r="F909" s="246"/>
      <c r="G909" s="246"/>
      <c r="H909" s="247">
        <v>10</v>
      </c>
    </row>
    <row r="910" spans="2:8" ht="13.8" x14ac:dyDescent="0.25">
      <c r="B910" s="248">
        <v>6137</v>
      </c>
      <c r="C910" s="243" t="s">
        <v>2454</v>
      </c>
      <c r="D910" s="243"/>
      <c r="E910" s="243"/>
      <c r="F910" s="243"/>
      <c r="G910" s="243"/>
      <c r="H910" s="249">
        <v>12</v>
      </c>
    </row>
    <row r="911" spans="2:8" ht="13.8" x14ac:dyDescent="0.25">
      <c r="B911" s="248">
        <v>6138</v>
      </c>
      <c r="C911" s="243" t="s">
        <v>2455</v>
      </c>
      <c r="D911" s="243"/>
      <c r="E911" s="243"/>
      <c r="F911" s="243"/>
      <c r="G911" s="243"/>
      <c r="H911" s="249">
        <v>12</v>
      </c>
    </row>
    <row r="912" spans="2:8" ht="13.8" x14ac:dyDescent="0.25">
      <c r="B912" s="248">
        <v>6139</v>
      </c>
      <c r="C912" s="243" t="s">
        <v>2456</v>
      </c>
      <c r="D912" s="243"/>
      <c r="E912" s="243"/>
      <c r="F912" s="243"/>
      <c r="G912" s="243"/>
      <c r="H912" s="249">
        <v>20</v>
      </c>
    </row>
    <row r="913" spans="2:8" ht="13.8" x14ac:dyDescent="0.25">
      <c r="B913" s="248">
        <v>6140</v>
      </c>
      <c r="C913" s="243" t="s">
        <v>2457</v>
      </c>
      <c r="D913" s="243"/>
      <c r="E913" s="243"/>
      <c r="F913" s="243"/>
      <c r="G913" s="243"/>
      <c r="H913" s="249">
        <v>22</v>
      </c>
    </row>
    <row r="914" spans="2:8" ht="13.8" x14ac:dyDescent="0.25">
      <c r="B914" s="248">
        <v>6141</v>
      </c>
      <c r="C914" s="243" t="s">
        <v>2458</v>
      </c>
      <c r="D914" s="243"/>
      <c r="E914" s="243"/>
      <c r="F914" s="243"/>
      <c r="G914" s="243"/>
      <c r="H914" s="249">
        <v>20</v>
      </c>
    </row>
    <row r="915" spans="2:8" ht="13.8" x14ac:dyDescent="0.25">
      <c r="B915" s="248">
        <v>6142</v>
      </c>
      <c r="C915" s="243" t="s">
        <v>2459</v>
      </c>
      <c r="D915" s="243"/>
      <c r="E915" s="243"/>
      <c r="F915" s="243"/>
      <c r="G915" s="243"/>
      <c r="H915" s="249">
        <v>12</v>
      </c>
    </row>
    <row r="916" spans="2:8" ht="13.8" x14ac:dyDescent="0.25">
      <c r="B916" s="248">
        <v>6143</v>
      </c>
      <c r="C916" s="243" t="s">
        <v>2460</v>
      </c>
      <c r="D916" s="243"/>
      <c r="E916" s="243"/>
      <c r="F916" s="243"/>
      <c r="G916" s="243"/>
      <c r="H916" s="249">
        <v>22</v>
      </c>
    </row>
    <row r="917" spans="2:8" ht="13.8" x14ac:dyDescent="0.25">
      <c r="B917" s="248">
        <v>6144</v>
      </c>
      <c r="C917" s="243" t="s">
        <v>2461</v>
      </c>
      <c r="D917" s="243"/>
      <c r="E917" s="243"/>
      <c r="F917" s="243"/>
      <c r="G917" s="243"/>
      <c r="H917" s="249">
        <v>13</v>
      </c>
    </row>
    <row r="918" spans="2:8" ht="13.8" x14ac:dyDescent="0.25">
      <c r="B918" s="248">
        <v>6145</v>
      </c>
      <c r="C918" s="243" t="s">
        <v>2462</v>
      </c>
      <c r="D918" s="243"/>
      <c r="E918" s="243"/>
      <c r="F918" s="243"/>
      <c r="G918" s="243"/>
      <c r="H918" s="249">
        <v>12</v>
      </c>
    </row>
    <row r="919" spans="2:8" ht="13.8" x14ac:dyDescent="0.25">
      <c r="B919" s="248">
        <v>6146</v>
      </c>
      <c r="C919" s="243" t="s">
        <v>2463</v>
      </c>
      <c r="D919" s="243"/>
      <c r="E919" s="243"/>
      <c r="F919" s="243"/>
      <c r="G919" s="243"/>
      <c r="H919" s="249">
        <v>10</v>
      </c>
    </row>
    <row r="920" spans="2:8" ht="14.4" thickBot="1" x14ac:dyDescent="0.3">
      <c r="B920" s="250">
        <v>6147</v>
      </c>
      <c r="C920" s="251" t="s">
        <v>2464</v>
      </c>
      <c r="D920" s="251"/>
      <c r="E920" s="251"/>
      <c r="F920" s="251"/>
      <c r="G920" s="251"/>
      <c r="H920" s="252">
        <v>13</v>
      </c>
    </row>
    <row r="921" spans="2:8" ht="13.8" thickBot="1" x14ac:dyDescent="0.3"/>
    <row r="922" spans="2:8" ht="14.4" thickBot="1" x14ac:dyDescent="0.3">
      <c r="B922" s="375" t="s">
        <v>2465</v>
      </c>
      <c r="C922" s="376"/>
      <c r="D922" s="376"/>
      <c r="E922" s="376"/>
      <c r="F922" s="376"/>
      <c r="G922" s="376"/>
      <c r="H922" s="377"/>
    </row>
    <row r="923" spans="2:8" ht="14.4" thickBot="1" x14ac:dyDescent="0.3">
      <c r="B923" s="375" t="s">
        <v>2466</v>
      </c>
      <c r="C923" s="376"/>
      <c r="D923" s="376"/>
      <c r="E923" s="376"/>
      <c r="F923" s="376"/>
      <c r="G923" s="376"/>
      <c r="H923" s="377"/>
    </row>
    <row r="924" spans="2:8" ht="13.8" x14ac:dyDescent="0.25">
      <c r="B924" s="248">
        <v>7101</v>
      </c>
      <c r="C924" s="243" t="s">
        <v>2467</v>
      </c>
      <c r="D924" s="243"/>
      <c r="E924" s="243"/>
      <c r="F924" s="243"/>
      <c r="G924" s="243"/>
      <c r="H924" s="249">
        <v>8</v>
      </c>
    </row>
    <row r="925" spans="2:8" ht="13.8" x14ac:dyDescent="0.25">
      <c r="B925" s="248">
        <v>7102</v>
      </c>
      <c r="C925" s="243" t="s">
        <v>2468</v>
      </c>
      <c r="D925" s="243"/>
      <c r="E925" s="243"/>
      <c r="F925" s="243"/>
      <c r="G925" s="243"/>
      <c r="H925" s="249">
        <v>8</v>
      </c>
    </row>
    <row r="926" spans="2:8" ht="13.8" x14ac:dyDescent="0.25">
      <c r="B926" s="248">
        <v>7103</v>
      </c>
      <c r="C926" s="243" t="s">
        <v>2469</v>
      </c>
      <c r="D926" s="243"/>
      <c r="E926" s="243"/>
      <c r="F926" s="243"/>
      <c r="G926" s="243"/>
      <c r="H926" s="249">
        <v>8</v>
      </c>
    </row>
    <row r="927" spans="2:8" ht="13.8" x14ac:dyDescent="0.25">
      <c r="B927" s="248">
        <v>7104</v>
      </c>
      <c r="C927" s="243" t="s">
        <v>2470</v>
      </c>
      <c r="D927" s="243"/>
      <c r="E927" s="243"/>
      <c r="F927" s="243"/>
      <c r="G927" s="243"/>
      <c r="H927" s="249">
        <v>20</v>
      </c>
    </row>
    <row r="928" spans="2:8" ht="13.8" x14ac:dyDescent="0.25">
      <c r="B928" s="248">
        <v>7105</v>
      </c>
      <c r="C928" s="243" t="s">
        <v>2471</v>
      </c>
      <c r="D928" s="243"/>
      <c r="E928" s="243"/>
      <c r="F928" s="243"/>
      <c r="G928" s="243"/>
      <c r="H928" s="249">
        <v>20</v>
      </c>
    </row>
    <row r="929" spans="2:8" ht="13.8" x14ac:dyDescent="0.25">
      <c r="B929" s="248">
        <v>7106</v>
      </c>
      <c r="C929" s="243" t="s">
        <v>2472</v>
      </c>
      <c r="D929" s="243"/>
      <c r="E929" s="243"/>
      <c r="F929" s="243"/>
      <c r="G929" s="243"/>
      <c r="H929" s="249">
        <v>23</v>
      </c>
    </row>
    <row r="930" spans="2:8" ht="13.8" x14ac:dyDescent="0.25">
      <c r="B930" s="248">
        <v>7107</v>
      </c>
      <c r="C930" s="243" t="s">
        <v>2473</v>
      </c>
      <c r="D930" s="243"/>
      <c r="E930" s="243"/>
      <c r="F930" s="243"/>
      <c r="G930" s="243"/>
      <c r="H930" s="249">
        <v>22</v>
      </c>
    </row>
    <row r="931" spans="2:8" ht="13.8" x14ac:dyDescent="0.25">
      <c r="B931" s="248">
        <v>7108</v>
      </c>
      <c r="C931" s="243" t="s">
        <v>2474</v>
      </c>
      <c r="D931" s="243"/>
      <c r="E931" s="243"/>
      <c r="F931" s="243"/>
      <c r="G931" s="243"/>
      <c r="H931" s="249">
        <v>20</v>
      </c>
    </row>
    <row r="932" spans="2:8" ht="13.8" x14ac:dyDescent="0.25">
      <c r="B932" s="248">
        <v>7109</v>
      </c>
      <c r="C932" s="243" t="s">
        <v>2475</v>
      </c>
      <c r="D932" s="243"/>
      <c r="E932" s="243"/>
      <c r="F932" s="243"/>
      <c r="G932" s="243"/>
      <c r="H932" s="249">
        <v>13</v>
      </c>
    </row>
    <row r="933" spans="2:8" ht="13.8" x14ac:dyDescent="0.25">
      <c r="B933" s="248">
        <v>7110</v>
      </c>
      <c r="C933" s="243" t="s">
        <v>2476</v>
      </c>
      <c r="D933" s="243"/>
      <c r="E933" s="243"/>
      <c r="F933" s="243"/>
      <c r="G933" s="243"/>
      <c r="H933" s="249">
        <v>10</v>
      </c>
    </row>
    <row r="934" spans="2:8" ht="13.8" x14ac:dyDescent="0.25">
      <c r="B934" s="248">
        <v>7111</v>
      </c>
      <c r="C934" s="243" t="s">
        <v>2477</v>
      </c>
      <c r="D934" s="243"/>
      <c r="E934" s="243"/>
      <c r="F934" s="243"/>
      <c r="G934" s="243"/>
      <c r="H934" s="249">
        <v>10</v>
      </c>
    </row>
    <row r="935" spans="2:8" ht="13.8" x14ac:dyDescent="0.25">
      <c r="B935" s="248">
        <v>7112</v>
      </c>
      <c r="C935" s="243" t="s">
        <v>2478</v>
      </c>
      <c r="D935" s="243"/>
      <c r="E935" s="243"/>
      <c r="F935" s="243"/>
      <c r="G935" s="243"/>
      <c r="H935" s="249">
        <v>13</v>
      </c>
    </row>
    <row r="936" spans="2:8" ht="14.4" thickBot="1" x14ac:dyDescent="0.3">
      <c r="B936" s="248">
        <v>7113</v>
      </c>
      <c r="C936" s="243" t="s">
        <v>2479</v>
      </c>
      <c r="D936" s="243"/>
      <c r="E936" s="243"/>
      <c r="F936" s="243"/>
      <c r="G936" s="243"/>
      <c r="H936" s="249">
        <v>12</v>
      </c>
    </row>
    <row r="937" spans="2:8" ht="14.4" thickBot="1" x14ac:dyDescent="0.3">
      <c r="B937" s="375" t="s">
        <v>2480</v>
      </c>
      <c r="C937" s="376"/>
      <c r="D937" s="376"/>
      <c r="E937" s="376"/>
      <c r="F937" s="376"/>
      <c r="G937" s="376"/>
      <c r="H937" s="377"/>
    </row>
    <row r="938" spans="2:8" ht="13.8" x14ac:dyDescent="0.25">
      <c r="B938" s="248">
        <v>7114</v>
      </c>
      <c r="C938" s="243" t="s">
        <v>2481</v>
      </c>
      <c r="D938" s="243"/>
      <c r="E938" s="243"/>
      <c r="F938" s="243"/>
      <c r="G938" s="243"/>
      <c r="H938" s="249">
        <v>8</v>
      </c>
    </row>
    <row r="939" spans="2:8" ht="13.8" x14ac:dyDescent="0.25">
      <c r="B939" s="248">
        <v>7115</v>
      </c>
      <c r="C939" s="243" t="s">
        <v>2482</v>
      </c>
      <c r="D939" s="243"/>
      <c r="E939" s="243"/>
      <c r="F939" s="243"/>
      <c r="G939" s="243"/>
      <c r="H939" s="249">
        <v>8</v>
      </c>
    </row>
    <row r="940" spans="2:8" ht="13.8" x14ac:dyDescent="0.25">
      <c r="B940" s="248">
        <v>7116</v>
      </c>
      <c r="C940" s="243" t="s">
        <v>2483</v>
      </c>
      <c r="D940" s="243"/>
      <c r="E940" s="243"/>
      <c r="F940" s="243"/>
      <c r="G940" s="243"/>
      <c r="H940" s="249">
        <v>10</v>
      </c>
    </row>
    <row r="941" spans="2:8" ht="13.8" x14ac:dyDescent="0.25">
      <c r="B941" s="248">
        <v>7117</v>
      </c>
      <c r="C941" s="243" t="s">
        <v>2484</v>
      </c>
      <c r="D941" s="243"/>
      <c r="E941" s="243"/>
      <c r="F941" s="243"/>
      <c r="G941" s="243"/>
      <c r="H941" s="249">
        <v>20</v>
      </c>
    </row>
    <row r="942" spans="2:8" ht="13.8" x14ac:dyDescent="0.25">
      <c r="B942" s="248">
        <v>7118</v>
      </c>
      <c r="C942" s="243" t="s">
        <v>2485</v>
      </c>
      <c r="D942" s="243"/>
      <c r="E942" s="243"/>
      <c r="F942" s="243"/>
      <c r="G942" s="243"/>
      <c r="H942" s="249">
        <v>22</v>
      </c>
    </row>
    <row r="943" spans="2:8" ht="13.8" x14ac:dyDescent="0.25">
      <c r="B943" s="248">
        <v>7119</v>
      </c>
      <c r="C943" s="243" t="s">
        <v>2486</v>
      </c>
      <c r="D943" s="243"/>
      <c r="E943" s="243"/>
      <c r="F943" s="243"/>
      <c r="G943" s="243"/>
      <c r="H943" s="249">
        <v>13</v>
      </c>
    </row>
    <row r="944" spans="2:8" ht="13.8" x14ac:dyDescent="0.25">
      <c r="B944" s="248">
        <v>7120</v>
      </c>
      <c r="C944" s="243" t="s">
        <v>2487</v>
      </c>
      <c r="D944" s="243"/>
      <c r="E944" s="243"/>
      <c r="F944" s="243"/>
      <c r="G944" s="243"/>
      <c r="H944" s="249">
        <v>13</v>
      </c>
    </row>
    <row r="945" spans="2:8" ht="13.8" x14ac:dyDescent="0.25">
      <c r="B945" s="248">
        <v>7121</v>
      </c>
      <c r="C945" s="243" t="s">
        <v>2488</v>
      </c>
      <c r="D945" s="243"/>
      <c r="E945" s="243"/>
      <c r="F945" s="243"/>
      <c r="G945" s="243"/>
      <c r="H945" s="249">
        <v>13</v>
      </c>
    </row>
    <row r="946" spans="2:8" ht="13.8" x14ac:dyDescent="0.25">
      <c r="B946" s="248">
        <v>7122</v>
      </c>
      <c r="C946" s="243" t="s">
        <v>2489</v>
      </c>
      <c r="D946" s="243"/>
      <c r="E946" s="243"/>
      <c r="F946" s="243"/>
      <c r="G946" s="243"/>
      <c r="H946" s="249">
        <v>13</v>
      </c>
    </row>
    <row r="947" spans="2:8" ht="13.8" x14ac:dyDescent="0.25">
      <c r="B947" s="248">
        <v>7123</v>
      </c>
      <c r="C947" s="243" t="s">
        <v>2490</v>
      </c>
      <c r="D947" s="243"/>
      <c r="E947" s="243"/>
      <c r="F947" s="243"/>
      <c r="G947" s="243"/>
      <c r="H947" s="249">
        <v>13</v>
      </c>
    </row>
    <row r="948" spans="2:8" ht="13.8" x14ac:dyDescent="0.25">
      <c r="B948" s="248">
        <v>7124</v>
      </c>
      <c r="C948" s="243" t="s">
        <v>2491</v>
      </c>
      <c r="D948" s="243"/>
      <c r="E948" s="243"/>
      <c r="F948" s="243"/>
      <c r="G948" s="243"/>
      <c r="H948" s="249">
        <v>13</v>
      </c>
    </row>
    <row r="949" spans="2:8" ht="13.8" x14ac:dyDescent="0.25">
      <c r="B949" s="248">
        <v>7125</v>
      </c>
      <c r="C949" s="243" t="s">
        <v>2492</v>
      </c>
      <c r="D949" s="243"/>
      <c r="E949" s="243"/>
      <c r="F949" s="243"/>
      <c r="G949" s="243"/>
      <c r="H949" s="249">
        <v>20</v>
      </c>
    </row>
    <row r="950" spans="2:8" ht="13.8" x14ac:dyDescent="0.25">
      <c r="B950" s="248">
        <v>7126</v>
      </c>
      <c r="C950" s="243" t="s">
        <v>2493</v>
      </c>
      <c r="D950" s="243"/>
      <c r="E950" s="243"/>
      <c r="F950" s="243"/>
      <c r="G950" s="243"/>
      <c r="H950" s="249">
        <v>22</v>
      </c>
    </row>
    <row r="951" spans="2:8" ht="13.8" x14ac:dyDescent="0.25">
      <c r="B951" s="248">
        <v>7127</v>
      </c>
      <c r="C951" s="243" t="s">
        <v>2494</v>
      </c>
      <c r="D951" s="243"/>
      <c r="E951" s="243"/>
      <c r="F951" s="243"/>
      <c r="G951" s="243"/>
      <c r="H951" s="249">
        <v>13</v>
      </c>
    </row>
    <row r="952" spans="2:8" ht="13.8" x14ac:dyDescent="0.25">
      <c r="B952" s="248">
        <v>7128</v>
      </c>
      <c r="C952" s="243" t="s">
        <v>2495</v>
      </c>
      <c r="D952" s="243"/>
      <c r="E952" s="243"/>
      <c r="F952" s="243"/>
      <c r="G952" s="243"/>
      <c r="H952" s="249">
        <v>8</v>
      </c>
    </row>
    <row r="953" spans="2:8" ht="14.4" thickBot="1" x14ac:dyDescent="0.3">
      <c r="B953" s="248">
        <v>7129</v>
      </c>
      <c r="C953" s="243" t="s">
        <v>2496</v>
      </c>
      <c r="D953" s="243"/>
      <c r="E953" s="243"/>
      <c r="F953" s="243"/>
      <c r="G953" s="243"/>
      <c r="H953" s="249">
        <v>10</v>
      </c>
    </row>
    <row r="954" spans="2:8" ht="14.4" thickBot="1" x14ac:dyDescent="0.3">
      <c r="B954" s="375" t="s">
        <v>2497</v>
      </c>
      <c r="C954" s="376"/>
      <c r="D954" s="376"/>
      <c r="E954" s="376"/>
      <c r="F954" s="376"/>
      <c r="G954" s="376"/>
      <c r="H954" s="377"/>
    </row>
    <row r="955" spans="2:8" ht="13.8" x14ac:dyDescent="0.25">
      <c r="B955" s="248">
        <v>7130</v>
      </c>
      <c r="C955" s="243" t="s">
        <v>2498</v>
      </c>
      <c r="D955" s="243"/>
      <c r="E955" s="243"/>
      <c r="F955" s="243"/>
      <c r="G955" s="243"/>
      <c r="H955" s="249">
        <v>10</v>
      </c>
    </row>
    <row r="956" spans="2:8" ht="13.8" x14ac:dyDescent="0.25">
      <c r="B956" s="248">
        <v>7131</v>
      </c>
      <c r="C956" s="243" t="s">
        <v>2499</v>
      </c>
      <c r="D956" s="243"/>
      <c r="E956" s="243"/>
      <c r="F956" s="243"/>
      <c r="G956" s="243"/>
      <c r="H956" s="249">
        <v>10</v>
      </c>
    </row>
    <row r="957" spans="2:8" ht="13.8" x14ac:dyDescent="0.25">
      <c r="B957" s="248">
        <v>7132</v>
      </c>
      <c r="C957" s="243" t="s">
        <v>2500</v>
      </c>
      <c r="D957" s="243"/>
      <c r="E957" s="243"/>
      <c r="F957" s="243"/>
      <c r="G957" s="243"/>
      <c r="H957" s="249">
        <v>13</v>
      </c>
    </row>
    <row r="958" spans="2:8" ht="13.8" x14ac:dyDescent="0.25">
      <c r="B958" s="248">
        <v>7133</v>
      </c>
      <c r="C958" s="243" t="s">
        <v>2501</v>
      </c>
      <c r="D958" s="243"/>
      <c r="E958" s="243"/>
      <c r="F958" s="243"/>
      <c r="G958" s="243"/>
      <c r="H958" s="249">
        <v>13</v>
      </c>
    </row>
    <row r="959" spans="2:8" ht="13.8" x14ac:dyDescent="0.25">
      <c r="B959" s="248">
        <v>7134</v>
      </c>
      <c r="C959" s="243" t="s">
        <v>2502</v>
      </c>
      <c r="D959" s="243"/>
      <c r="E959" s="243"/>
      <c r="F959" s="243"/>
      <c r="G959" s="243"/>
      <c r="H959" s="249">
        <v>13</v>
      </c>
    </row>
    <row r="960" spans="2:8" ht="13.8" x14ac:dyDescent="0.25">
      <c r="B960" s="248">
        <v>7135</v>
      </c>
      <c r="C960" s="243" t="s">
        <v>2503</v>
      </c>
      <c r="D960" s="243"/>
      <c r="E960" s="243"/>
      <c r="F960" s="243"/>
      <c r="G960" s="243"/>
      <c r="H960" s="249">
        <v>13</v>
      </c>
    </row>
    <row r="961" spans="2:8" ht="13.8" x14ac:dyDescent="0.25">
      <c r="B961" s="248">
        <v>7136</v>
      </c>
      <c r="C961" s="243" t="s">
        <v>2504</v>
      </c>
      <c r="D961" s="243"/>
      <c r="E961" s="243"/>
      <c r="F961" s="243"/>
      <c r="G961" s="243"/>
      <c r="H961" s="249">
        <v>12</v>
      </c>
    </row>
    <row r="962" spans="2:8" ht="13.8" x14ac:dyDescent="0.25">
      <c r="B962" s="248">
        <v>7137</v>
      </c>
      <c r="C962" s="243" t="s">
        <v>2505</v>
      </c>
      <c r="D962" s="243"/>
      <c r="E962" s="243"/>
      <c r="F962" s="243"/>
      <c r="G962" s="243"/>
      <c r="H962" s="249">
        <v>20</v>
      </c>
    </row>
    <row r="963" spans="2:8" ht="13.8" x14ac:dyDescent="0.25">
      <c r="B963" s="248">
        <v>7138</v>
      </c>
      <c r="C963" s="243" t="s">
        <v>2506</v>
      </c>
      <c r="D963" s="243"/>
      <c r="E963" s="243"/>
      <c r="F963" s="243"/>
      <c r="G963" s="243"/>
      <c r="H963" s="249">
        <v>22</v>
      </c>
    </row>
    <row r="964" spans="2:8" ht="13.8" x14ac:dyDescent="0.25">
      <c r="B964" s="248">
        <v>7139</v>
      </c>
      <c r="C964" s="243" t="s">
        <v>2507</v>
      </c>
      <c r="D964" s="243"/>
      <c r="E964" s="243"/>
      <c r="F964" s="243"/>
      <c r="G964" s="243"/>
      <c r="H964" s="249">
        <v>20</v>
      </c>
    </row>
    <row r="965" spans="2:8" ht="13.8" x14ac:dyDescent="0.25">
      <c r="B965" s="248">
        <v>7140</v>
      </c>
      <c r="C965" s="243" t="s">
        <v>2508</v>
      </c>
      <c r="D965" s="243"/>
      <c r="E965" s="243"/>
      <c r="F965" s="243"/>
      <c r="G965" s="243"/>
      <c r="H965" s="249">
        <v>22</v>
      </c>
    </row>
    <row r="966" spans="2:8" ht="13.8" x14ac:dyDescent="0.25">
      <c r="B966" s="248">
        <v>7141</v>
      </c>
      <c r="C966" s="243" t="s">
        <v>2509</v>
      </c>
      <c r="D966" s="243"/>
      <c r="E966" s="243"/>
      <c r="F966" s="243"/>
      <c r="G966" s="243"/>
      <c r="H966" s="249">
        <v>23</v>
      </c>
    </row>
    <row r="967" spans="2:8" ht="13.8" x14ac:dyDescent="0.25">
      <c r="B967" s="248">
        <v>7142</v>
      </c>
      <c r="C967" s="243" t="s">
        <v>2510</v>
      </c>
      <c r="D967" s="243"/>
      <c r="E967" s="243"/>
      <c r="F967" s="243"/>
      <c r="G967" s="243"/>
      <c r="H967" s="249">
        <v>8</v>
      </c>
    </row>
    <row r="968" spans="2:8" ht="13.8" x14ac:dyDescent="0.25">
      <c r="B968" s="248">
        <v>7143</v>
      </c>
      <c r="C968" s="243" t="s">
        <v>2511</v>
      </c>
      <c r="D968" s="243"/>
      <c r="E968" s="243"/>
      <c r="F968" s="243"/>
      <c r="G968" s="243"/>
      <c r="H968" s="249">
        <v>10</v>
      </c>
    </row>
    <row r="969" spans="2:8" ht="13.8" x14ac:dyDescent="0.25">
      <c r="B969" s="248">
        <v>7144</v>
      </c>
      <c r="C969" s="243" t="s">
        <v>2512</v>
      </c>
      <c r="D969" s="243"/>
      <c r="E969" s="243"/>
      <c r="F969" s="243"/>
      <c r="G969" s="243"/>
      <c r="H969" s="249">
        <v>13</v>
      </c>
    </row>
    <row r="970" spans="2:8" ht="13.8" x14ac:dyDescent="0.25">
      <c r="B970" s="248">
        <v>7145</v>
      </c>
      <c r="C970" s="243" t="s">
        <v>2513</v>
      </c>
      <c r="D970" s="243"/>
      <c r="E970" s="243"/>
      <c r="F970" s="243"/>
      <c r="G970" s="243"/>
      <c r="H970" s="249">
        <v>12</v>
      </c>
    </row>
    <row r="971" spans="2:8" ht="13.8" x14ac:dyDescent="0.25">
      <c r="B971" s="248">
        <v>7146</v>
      </c>
      <c r="C971" s="243" t="s">
        <v>2514</v>
      </c>
      <c r="D971" s="243"/>
      <c r="E971" s="243"/>
      <c r="F971" s="243"/>
      <c r="G971" s="243"/>
      <c r="H971" s="249">
        <v>13</v>
      </c>
    </row>
    <row r="972" spans="2:8" ht="13.8" x14ac:dyDescent="0.25">
      <c r="B972" s="248">
        <v>7147</v>
      </c>
      <c r="C972" s="243" t="s">
        <v>2515</v>
      </c>
      <c r="D972" s="243"/>
      <c r="E972" s="243"/>
      <c r="F972" s="243"/>
      <c r="G972" s="243"/>
      <c r="H972" s="249">
        <v>20</v>
      </c>
    </row>
    <row r="973" spans="2:8" ht="13.8" x14ac:dyDescent="0.25">
      <c r="B973" s="248">
        <v>7148</v>
      </c>
      <c r="C973" s="243" t="s">
        <v>2516</v>
      </c>
      <c r="D973" s="243"/>
      <c r="E973" s="243"/>
      <c r="F973" s="243"/>
      <c r="G973" s="243"/>
      <c r="H973" s="249">
        <v>13</v>
      </c>
    </row>
    <row r="974" spans="2:8" ht="13.8" x14ac:dyDescent="0.25">
      <c r="B974" s="248">
        <v>7149</v>
      </c>
      <c r="C974" s="243" t="s">
        <v>2517</v>
      </c>
      <c r="D974" s="243"/>
      <c r="E974" s="243"/>
      <c r="F974" s="243"/>
      <c r="G974" s="243"/>
      <c r="H974" s="249">
        <v>20</v>
      </c>
    </row>
    <row r="975" spans="2:8" ht="13.8" x14ac:dyDescent="0.25">
      <c r="B975" s="248">
        <v>7150</v>
      </c>
      <c r="C975" s="243" t="s">
        <v>2518</v>
      </c>
      <c r="D975" s="243"/>
      <c r="E975" s="243"/>
      <c r="F975" s="243"/>
      <c r="G975" s="243"/>
      <c r="H975" s="249">
        <v>12</v>
      </c>
    </row>
    <row r="976" spans="2:8" ht="14.4" thickBot="1" x14ac:dyDescent="0.3">
      <c r="B976" s="248">
        <v>7151</v>
      </c>
      <c r="C976" s="243" t="s">
        <v>2519</v>
      </c>
      <c r="D976" s="243"/>
      <c r="E976" s="243"/>
      <c r="F976" s="243"/>
      <c r="G976" s="243"/>
      <c r="H976" s="249">
        <v>22</v>
      </c>
    </row>
    <row r="977" spans="2:8" ht="14.4" thickBot="1" x14ac:dyDescent="0.3">
      <c r="B977" s="375" t="s">
        <v>2520</v>
      </c>
      <c r="C977" s="376"/>
      <c r="D977" s="376"/>
      <c r="E977" s="376"/>
      <c r="F977" s="376"/>
      <c r="G977" s="376"/>
      <c r="H977" s="377"/>
    </row>
    <row r="978" spans="2:8" ht="13.8" x14ac:dyDescent="0.25">
      <c r="B978" s="248">
        <v>7152</v>
      </c>
      <c r="C978" s="243" t="s">
        <v>2521</v>
      </c>
      <c r="D978" s="243"/>
      <c r="E978" s="243"/>
      <c r="F978" s="243"/>
      <c r="G978" s="243"/>
      <c r="H978" s="249">
        <v>12</v>
      </c>
    </row>
    <row r="979" spans="2:8" ht="13.8" x14ac:dyDescent="0.25">
      <c r="B979" s="248">
        <v>7153</v>
      </c>
      <c r="C979" s="243" t="s">
        <v>2522</v>
      </c>
      <c r="D979" s="243"/>
      <c r="E979" s="243"/>
      <c r="F979" s="243"/>
      <c r="G979" s="243"/>
      <c r="H979" s="249">
        <v>13</v>
      </c>
    </row>
    <row r="980" spans="2:8" ht="13.8" x14ac:dyDescent="0.25">
      <c r="B980" s="248">
        <v>7154</v>
      </c>
      <c r="C980" s="243" t="s">
        <v>2523</v>
      </c>
      <c r="D980" s="243"/>
      <c r="E980" s="243"/>
      <c r="F980" s="243"/>
      <c r="G980" s="243"/>
      <c r="H980" s="249">
        <v>13</v>
      </c>
    </row>
    <row r="981" spans="2:8" ht="13.8" x14ac:dyDescent="0.25">
      <c r="B981" s="248">
        <v>7155</v>
      </c>
      <c r="C981" s="243" t="s">
        <v>2524</v>
      </c>
      <c r="D981" s="243"/>
      <c r="E981" s="243"/>
      <c r="F981" s="243"/>
      <c r="G981" s="243"/>
      <c r="H981" s="249">
        <v>13</v>
      </c>
    </row>
    <row r="982" spans="2:8" ht="13.8" x14ac:dyDescent="0.25">
      <c r="B982" s="248">
        <v>7156</v>
      </c>
      <c r="C982" s="243" t="s">
        <v>2525</v>
      </c>
      <c r="D982" s="243"/>
      <c r="E982" s="243"/>
      <c r="F982" s="243"/>
      <c r="G982" s="243"/>
      <c r="H982" s="249">
        <v>12</v>
      </c>
    </row>
    <row r="983" spans="2:8" ht="13.8" x14ac:dyDescent="0.25">
      <c r="B983" s="248">
        <v>7157</v>
      </c>
      <c r="C983" s="243" t="s">
        <v>2526</v>
      </c>
      <c r="D983" s="243"/>
      <c r="E983" s="243"/>
      <c r="F983" s="243"/>
      <c r="G983" s="243"/>
      <c r="H983" s="249">
        <v>13</v>
      </c>
    </row>
    <row r="984" spans="2:8" ht="13.8" x14ac:dyDescent="0.25">
      <c r="B984" s="248">
        <v>7158</v>
      </c>
      <c r="C984" s="243" t="s">
        <v>2527</v>
      </c>
      <c r="D984" s="243"/>
      <c r="E984" s="243"/>
      <c r="F984" s="243"/>
      <c r="G984" s="243"/>
      <c r="H984" s="249">
        <v>22</v>
      </c>
    </row>
    <row r="985" spans="2:8" ht="13.8" x14ac:dyDescent="0.25">
      <c r="B985" s="248">
        <v>7159</v>
      </c>
      <c r="C985" s="243" t="s">
        <v>2528</v>
      </c>
      <c r="D985" s="243"/>
      <c r="E985" s="243"/>
      <c r="F985" s="243"/>
      <c r="G985" s="243"/>
      <c r="H985" s="249">
        <v>23</v>
      </c>
    </row>
    <row r="986" spans="2:8" ht="13.8" x14ac:dyDescent="0.25">
      <c r="B986" s="248">
        <v>7160</v>
      </c>
      <c r="C986" s="243" t="s">
        <v>2529</v>
      </c>
      <c r="D986" s="243"/>
      <c r="E986" s="243"/>
      <c r="F986" s="243"/>
      <c r="G986" s="243"/>
      <c r="H986" s="249">
        <v>12</v>
      </c>
    </row>
    <row r="987" spans="2:8" ht="13.8" x14ac:dyDescent="0.25">
      <c r="B987" s="248">
        <v>7161</v>
      </c>
      <c r="C987" s="243" t="s">
        <v>2530</v>
      </c>
      <c r="D987" s="243"/>
      <c r="E987" s="243"/>
      <c r="F987" s="243"/>
      <c r="G987" s="243"/>
      <c r="H987" s="249">
        <v>10</v>
      </c>
    </row>
    <row r="988" spans="2:8" ht="13.8" x14ac:dyDescent="0.25">
      <c r="B988" s="248">
        <v>7162</v>
      </c>
      <c r="C988" s="243" t="s">
        <v>2531</v>
      </c>
      <c r="D988" s="243"/>
      <c r="E988" s="243"/>
      <c r="F988" s="243"/>
      <c r="G988" s="243"/>
      <c r="H988" s="249">
        <v>8</v>
      </c>
    </row>
    <row r="989" spans="2:8" ht="13.8" x14ac:dyDescent="0.25">
      <c r="B989" s="248">
        <v>7163</v>
      </c>
      <c r="C989" s="243" t="s">
        <v>2532</v>
      </c>
      <c r="D989" s="243"/>
      <c r="E989" s="243"/>
      <c r="F989" s="243"/>
      <c r="G989" s="243"/>
      <c r="H989" s="249">
        <v>22</v>
      </c>
    </row>
    <row r="990" spans="2:8" ht="13.8" x14ac:dyDescent="0.25">
      <c r="B990" s="248">
        <v>7164</v>
      </c>
      <c r="C990" s="243" t="s">
        <v>2533</v>
      </c>
      <c r="D990" s="243"/>
      <c r="E990" s="243"/>
      <c r="F990" s="243"/>
      <c r="G990" s="243"/>
      <c r="H990" s="249">
        <v>13</v>
      </c>
    </row>
    <row r="991" spans="2:8" ht="13.8" x14ac:dyDescent="0.25">
      <c r="B991" s="248">
        <v>7165</v>
      </c>
      <c r="C991" s="243" t="s">
        <v>2534</v>
      </c>
      <c r="D991" s="243"/>
      <c r="E991" s="243"/>
      <c r="F991" s="243"/>
      <c r="G991" s="243"/>
      <c r="H991" s="249">
        <v>12</v>
      </c>
    </row>
    <row r="992" spans="2:8" ht="13.8" x14ac:dyDescent="0.25">
      <c r="B992" s="248">
        <v>7166</v>
      </c>
      <c r="C992" s="243" t="s">
        <v>2535</v>
      </c>
      <c r="D992" s="243"/>
      <c r="E992" s="243"/>
      <c r="F992" s="243"/>
      <c r="G992" s="243"/>
      <c r="H992" s="249">
        <v>22</v>
      </c>
    </row>
    <row r="993" spans="2:8" ht="13.8" x14ac:dyDescent="0.25">
      <c r="B993" s="248">
        <v>7167</v>
      </c>
      <c r="C993" s="243" t="s">
        <v>2536</v>
      </c>
      <c r="D993" s="243"/>
      <c r="E993" s="243"/>
      <c r="F993" s="243"/>
      <c r="G993" s="243"/>
      <c r="H993" s="249">
        <v>13</v>
      </c>
    </row>
    <row r="994" spans="2:8" ht="14.4" thickBot="1" x14ac:dyDescent="0.3">
      <c r="B994" s="248">
        <v>7168</v>
      </c>
      <c r="C994" s="243" t="s">
        <v>2537</v>
      </c>
      <c r="D994" s="243"/>
      <c r="E994" s="243"/>
      <c r="F994" s="243"/>
      <c r="G994" s="243"/>
      <c r="H994" s="249">
        <v>10</v>
      </c>
    </row>
    <row r="995" spans="2:8" ht="14.4" thickBot="1" x14ac:dyDescent="0.3">
      <c r="B995" s="375" t="s">
        <v>2538</v>
      </c>
      <c r="C995" s="376"/>
      <c r="D995" s="376"/>
      <c r="E995" s="376"/>
      <c r="F995" s="376"/>
      <c r="G995" s="376"/>
      <c r="H995" s="377"/>
    </row>
    <row r="996" spans="2:8" ht="13.8" x14ac:dyDescent="0.25">
      <c r="B996" s="248">
        <v>7169</v>
      </c>
      <c r="C996" s="243" t="s">
        <v>2539</v>
      </c>
      <c r="D996" s="243"/>
      <c r="E996" s="243"/>
      <c r="F996" s="243"/>
      <c r="G996" s="243"/>
      <c r="H996" s="249">
        <v>22</v>
      </c>
    </row>
    <row r="997" spans="2:8" ht="13.8" x14ac:dyDescent="0.25">
      <c r="B997" s="248">
        <v>7170</v>
      </c>
      <c r="C997" s="243" t="s">
        <v>2540</v>
      </c>
      <c r="D997" s="243"/>
      <c r="E997" s="243"/>
      <c r="F997" s="243"/>
      <c r="G997" s="243"/>
      <c r="H997" s="249">
        <v>23</v>
      </c>
    </row>
    <row r="998" spans="2:8" ht="13.8" x14ac:dyDescent="0.25">
      <c r="B998" s="248">
        <v>7171</v>
      </c>
      <c r="C998" s="243" t="s">
        <v>2541</v>
      </c>
      <c r="D998" s="243"/>
      <c r="E998" s="243"/>
      <c r="F998" s="243"/>
      <c r="G998" s="243"/>
      <c r="H998" s="249">
        <v>13</v>
      </c>
    </row>
    <row r="999" spans="2:8" ht="13.8" x14ac:dyDescent="0.25">
      <c r="B999" s="248">
        <v>7172</v>
      </c>
      <c r="C999" s="243" t="s">
        <v>2542</v>
      </c>
      <c r="D999" s="243"/>
      <c r="E999" s="243"/>
      <c r="F999" s="243"/>
      <c r="G999" s="243"/>
      <c r="H999" s="249">
        <v>23</v>
      </c>
    </row>
    <row r="1000" spans="2:8" ht="13.8" x14ac:dyDescent="0.25">
      <c r="B1000" s="248">
        <v>7173</v>
      </c>
      <c r="C1000" s="243" t="s">
        <v>2543</v>
      </c>
      <c r="D1000" s="243"/>
      <c r="E1000" s="243"/>
      <c r="F1000" s="243"/>
      <c r="G1000" s="243"/>
      <c r="H1000" s="249">
        <v>12</v>
      </c>
    </row>
    <row r="1001" spans="2:8" ht="13.8" x14ac:dyDescent="0.25">
      <c r="B1001" s="248">
        <v>7174</v>
      </c>
      <c r="C1001" s="243" t="s">
        <v>2544</v>
      </c>
      <c r="D1001" s="243"/>
      <c r="E1001" s="243"/>
      <c r="F1001" s="243"/>
      <c r="G1001" s="243"/>
      <c r="H1001" s="249">
        <v>12</v>
      </c>
    </row>
    <row r="1002" spans="2:8" ht="13.8" x14ac:dyDescent="0.25">
      <c r="B1002" s="248">
        <v>7175</v>
      </c>
      <c r="C1002" s="243" t="s">
        <v>2545</v>
      </c>
      <c r="D1002" s="243"/>
      <c r="E1002" s="243"/>
      <c r="F1002" s="243"/>
      <c r="G1002" s="243"/>
      <c r="H1002" s="249">
        <v>10</v>
      </c>
    </row>
    <row r="1003" spans="2:8" ht="13.8" x14ac:dyDescent="0.25">
      <c r="B1003" s="248">
        <v>7176</v>
      </c>
      <c r="C1003" s="243" t="s">
        <v>2546</v>
      </c>
      <c r="D1003" s="243"/>
      <c r="E1003" s="243"/>
      <c r="F1003" s="243"/>
      <c r="G1003" s="243"/>
      <c r="H1003" s="249">
        <v>10</v>
      </c>
    </row>
    <row r="1004" spans="2:8" ht="13.8" x14ac:dyDescent="0.25">
      <c r="B1004" s="248">
        <v>7177</v>
      </c>
      <c r="C1004" s="243" t="s">
        <v>2547</v>
      </c>
      <c r="D1004" s="243"/>
      <c r="E1004" s="243"/>
      <c r="F1004" s="243"/>
      <c r="G1004" s="243"/>
      <c r="H1004" s="249">
        <v>22</v>
      </c>
    </row>
    <row r="1005" spans="2:8" ht="14.4" thickBot="1" x14ac:dyDescent="0.3">
      <c r="B1005" s="248">
        <v>7178</v>
      </c>
      <c r="C1005" s="243" t="s">
        <v>2548</v>
      </c>
      <c r="D1005" s="243"/>
      <c r="E1005" s="243"/>
      <c r="F1005" s="243"/>
      <c r="G1005" s="243"/>
      <c r="H1005" s="249">
        <v>10</v>
      </c>
    </row>
    <row r="1006" spans="2:8" ht="14.4" thickBot="1" x14ac:dyDescent="0.3">
      <c r="B1006" s="375" t="s">
        <v>2549</v>
      </c>
      <c r="C1006" s="376"/>
      <c r="D1006" s="376"/>
      <c r="E1006" s="376"/>
      <c r="F1006" s="376"/>
      <c r="G1006" s="376"/>
      <c r="H1006" s="377"/>
    </row>
    <row r="1007" spans="2:8" ht="13.8" x14ac:dyDescent="0.25">
      <c r="B1007" s="248">
        <v>7179</v>
      </c>
      <c r="C1007" s="243" t="s">
        <v>2550</v>
      </c>
      <c r="D1007" s="243"/>
      <c r="E1007" s="243"/>
      <c r="F1007" s="243"/>
      <c r="G1007" s="243"/>
      <c r="H1007" s="249">
        <v>10</v>
      </c>
    </row>
    <row r="1008" spans="2:8" ht="13.8" x14ac:dyDescent="0.25">
      <c r="B1008" s="248">
        <v>7180</v>
      </c>
      <c r="C1008" s="243" t="s">
        <v>2551</v>
      </c>
      <c r="D1008" s="243"/>
      <c r="E1008" s="243"/>
      <c r="F1008" s="243"/>
      <c r="G1008" s="243"/>
      <c r="H1008" s="249">
        <v>12</v>
      </c>
    </row>
    <row r="1009" spans="2:8" ht="13.8" x14ac:dyDescent="0.25">
      <c r="B1009" s="248">
        <v>7181</v>
      </c>
      <c r="C1009" s="243" t="s">
        <v>2552</v>
      </c>
      <c r="D1009" s="243"/>
      <c r="E1009" s="243"/>
      <c r="F1009" s="243"/>
      <c r="G1009" s="243"/>
      <c r="H1009" s="249">
        <v>8</v>
      </c>
    </row>
    <row r="1010" spans="2:8" ht="13.8" x14ac:dyDescent="0.25">
      <c r="B1010" s="248">
        <v>7182</v>
      </c>
      <c r="C1010" s="243" t="s">
        <v>2553</v>
      </c>
      <c r="D1010" s="243"/>
      <c r="E1010" s="243"/>
      <c r="F1010" s="243"/>
      <c r="G1010" s="243"/>
      <c r="H1010" s="249">
        <v>8</v>
      </c>
    </row>
    <row r="1011" spans="2:8" ht="13.8" x14ac:dyDescent="0.25">
      <c r="B1011" s="248">
        <v>7183</v>
      </c>
      <c r="C1011" s="243" t="s">
        <v>2554</v>
      </c>
      <c r="D1011" s="243"/>
      <c r="E1011" s="243"/>
      <c r="F1011" s="243"/>
      <c r="G1011" s="243"/>
      <c r="H1011" s="249">
        <v>12</v>
      </c>
    </row>
    <row r="1012" spans="2:8" ht="13.8" x14ac:dyDescent="0.25">
      <c r="B1012" s="248">
        <v>7184</v>
      </c>
      <c r="C1012" s="243" t="s">
        <v>2555</v>
      </c>
      <c r="D1012" s="243"/>
      <c r="E1012" s="243"/>
      <c r="F1012" s="243"/>
      <c r="G1012" s="243"/>
      <c r="H1012" s="249">
        <v>10</v>
      </c>
    </row>
    <row r="1013" spans="2:8" ht="13.8" x14ac:dyDescent="0.25">
      <c r="B1013" s="248">
        <v>7185</v>
      </c>
      <c r="C1013" s="243" t="s">
        <v>2556</v>
      </c>
      <c r="D1013" s="243"/>
      <c r="E1013" s="243"/>
      <c r="F1013" s="243"/>
      <c r="G1013" s="243"/>
      <c r="H1013" s="249">
        <v>10</v>
      </c>
    </row>
    <row r="1014" spans="2:8" ht="13.8" x14ac:dyDescent="0.25">
      <c r="B1014" s="248">
        <v>7186</v>
      </c>
      <c r="C1014" s="243" t="s">
        <v>2557</v>
      </c>
      <c r="D1014" s="243"/>
      <c r="E1014" s="243"/>
      <c r="F1014" s="243"/>
      <c r="G1014" s="243"/>
      <c r="H1014" s="249">
        <v>13</v>
      </c>
    </row>
    <row r="1015" spans="2:8" ht="13.8" x14ac:dyDescent="0.25">
      <c r="B1015" s="248">
        <v>7187</v>
      </c>
      <c r="C1015" s="243" t="s">
        <v>2558</v>
      </c>
      <c r="D1015" s="243"/>
      <c r="E1015" s="243"/>
      <c r="F1015" s="243"/>
      <c r="G1015" s="243"/>
      <c r="H1015" s="249">
        <v>12</v>
      </c>
    </row>
    <row r="1016" spans="2:8" ht="13.8" x14ac:dyDescent="0.25">
      <c r="B1016" s="248">
        <v>7188</v>
      </c>
      <c r="C1016" s="243" t="s">
        <v>2559</v>
      </c>
      <c r="D1016" s="243"/>
      <c r="E1016" s="243"/>
      <c r="F1016" s="243"/>
      <c r="G1016" s="243"/>
      <c r="H1016" s="249">
        <v>10</v>
      </c>
    </row>
    <row r="1017" spans="2:8" ht="13.8" x14ac:dyDescent="0.25">
      <c r="B1017" s="248">
        <v>7189</v>
      </c>
      <c r="C1017" s="243" t="s">
        <v>2560</v>
      </c>
      <c r="D1017" s="243"/>
      <c r="E1017" s="243"/>
      <c r="F1017" s="243"/>
      <c r="G1017" s="243"/>
      <c r="H1017" s="249">
        <v>12</v>
      </c>
    </row>
    <row r="1018" spans="2:8" ht="13.8" x14ac:dyDescent="0.25">
      <c r="B1018" s="248">
        <v>7190</v>
      </c>
      <c r="C1018" s="243" t="s">
        <v>2561</v>
      </c>
      <c r="D1018" s="243"/>
      <c r="E1018" s="243"/>
      <c r="F1018" s="243"/>
      <c r="G1018" s="243"/>
      <c r="H1018" s="249">
        <v>10</v>
      </c>
    </row>
    <row r="1019" spans="2:8" ht="13.8" x14ac:dyDescent="0.25">
      <c r="B1019" s="248">
        <v>7191</v>
      </c>
      <c r="C1019" s="243" t="s">
        <v>2562</v>
      </c>
      <c r="D1019" s="243"/>
      <c r="E1019" s="243"/>
      <c r="F1019" s="243"/>
      <c r="G1019" s="243"/>
      <c r="H1019" s="249">
        <v>12</v>
      </c>
    </row>
    <row r="1020" spans="2:8" ht="13.8" x14ac:dyDescent="0.25">
      <c r="B1020" s="248">
        <v>7192</v>
      </c>
      <c r="C1020" s="243" t="s">
        <v>2563</v>
      </c>
      <c r="D1020" s="243"/>
      <c r="E1020" s="243"/>
      <c r="F1020" s="243"/>
      <c r="G1020" s="243"/>
      <c r="H1020" s="249">
        <v>12</v>
      </c>
    </row>
    <row r="1021" spans="2:8" ht="13.8" x14ac:dyDescent="0.25">
      <c r="B1021" s="248">
        <v>7193</v>
      </c>
      <c r="C1021" s="243" t="s">
        <v>2564</v>
      </c>
      <c r="D1021" s="243"/>
      <c r="E1021" s="243"/>
      <c r="F1021" s="243"/>
      <c r="G1021" s="243"/>
      <c r="H1021" s="249">
        <v>13</v>
      </c>
    </row>
    <row r="1022" spans="2:8" ht="13.8" x14ac:dyDescent="0.25">
      <c r="B1022" s="248">
        <v>7194</v>
      </c>
      <c r="C1022" s="243" t="s">
        <v>2565</v>
      </c>
      <c r="D1022" s="243"/>
      <c r="E1022" s="243"/>
      <c r="F1022" s="243"/>
      <c r="G1022" s="243"/>
      <c r="H1022" s="249">
        <v>10</v>
      </c>
    </row>
    <row r="1023" spans="2:8" ht="13.8" x14ac:dyDescent="0.25">
      <c r="B1023" s="248">
        <v>7195</v>
      </c>
      <c r="C1023" s="243" t="s">
        <v>2566</v>
      </c>
      <c r="D1023" s="243"/>
      <c r="E1023" s="243"/>
      <c r="F1023" s="243"/>
      <c r="G1023" s="243"/>
      <c r="H1023" s="249">
        <v>10</v>
      </c>
    </row>
    <row r="1024" spans="2:8" ht="14.4" thickBot="1" x14ac:dyDescent="0.3">
      <c r="B1024" s="250">
        <v>7196</v>
      </c>
      <c r="C1024" s="251" t="s">
        <v>2567</v>
      </c>
      <c r="D1024" s="251"/>
      <c r="E1024" s="251"/>
      <c r="F1024" s="251"/>
      <c r="G1024" s="251"/>
      <c r="H1024" s="252">
        <v>12</v>
      </c>
    </row>
    <row r="1025" spans="2:8" ht="14.4" thickBot="1" x14ac:dyDescent="0.3">
      <c r="B1025" s="375" t="s">
        <v>2568</v>
      </c>
      <c r="C1025" s="376"/>
      <c r="D1025" s="376"/>
      <c r="E1025" s="376"/>
      <c r="F1025" s="376"/>
      <c r="G1025" s="376"/>
      <c r="H1025" s="377"/>
    </row>
    <row r="1026" spans="2:8" ht="13.8" x14ac:dyDescent="0.25">
      <c r="B1026" s="287">
        <v>7197</v>
      </c>
      <c r="C1026" s="244" t="s">
        <v>2569</v>
      </c>
      <c r="D1026" s="259"/>
      <c r="E1026" s="259"/>
      <c r="F1026" s="259"/>
      <c r="G1026" s="259"/>
      <c r="H1026" s="285">
        <v>9</v>
      </c>
    </row>
    <row r="1027" spans="2:8" ht="13.8" x14ac:dyDescent="0.25">
      <c r="B1027" s="248">
        <v>7198</v>
      </c>
      <c r="C1027" s="243" t="s">
        <v>2570</v>
      </c>
      <c r="D1027" s="253"/>
      <c r="E1027" s="253"/>
      <c r="F1027" s="253"/>
      <c r="G1027" s="253"/>
      <c r="H1027" s="249">
        <v>8</v>
      </c>
    </row>
    <row r="1028" spans="2:8" ht="13.8" x14ac:dyDescent="0.25">
      <c r="B1028" s="248">
        <v>7199</v>
      </c>
      <c r="C1028" s="243" t="s">
        <v>2571</v>
      </c>
      <c r="D1028" s="253"/>
      <c r="E1028" s="253"/>
      <c r="F1028" s="253"/>
      <c r="G1028" s="253"/>
      <c r="H1028" s="249">
        <v>10</v>
      </c>
    </row>
    <row r="1029" spans="2:8" ht="13.8" x14ac:dyDescent="0.25">
      <c r="B1029" s="248">
        <v>7200</v>
      </c>
      <c r="C1029" s="243" t="s">
        <v>2572</v>
      </c>
      <c r="D1029" s="253"/>
      <c r="E1029" s="253"/>
      <c r="F1029" s="253"/>
      <c r="G1029" s="253"/>
      <c r="H1029" s="249">
        <v>8</v>
      </c>
    </row>
    <row r="1030" spans="2:8" ht="13.8" x14ac:dyDescent="0.25">
      <c r="B1030" s="248">
        <v>7201</v>
      </c>
      <c r="C1030" s="243" t="s">
        <v>2573</v>
      </c>
      <c r="D1030" s="253"/>
      <c r="E1030" s="253"/>
      <c r="F1030" s="253"/>
      <c r="G1030" s="253"/>
      <c r="H1030" s="249">
        <v>9</v>
      </c>
    </row>
    <row r="1031" spans="2:8" ht="13.8" x14ac:dyDescent="0.25">
      <c r="B1031" s="248">
        <v>7202</v>
      </c>
      <c r="C1031" s="243" t="s">
        <v>2574</v>
      </c>
      <c r="D1031" s="253"/>
      <c r="E1031" s="253"/>
      <c r="F1031" s="253"/>
      <c r="G1031" s="253"/>
      <c r="H1031" s="249">
        <v>8</v>
      </c>
    </row>
    <row r="1032" spans="2:8" ht="13.8" x14ac:dyDescent="0.25">
      <c r="B1032" s="248">
        <v>7203</v>
      </c>
      <c r="C1032" s="243" t="s">
        <v>2575</v>
      </c>
      <c r="D1032" s="253"/>
      <c r="E1032" s="253"/>
      <c r="F1032" s="253"/>
      <c r="G1032" s="253"/>
      <c r="H1032" s="249">
        <v>8</v>
      </c>
    </row>
    <row r="1033" spans="2:8" ht="13.8" x14ac:dyDescent="0.25">
      <c r="B1033" s="248">
        <v>7204</v>
      </c>
      <c r="C1033" s="243" t="s">
        <v>2576</v>
      </c>
      <c r="D1033" s="253"/>
      <c r="E1033" s="253"/>
      <c r="F1033" s="253"/>
      <c r="G1033" s="253"/>
      <c r="H1033" s="249">
        <v>8</v>
      </c>
    </row>
    <row r="1034" spans="2:8" ht="13.8" x14ac:dyDescent="0.25">
      <c r="B1034" s="248">
        <v>7205</v>
      </c>
      <c r="C1034" s="243" t="s">
        <v>2577</v>
      </c>
      <c r="D1034" s="253"/>
      <c r="E1034" s="253"/>
      <c r="F1034" s="253"/>
      <c r="G1034" s="253"/>
      <c r="H1034" s="249">
        <v>13</v>
      </c>
    </row>
    <row r="1035" spans="2:8" ht="13.8" x14ac:dyDescent="0.25">
      <c r="B1035" s="248">
        <v>7206</v>
      </c>
      <c r="C1035" s="243" t="s">
        <v>2578</v>
      </c>
      <c r="D1035" s="253"/>
      <c r="E1035" s="253"/>
      <c r="F1035" s="253"/>
      <c r="G1035" s="253"/>
      <c r="H1035" s="249">
        <v>10</v>
      </c>
    </row>
    <row r="1036" spans="2:8" ht="14.4" thickBot="1" x14ac:dyDescent="0.3">
      <c r="B1036" s="248">
        <v>7207</v>
      </c>
      <c r="C1036" s="243" t="s">
        <v>2579</v>
      </c>
      <c r="D1036" s="253"/>
      <c r="E1036" s="253"/>
      <c r="F1036" s="253"/>
      <c r="G1036" s="253"/>
      <c r="H1036" s="249">
        <v>8</v>
      </c>
    </row>
    <row r="1037" spans="2:8" ht="14.4" thickBot="1" x14ac:dyDescent="0.3">
      <c r="B1037" s="375" t="s">
        <v>2580</v>
      </c>
      <c r="C1037" s="376"/>
      <c r="D1037" s="376"/>
      <c r="E1037" s="376"/>
      <c r="F1037" s="376"/>
      <c r="G1037" s="376"/>
      <c r="H1037" s="377"/>
    </row>
    <row r="1038" spans="2:8" ht="13.8" x14ac:dyDescent="0.25">
      <c r="B1038" s="287">
        <v>7208</v>
      </c>
      <c r="C1038" s="244" t="s">
        <v>2581</v>
      </c>
      <c r="D1038" s="259"/>
      <c r="E1038" s="259"/>
      <c r="F1038" s="259"/>
      <c r="G1038" s="259"/>
      <c r="H1038" s="285">
        <v>20</v>
      </c>
    </row>
    <row r="1039" spans="2:8" ht="13.8" x14ac:dyDescent="0.25">
      <c r="B1039" s="248">
        <v>7209</v>
      </c>
      <c r="C1039" s="243" t="s">
        <v>2582</v>
      </c>
      <c r="D1039" s="253"/>
      <c r="E1039" s="253"/>
      <c r="F1039" s="253"/>
      <c r="G1039" s="253"/>
      <c r="H1039" s="249">
        <v>22</v>
      </c>
    </row>
    <row r="1040" spans="2:8" ht="13.8" x14ac:dyDescent="0.25">
      <c r="B1040" s="248">
        <v>7210</v>
      </c>
      <c r="C1040" s="243" t="s">
        <v>2583</v>
      </c>
      <c r="D1040" s="253"/>
      <c r="E1040" s="253"/>
      <c r="F1040" s="253"/>
      <c r="G1040" s="253"/>
      <c r="H1040" s="249">
        <v>20</v>
      </c>
    </row>
    <row r="1041" spans="2:8" ht="14.4" thickBot="1" x14ac:dyDescent="0.3">
      <c r="B1041" s="248">
        <v>7211</v>
      </c>
      <c r="C1041" s="243" t="s">
        <v>2584</v>
      </c>
      <c r="D1041" s="253"/>
      <c r="E1041" s="253"/>
      <c r="F1041" s="253"/>
      <c r="G1041" s="253"/>
      <c r="H1041" s="249">
        <v>10</v>
      </c>
    </row>
    <row r="1042" spans="2:8" ht="14.4" thickBot="1" x14ac:dyDescent="0.3">
      <c r="B1042" s="375" t="s">
        <v>2585</v>
      </c>
      <c r="C1042" s="376"/>
      <c r="D1042" s="376"/>
      <c r="E1042" s="376"/>
      <c r="F1042" s="376"/>
      <c r="G1042" s="376"/>
      <c r="H1042" s="377"/>
    </row>
    <row r="1043" spans="2:8" ht="13.8" x14ac:dyDescent="0.25">
      <c r="B1043" s="287">
        <v>7212</v>
      </c>
      <c r="C1043" s="244" t="s">
        <v>2586</v>
      </c>
      <c r="D1043" s="259"/>
      <c r="E1043" s="259"/>
      <c r="F1043" s="259"/>
      <c r="G1043" s="259"/>
      <c r="H1043" s="285">
        <v>8</v>
      </c>
    </row>
    <row r="1044" spans="2:8" ht="13.8" x14ac:dyDescent="0.25">
      <c r="B1044" s="248">
        <v>7213</v>
      </c>
      <c r="C1044" s="243" t="s">
        <v>2587</v>
      </c>
      <c r="D1044" s="253"/>
      <c r="E1044" s="253"/>
      <c r="F1044" s="253"/>
      <c r="G1044" s="253"/>
      <c r="H1044" s="249">
        <v>8</v>
      </c>
    </row>
    <row r="1045" spans="2:8" ht="13.8" x14ac:dyDescent="0.25">
      <c r="B1045" s="248">
        <v>7214</v>
      </c>
      <c r="C1045" s="243" t="s">
        <v>2588</v>
      </c>
      <c r="D1045" s="253"/>
      <c r="E1045" s="253"/>
      <c r="F1045" s="253"/>
      <c r="G1045" s="253"/>
      <c r="H1045" s="249">
        <v>10</v>
      </c>
    </row>
    <row r="1046" spans="2:8" ht="13.8" x14ac:dyDescent="0.25">
      <c r="B1046" s="248">
        <v>7215</v>
      </c>
      <c r="C1046" s="243" t="s">
        <v>2589</v>
      </c>
      <c r="D1046" s="253"/>
      <c r="E1046" s="253"/>
      <c r="F1046" s="253"/>
      <c r="G1046" s="253"/>
      <c r="H1046" s="249">
        <v>8</v>
      </c>
    </row>
    <row r="1047" spans="2:8" ht="13.8" x14ac:dyDescent="0.25">
      <c r="B1047" s="248">
        <v>7216</v>
      </c>
      <c r="C1047" s="243" t="s">
        <v>2590</v>
      </c>
      <c r="D1047" s="253"/>
      <c r="E1047" s="253"/>
      <c r="F1047" s="253"/>
      <c r="G1047" s="253"/>
      <c r="H1047" s="249">
        <v>8</v>
      </c>
    </row>
    <row r="1048" spans="2:8" ht="13.8" x14ac:dyDescent="0.25">
      <c r="B1048" s="248">
        <v>7217</v>
      </c>
      <c r="C1048" s="243" t="s">
        <v>2591</v>
      </c>
      <c r="D1048" s="253"/>
      <c r="E1048" s="253"/>
      <c r="F1048" s="253"/>
      <c r="G1048" s="253"/>
      <c r="H1048" s="249">
        <v>10</v>
      </c>
    </row>
    <row r="1049" spans="2:8" ht="13.8" x14ac:dyDescent="0.25">
      <c r="B1049" s="248">
        <v>7218</v>
      </c>
      <c r="C1049" s="243" t="s">
        <v>2592</v>
      </c>
      <c r="D1049" s="253"/>
      <c r="E1049" s="253"/>
      <c r="F1049" s="253"/>
      <c r="G1049" s="253"/>
      <c r="H1049" s="249">
        <v>10</v>
      </c>
    </row>
    <row r="1050" spans="2:8" ht="13.8" x14ac:dyDescent="0.25">
      <c r="B1050" s="248">
        <v>7219</v>
      </c>
      <c r="C1050" s="243" t="s">
        <v>2593</v>
      </c>
      <c r="D1050" s="253"/>
      <c r="E1050" s="253"/>
      <c r="F1050" s="253"/>
      <c r="G1050" s="253"/>
      <c r="H1050" s="249">
        <v>8</v>
      </c>
    </row>
    <row r="1051" spans="2:8" ht="13.8" x14ac:dyDescent="0.25">
      <c r="B1051" s="248">
        <v>7220</v>
      </c>
      <c r="C1051" s="243" t="s">
        <v>2594</v>
      </c>
      <c r="D1051" s="253"/>
      <c r="E1051" s="253"/>
      <c r="F1051" s="253"/>
      <c r="G1051" s="253"/>
      <c r="H1051" s="249">
        <v>10</v>
      </c>
    </row>
    <row r="1052" spans="2:8" ht="13.8" x14ac:dyDescent="0.25">
      <c r="B1052" s="248">
        <v>7221</v>
      </c>
      <c r="C1052" s="243" t="s">
        <v>2595</v>
      </c>
      <c r="D1052" s="253"/>
      <c r="E1052" s="253"/>
      <c r="F1052" s="253"/>
      <c r="G1052" s="253"/>
      <c r="H1052" s="249">
        <v>8</v>
      </c>
    </row>
    <row r="1053" spans="2:8" ht="13.8" x14ac:dyDescent="0.25">
      <c r="B1053" s="248">
        <v>7222</v>
      </c>
      <c r="C1053" s="243" t="s">
        <v>2596</v>
      </c>
      <c r="D1053" s="253"/>
      <c r="E1053" s="253"/>
      <c r="F1053" s="253"/>
      <c r="G1053" s="253"/>
      <c r="H1053" s="249">
        <v>8</v>
      </c>
    </row>
    <row r="1054" spans="2:8" ht="13.8" x14ac:dyDescent="0.25">
      <c r="B1054" s="248">
        <v>7223</v>
      </c>
      <c r="C1054" s="243" t="s">
        <v>2597</v>
      </c>
      <c r="D1054" s="253"/>
      <c r="E1054" s="253"/>
      <c r="F1054" s="253"/>
      <c r="G1054" s="253"/>
      <c r="H1054" s="249">
        <v>8</v>
      </c>
    </row>
    <row r="1055" spans="2:8" ht="13.8" x14ac:dyDescent="0.25">
      <c r="B1055" s="248">
        <v>7224</v>
      </c>
      <c r="C1055" s="243" t="s">
        <v>2598</v>
      </c>
      <c r="D1055" s="253"/>
      <c r="E1055" s="253"/>
      <c r="F1055" s="253"/>
      <c r="G1055" s="253"/>
      <c r="H1055" s="249">
        <v>8</v>
      </c>
    </row>
    <row r="1056" spans="2:8" ht="13.8" x14ac:dyDescent="0.25">
      <c r="B1056" s="248">
        <v>7225</v>
      </c>
      <c r="C1056" s="243" t="s">
        <v>2599</v>
      </c>
      <c r="D1056" s="253"/>
      <c r="E1056" s="253"/>
      <c r="F1056" s="253"/>
      <c r="G1056" s="253"/>
      <c r="H1056" s="249">
        <v>8</v>
      </c>
    </row>
    <row r="1057" spans="2:8" ht="13.8" x14ac:dyDescent="0.25">
      <c r="B1057" s="248">
        <v>7226</v>
      </c>
      <c r="C1057" s="243" t="s">
        <v>2600</v>
      </c>
      <c r="D1057" s="253"/>
      <c r="E1057" s="253"/>
      <c r="F1057" s="253"/>
      <c r="G1057" s="253"/>
      <c r="H1057" s="249">
        <v>12</v>
      </c>
    </row>
    <row r="1058" spans="2:8" ht="13.8" x14ac:dyDescent="0.25">
      <c r="B1058" s="248">
        <v>7227</v>
      </c>
      <c r="C1058" s="243" t="s">
        <v>2601</v>
      </c>
      <c r="D1058" s="253"/>
      <c r="E1058" s="253"/>
      <c r="F1058" s="253"/>
      <c r="G1058" s="253"/>
      <c r="H1058" s="249">
        <v>10</v>
      </c>
    </row>
    <row r="1059" spans="2:8" ht="13.8" x14ac:dyDescent="0.25">
      <c r="B1059" s="248">
        <v>7228</v>
      </c>
      <c r="C1059" s="243" t="s">
        <v>2602</v>
      </c>
      <c r="D1059" s="253"/>
      <c r="E1059" s="253"/>
      <c r="F1059" s="253"/>
      <c r="G1059" s="253"/>
      <c r="H1059" s="249">
        <v>8</v>
      </c>
    </row>
    <row r="1060" spans="2:8" ht="13.8" x14ac:dyDescent="0.25">
      <c r="B1060" s="248">
        <v>7229</v>
      </c>
      <c r="C1060" s="243" t="s">
        <v>2603</v>
      </c>
      <c r="D1060" s="253"/>
      <c r="E1060" s="253"/>
      <c r="F1060" s="253"/>
      <c r="G1060" s="253"/>
      <c r="H1060" s="249">
        <v>10</v>
      </c>
    </row>
    <row r="1061" spans="2:8" ht="13.8" x14ac:dyDescent="0.25">
      <c r="B1061" s="248">
        <v>7230</v>
      </c>
      <c r="C1061" s="243" t="s">
        <v>2604</v>
      </c>
      <c r="D1061" s="253"/>
      <c r="E1061" s="253"/>
      <c r="F1061" s="253"/>
      <c r="G1061" s="253"/>
      <c r="H1061" s="249">
        <v>13</v>
      </c>
    </row>
    <row r="1062" spans="2:8" ht="13.8" x14ac:dyDescent="0.25">
      <c r="B1062" s="248">
        <v>7231</v>
      </c>
      <c r="C1062" s="243" t="s">
        <v>2605</v>
      </c>
      <c r="D1062" s="253"/>
      <c r="E1062" s="253"/>
      <c r="F1062" s="253"/>
      <c r="G1062" s="253"/>
      <c r="H1062" s="249">
        <v>13</v>
      </c>
    </row>
    <row r="1063" spans="2:8" ht="13.8" x14ac:dyDescent="0.25">
      <c r="B1063" s="248">
        <v>7232</v>
      </c>
      <c r="C1063" s="243" t="s">
        <v>2606</v>
      </c>
      <c r="D1063" s="253"/>
      <c r="E1063" s="253"/>
      <c r="F1063" s="253"/>
      <c r="G1063" s="253"/>
      <c r="H1063" s="249">
        <v>10</v>
      </c>
    </row>
    <row r="1064" spans="2:8" ht="13.8" x14ac:dyDescent="0.25">
      <c r="B1064" s="248">
        <v>7233</v>
      </c>
      <c r="C1064" s="243" t="s">
        <v>2607</v>
      </c>
      <c r="D1064" s="253"/>
      <c r="E1064" s="253"/>
      <c r="F1064" s="253"/>
      <c r="G1064" s="253"/>
      <c r="H1064" s="249">
        <v>10</v>
      </c>
    </row>
    <row r="1065" spans="2:8" ht="13.8" x14ac:dyDescent="0.25">
      <c r="B1065" s="248">
        <v>7234</v>
      </c>
      <c r="C1065" s="243" t="s">
        <v>2608</v>
      </c>
      <c r="D1065" s="253"/>
      <c r="E1065" s="253"/>
      <c r="F1065" s="253"/>
      <c r="G1065" s="253"/>
      <c r="H1065" s="249">
        <v>10</v>
      </c>
    </row>
    <row r="1066" spans="2:8" ht="14.4" thickBot="1" x14ac:dyDescent="0.3">
      <c r="B1066" s="250">
        <v>7235</v>
      </c>
      <c r="C1066" s="251" t="s">
        <v>2609</v>
      </c>
      <c r="D1066" s="265"/>
      <c r="E1066" s="265"/>
      <c r="F1066" s="265"/>
      <c r="G1066" s="265"/>
      <c r="H1066" s="252">
        <v>12</v>
      </c>
    </row>
    <row r="1067" spans="2:8" ht="14.4" thickBot="1" x14ac:dyDescent="0.3">
      <c r="B1067" s="375" t="s">
        <v>2703</v>
      </c>
      <c r="C1067" s="376"/>
      <c r="D1067" s="376"/>
      <c r="E1067" s="376"/>
      <c r="F1067" s="376"/>
      <c r="G1067" s="376"/>
      <c r="H1067" s="377"/>
    </row>
    <row r="1068" spans="2:8" ht="13.8" x14ac:dyDescent="0.25">
      <c r="B1068" s="292">
        <v>7236</v>
      </c>
      <c r="C1068" s="290" t="s">
        <v>2643</v>
      </c>
      <c r="D1068" s="290"/>
      <c r="E1068" s="244"/>
      <c r="F1068" s="244"/>
      <c r="G1068" s="244"/>
      <c r="H1068" s="293">
        <v>13</v>
      </c>
    </row>
    <row r="1069" spans="2:8" ht="13.8" x14ac:dyDescent="0.25">
      <c r="B1069" s="294">
        <v>7237</v>
      </c>
      <c r="C1069" s="289" t="s">
        <v>2644</v>
      </c>
      <c r="D1069" s="289"/>
      <c r="E1069" s="243"/>
      <c r="F1069" s="243"/>
      <c r="G1069" s="243"/>
      <c r="H1069" s="295">
        <v>10</v>
      </c>
    </row>
    <row r="1070" spans="2:8" ht="13.8" x14ac:dyDescent="0.25">
      <c r="B1070" s="294">
        <v>7238</v>
      </c>
      <c r="C1070" s="289" t="s">
        <v>2645</v>
      </c>
      <c r="D1070" s="289"/>
      <c r="E1070" s="243"/>
      <c r="F1070" s="243"/>
      <c r="G1070" s="243"/>
      <c r="H1070" s="295">
        <v>10</v>
      </c>
    </row>
    <row r="1071" spans="2:8" ht="27.6" x14ac:dyDescent="0.25">
      <c r="B1071" s="294">
        <v>7239</v>
      </c>
      <c r="C1071" s="289" t="s">
        <v>2646</v>
      </c>
      <c r="D1071" s="289"/>
      <c r="E1071" s="243"/>
      <c r="F1071" s="243"/>
      <c r="G1071" s="243"/>
      <c r="H1071" s="295">
        <v>10</v>
      </c>
    </row>
    <row r="1072" spans="2:8" ht="13.8" x14ac:dyDescent="0.25">
      <c r="B1072" s="294">
        <v>7240</v>
      </c>
      <c r="C1072" s="289" t="s">
        <v>2647</v>
      </c>
      <c r="D1072" s="289"/>
      <c r="E1072" s="243"/>
      <c r="F1072" s="243"/>
      <c r="G1072" s="243"/>
      <c r="H1072" s="295">
        <v>10</v>
      </c>
    </row>
    <row r="1073" spans="2:8" ht="13.8" x14ac:dyDescent="0.25">
      <c r="B1073" s="294">
        <v>7241</v>
      </c>
      <c r="C1073" s="289" t="s">
        <v>2648</v>
      </c>
      <c r="D1073" s="289"/>
      <c r="E1073" s="243"/>
      <c r="F1073" s="243"/>
      <c r="G1073" s="243"/>
      <c r="H1073" s="295">
        <v>10</v>
      </c>
    </row>
    <row r="1074" spans="2:8" ht="13.8" x14ac:dyDescent="0.25">
      <c r="B1074" s="294">
        <v>7242</v>
      </c>
      <c r="C1074" s="289" t="s">
        <v>2649</v>
      </c>
      <c r="D1074" s="289"/>
      <c r="E1074" s="243"/>
      <c r="F1074" s="243"/>
      <c r="G1074" s="243"/>
      <c r="H1074" s="295">
        <v>8</v>
      </c>
    </row>
    <row r="1075" spans="2:8" ht="13.8" x14ac:dyDescent="0.25">
      <c r="B1075" s="294">
        <v>7243</v>
      </c>
      <c r="C1075" s="289" t="s">
        <v>2650</v>
      </c>
      <c r="D1075" s="289"/>
      <c r="E1075" s="243"/>
      <c r="F1075" s="243"/>
      <c r="G1075" s="243"/>
      <c r="H1075" s="295">
        <v>12</v>
      </c>
    </row>
    <row r="1076" spans="2:8" ht="13.8" x14ac:dyDescent="0.25">
      <c r="B1076" s="294">
        <v>7244</v>
      </c>
      <c r="C1076" s="289" t="s">
        <v>2651</v>
      </c>
      <c r="D1076" s="289"/>
      <c r="E1076" s="243"/>
      <c r="F1076" s="243"/>
      <c r="G1076" s="243"/>
      <c r="H1076" s="295">
        <v>8</v>
      </c>
    </row>
    <row r="1077" spans="2:8" ht="13.8" x14ac:dyDescent="0.25">
      <c r="B1077" s="294">
        <v>7245</v>
      </c>
      <c r="C1077" s="289" t="s">
        <v>2652</v>
      </c>
      <c r="D1077" s="289"/>
      <c r="E1077" s="243"/>
      <c r="F1077" s="243"/>
      <c r="G1077" s="243"/>
      <c r="H1077" s="295">
        <v>12</v>
      </c>
    </row>
    <row r="1078" spans="2:8" ht="13.8" x14ac:dyDescent="0.25">
      <c r="B1078" s="294">
        <v>7246</v>
      </c>
      <c r="C1078" s="289" t="s">
        <v>2653</v>
      </c>
      <c r="D1078" s="289"/>
      <c r="E1078" s="243"/>
      <c r="F1078" s="243"/>
      <c r="G1078" s="243"/>
      <c r="H1078" s="295">
        <v>10</v>
      </c>
    </row>
    <row r="1079" spans="2:8" ht="14.4" thickBot="1" x14ac:dyDescent="0.3">
      <c r="B1079" s="296">
        <v>7247</v>
      </c>
      <c r="C1079" s="291" t="s">
        <v>2654</v>
      </c>
      <c r="D1079" s="291"/>
      <c r="E1079" s="255"/>
      <c r="F1079" s="255"/>
      <c r="G1079" s="255"/>
      <c r="H1079" s="297">
        <v>12</v>
      </c>
    </row>
    <row r="1080" spans="2:8" ht="14.4" thickBot="1" x14ac:dyDescent="0.3">
      <c r="B1080" s="375" t="s">
        <v>2655</v>
      </c>
      <c r="C1080" s="376"/>
      <c r="D1080" s="376"/>
      <c r="E1080" s="376"/>
      <c r="F1080" s="376"/>
      <c r="G1080" s="376"/>
      <c r="H1080" s="377"/>
    </row>
    <row r="1081" spans="2:8" ht="13.8" x14ac:dyDescent="0.25">
      <c r="B1081" s="292">
        <v>7248</v>
      </c>
      <c r="C1081" s="290" t="s">
        <v>2656</v>
      </c>
      <c r="D1081" s="290"/>
      <c r="E1081" s="244"/>
      <c r="F1081" s="244"/>
      <c r="G1081" s="244"/>
      <c r="H1081" s="293">
        <v>12</v>
      </c>
    </row>
    <row r="1082" spans="2:8" ht="13.8" x14ac:dyDescent="0.25">
      <c r="B1082" s="294">
        <v>7249</v>
      </c>
      <c r="C1082" s="289" t="s">
        <v>2657</v>
      </c>
      <c r="D1082" s="289"/>
      <c r="E1082" s="243"/>
      <c r="F1082" s="243"/>
      <c r="G1082" s="243"/>
      <c r="H1082" s="295">
        <v>12</v>
      </c>
    </row>
    <row r="1083" spans="2:8" ht="13.8" x14ac:dyDescent="0.25">
      <c r="B1083" s="294">
        <v>7250</v>
      </c>
      <c r="C1083" s="289" t="s">
        <v>2658</v>
      </c>
      <c r="D1083" s="289"/>
      <c r="E1083" s="243"/>
      <c r="F1083" s="243"/>
      <c r="G1083" s="243"/>
      <c r="H1083" s="295">
        <v>22</v>
      </c>
    </row>
    <row r="1084" spans="2:8" ht="14.4" thickBot="1" x14ac:dyDescent="0.3">
      <c r="B1084" s="296">
        <v>7251</v>
      </c>
      <c r="C1084" s="291" t="s">
        <v>2659</v>
      </c>
      <c r="D1084" s="291"/>
      <c r="E1084" s="255"/>
      <c r="F1084" s="255"/>
      <c r="G1084" s="255"/>
      <c r="H1084" s="297">
        <v>10</v>
      </c>
    </row>
    <row r="1085" spans="2:8" ht="14.4" thickBot="1" x14ac:dyDescent="0.3">
      <c r="B1085" s="375" t="s">
        <v>2660</v>
      </c>
      <c r="C1085" s="376"/>
      <c r="D1085" s="376"/>
      <c r="E1085" s="376"/>
      <c r="F1085" s="376"/>
      <c r="G1085" s="376"/>
      <c r="H1085" s="377"/>
    </row>
    <row r="1086" spans="2:8" ht="13.8" x14ac:dyDescent="0.25">
      <c r="B1086" s="292">
        <v>7252</v>
      </c>
      <c r="C1086" s="290" t="s">
        <v>2598</v>
      </c>
      <c r="D1086" s="290"/>
      <c r="E1086" s="244"/>
      <c r="F1086" s="244"/>
      <c r="G1086" s="244"/>
      <c r="H1086" s="293">
        <v>8</v>
      </c>
    </row>
    <row r="1087" spans="2:8" ht="13.8" x14ac:dyDescent="0.25">
      <c r="B1087" s="294">
        <v>7253</v>
      </c>
      <c r="C1087" s="289" t="s">
        <v>2661</v>
      </c>
      <c r="D1087" s="289"/>
      <c r="E1087" s="243"/>
      <c r="F1087" s="243"/>
      <c r="G1087" s="243"/>
      <c r="H1087" s="295">
        <v>8</v>
      </c>
    </row>
    <row r="1088" spans="2:8" ht="13.8" x14ac:dyDescent="0.25">
      <c r="B1088" s="294">
        <v>7254</v>
      </c>
      <c r="C1088" s="289" t="s">
        <v>2599</v>
      </c>
      <c r="D1088" s="289"/>
      <c r="E1088" s="243"/>
      <c r="F1088" s="243"/>
      <c r="G1088" s="243"/>
      <c r="H1088" s="295">
        <v>8</v>
      </c>
    </row>
    <row r="1089" spans="2:8" ht="13.8" x14ac:dyDescent="0.25">
      <c r="B1089" s="294">
        <v>7255</v>
      </c>
      <c r="C1089" s="289" t="s">
        <v>2662</v>
      </c>
      <c r="D1089" s="289"/>
      <c r="E1089" s="243"/>
      <c r="F1089" s="243"/>
      <c r="G1089" s="243"/>
      <c r="H1089" s="295">
        <v>8</v>
      </c>
    </row>
    <row r="1090" spans="2:8" ht="13.8" x14ac:dyDescent="0.25">
      <c r="B1090" s="294">
        <v>7256</v>
      </c>
      <c r="C1090" s="289" t="s">
        <v>2663</v>
      </c>
      <c r="D1090" s="289"/>
      <c r="E1090" s="243"/>
      <c r="F1090" s="243"/>
      <c r="G1090" s="243"/>
      <c r="H1090" s="295">
        <v>10</v>
      </c>
    </row>
    <row r="1091" spans="2:8" ht="13.8" x14ac:dyDescent="0.25">
      <c r="B1091" s="294">
        <v>7257</v>
      </c>
      <c r="C1091" s="289" t="s">
        <v>2664</v>
      </c>
      <c r="D1091" s="289"/>
      <c r="E1091" s="243"/>
      <c r="F1091" s="243"/>
      <c r="G1091" s="243"/>
      <c r="H1091" s="295">
        <v>10</v>
      </c>
    </row>
    <row r="1092" spans="2:8" ht="13.8" x14ac:dyDescent="0.25">
      <c r="B1092" s="294">
        <v>7258</v>
      </c>
      <c r="C1092" s="289" t="s">
        <v>2665</v>
      </c>
      <c r="D1092" s="289"/>
      <c r="E1092" s="243"/>
      <c r="F1092" s="243"/>
      <c r="G1092" s="243"/>
      <c r="H1092" s="295">
        <v>10</v>
      </c>
    </row>
    <row r="1093" spans="2:8" ht="27.6" x14ac:dyDescent="0.25">
      <c r="B1093" s="294">
        <v>7259</v>
      </c>
      <c r="C1093" s="289" t="s">
        <v>2666</v>
      </c>
      <c r="D1093" s="289"/>
      <c r="E1093" s="243"/>
      <c r="F1093" s="243"/>
      <c r="G1093" s="243"/>
      <c r="H1093" s="295">
        <v>12</v>
      </c>
    </row>
    <row r="1094" spans="2:8" ht="14.4" thickBot="1" x14ac:dyDescent="0.3">
      <c r="B1094" s="296">
        <v>7260</v>
      </c>
      <c r="C1094" s="291" t="s">
        <v>2667</v>
      </c>
      <c r="D1094" s="291"/>
      <c r="E1094" s="255"/>
      <c r="F1094" s="255"/>
      <c r="G1094" s="255"/>
      <c r="H1094" s="297">
        <v>8</v>
      </c>
    </row>
    <row r="1095" spans="2:8" ht="14.4" thickBot="1" x14ac:dyDescent="0.3">
      <c r="B1095" s="375" t="s">
        <v>2668</v>
      </c>
      <c r="C1095" s="376"/>
      <c r="D1095" s="397"/>
      <c r="E1095" s="397"/>
      <c r="F1095" s="397"/>
      <c r="G1095" s="397"/>
      <c r="H1095" s="398"/>
    </row>
    <row r="1096" spans="2:8" ht="27.6" x14ac:dyDescent="0.25">
      <c r="B1096" s="294">
        <v>7261</v>
      </c>
      <c r="C1096" s="289" t="s">
        <v>2669</v>
      </c>
      <c r="D1096" s="253"/>
      <c r="E1096" s="243"/>
      <c r="F1096" s="243"/>
      <c r="G1096" s="253"/>
      <c r="H1096" s="295">
        <v>8</v>
      </c>
    </row>
    <row r="1097" spans="2:8" ht="13.8" x14ac:dyDescent="0.25">
      <c r="B1097" s="294">
        <v>7262</v>
      </c>
      <c r="C1097" s="289" t="s">
        <v>2670</v>
      </c>
      <c r="D1097" s="253"/>
      <c r="E1097" s="243"/>
      <c r="F1097" s="243"/>
      <c r="G1097" s="253"/>
      <c r="H1097" s="295">
        <v>8</v>
      </c>
    </row>
    <row r="1098" spans="2:8" ht="13.8" x14ac:dyDescent="0.25">
      <c r="B1098" s="294">
        <v>7263</v>
      </c>
      <c r="C1098" s="289" t="s">
        <v>2671</v>
      </c>
      <c r="D1098" s="253"/>
      <c r="E1098" s="243"/>
      <c r="F1098" s="243"/>
      <c r="G1098" s="253"/>
      <c r="H1098" s="295">
        <v>8</v>
      </c>
    </row>
    <row r="1099" spans="2:8" ht="27.6" x14ac:dyDescent="0.25">
      <c r="B1099" s="294">
        <v>7264</v>
      </c>
      <c r="C1099" s="289" t="s">
        <v>2672</v>
      </c>
      <c r="D1099" s="253"/>
      <c r="E1099" s="243"/>
      <c r="F1099" s="243"/>
      <c r="G1099" s="253"/>
      <c r="H1099" s="295">
        <v>10</v>
      </c>
    </row>
    <row r="1100" spans="2:8" ht="27.6" x14ac:dyDescent="0.25">
      <c r="B1100" s="294">
        <v>7265</v>
      </c>
      <c r="C1100" s="289" t="s">
        <v>2673</v>
      </c>
      <c r="D1100" s="253"/>
      <c r="E1100" s="243"/>
      <c r="F1100" s="243"/>
      <c r="G1100" s="253"/>
      <c r="H1100" s="295">
        <v>8</v>
      </c>
    </row>
    <row r="1101" spans="2:8" ht="13.8" x14ac:dyDescent="0.25">
      <c r="B1101" s="294">
        <v>7266</v>
      </c>
      <c r="C1101" s="289" t="s">
        <v>2674</v>
      </c>
      <c r="D1101" s="253"/>
      <c r="E1101" s="243"/>
      <c r="F1101" s="243"/>
      <c r="G1101" s="253"/>
      <c r="H1101" s="295">
        <v>8</v>
      </c>
    </row>
    <row r="1102" spans="2:8" ht="27.6" x14ac:dyDescent="0.25">
      <c r="B1102" s="294">
        <v>7267</v>
      </c>
      <c r="C1102" s="289" t="s">
        <v>2675</v>
      </c>
      <c r="D1102" s="253"/>
      <c r="E1102" s="243"/>
      <c r="F1102" s="243"/>
      <c r="G1102" s="253"/>
      <c r="H1102" s="295">
        <v>10</v>
      </c>
    </row>
    <row r="1103" spans="2:8" ht="13.8" x14ac:dyDescent="0.25">
      <c r="B1103" s="294">
        <v>7268</v>
      </c>
      <c r="C1103" s="289" t="s">
        <v>2676</v>
      </c>
      <c r="D1103" s="253"/>
      <c r="E1103" s="243"/>
      <c r="F1103" s="243"/>
      <c r="G1103" s="253"/>
      <c r="H1103" s="295">
        <v>8</v>
      </c>
    </row>
    <row r="1104" spans="2:8" ht="13.8" x14ac:dyDescent="0.25">
      <c r="B1104" s="294">
        <v>7269</v>
      </c>
      <c r="C1104" s="289" t="s">
        <v>2677</v>
      </c>
      <c r="D1104" s="253"/>
      <c r="E1104" s="243"/>
      <c r="F1104" s="243"/>
      <c r="G1104" s="253"/>
      <c r="H1104" s="295">
        <v>8</v>
      </c>
    </row>
    <row r="1105" spans="2:8" ht="27.6" x14ac:dyDescent="0.25">
      <c r="B1105" s="294">
        <v>7270</v>
      </c>
      <c r="C1105" s="289" t="s">
        <v>2678</v>
      </c>
      <c r="D1105" s="253"/>
      <c r="E1105" s="243"/>
      <c r="F1105" s="243"/>
      <c r="G1105" s="253"/>
      <c r="H1105" s="295">
        <v>10</v>
      </c>
    </row>
    <row r="1106" spans="2:8" ht="13.8" x14ac:dyDescent="0.25">
      <c r="B1106" s="294">
        <v>7271</v>
      </c>
      <c r="C1106" s="289" t="s">
        <v>2679</v>
      </c>
      <c r="D1106" s="253"/>
      <c r="E1106" s="243"/>
      <c r="F1106" s="243"/>
      <c r="G1106" s="253"/>
      <c r="H1106" s="295">
        <v>12</v>
      </c>
    </row>
    <row r="1107" spans="2:8" ht="13.8" x14ac:dyDescent="0.25">
      <c r="B1107" s="294">
        <v>7272</v>
      </c>
      <c r="C1107" s="289" t="s">
        <v>2680</v>
      </c>
      <c r="D1107" s="253"/>
      <c r="E1107" s="243"/>
      <c r="F1107" s="243"/>
      <c r="G1107" s="253"/>
      <c r="H1107" s="295">
        <v>12</v>
      </c>
    </row>
    <row r="1108" spans="2:8" ht="13.8" x14ac:dyDescent="0.25">
      <c r="B1108" s="294">
        <v>7273</v>
      </c>
      <c r="C1108" s="289" t="s">
        <v>2681</v>
      </c>
      <c r="D1108" s="253"/>
      <c r="E1108" s="243"/>
      <c r="F1108" s="243"/>
      <c r="G1108" s="253"/>
      <c r="H1108" s="295">
        <v>13</v>
      </c>
    </row>
    <row r="1109" spans="2:8" ht="13.8" x14ac:dyDescent="0.25">
      <c r="B1109" s="294">
        <v>7274</v>
      </c>
      <c r="C1109" s="289" t="s">
        <v>2682</v>
      </c>
      <c r="D1109" s="253"/>
      <c r="E1109" s="243"/>
      <c r="F1109" s="243"/>
      <c r="G1109" s="253"/>
      <c r="H1109" s="295">
        <v>10</v>
      </c>
    </row>
    <row r="1110" spans="2:8" ht="27.6" x14ac:dyDescent="0.25">
      <c r="B1110" s="294">
        <v>7275</v>
      </c>
      <c r="C1110" s="289" t="s">
        <v>2683</v>
      </c>
      <c r="D1110" s="253"/>
      <c r="E1110" s="243"/>
      <c r="F1110" s="243"/>
      <c r="G1110" s="253"/>
      <c r="H1110" s="295">
        <v>12</v>
      </c>
    </row>
    <row r="1111" spans="2:8" ht="28.2" thickBot="1" x14ac:dyDescent="0.3">
      <c r="B1111" s="294">
        <v>7276</v>
      </c>
      <c r="C1111" s="289" t="s">
        <v>2684</v>
      </c>
      <c r="D1111" s="253"/>
      <c r="E1111" s="243"/>
      <c r="F1111" s="243"/>
      <c r="G1111" s="253"/>
      <c r="H1111" s="295">
        <v>10</v>
      </c>
    </row>
    <row r="1112" spans="2:8" ht="14.4" thickBot="1" x14ac:dyDescent="0.3">
      <c r="B1112" s="375" t="s">
        <v>2685</v>
      </c>
      <c r="C1112" s="376"/>
      <c r="D1112" s="376"/>
      <c r="E1112" s="376"/>
      <c r="F1112" s="376"/>
      <c r="G1112" s="376"/>
      <c r="H1112" s="377"/>
    </row>
    <row r="1113" spans="2:8" ht="13.8" x14ac:dyDescent="0.25">
      <c r="B1113" s="292">
        <v>7277</v>
      </c>
      <c r="C1113" s="290" t="s">
        <v>2686</v>
      </c>
      <c r="D1113" s="290"/>
      <c r="E1113" s="244"/>
      <c r="F1113" s="244"/>
      <c r="G1113" s="244"/>
      <c r="H1113" s="293">
        <v>8</v>
      </c>
    </row>
    <row r="1114" spans="2:8" ht="27.6" x14ac:dyDescent="0.25">
      <c r="B1114" s="294">
        <v>7278</v>
      </c>
      <c r="C1114" s="289" t="s">
        <v>2687</v>
      </c>
      <c r="D1114" s="289"/>
      <c r="E1114" s="243"/>
      <c r="F1114" s="243"/>
      <c r="G1114" s="243"/>
      <c r="H1114" s="295">
        <v>10</v>
      </c>
    </row>
    <row r="1115" spans="2:8" ht="13.8" x14ac:dyDescent="0.25">
      <c r="B1115" s="294">
        <v>7279</v>
      </c>
      <c r="C1115" s="289" t="s">
        <v>2688</v>
      </c>
      <c r="D1115" s="289"/>
      <c r="E1115" s="243"/>
      <c r="F1115" s="243"/>
      <c r="G1115" s="243"/>
      <c r="H1115" s="295">
        <v>8</v>
      </c>
    </row>
    <row r="1116" spans="2:8" ht="27.6" x14ac:dyDescent="0.25">
      <c r="B1116" s="294">
        <v>7280</v>
      </c>
      <c r="C1116" s="289" t="s">
        <v>2689</v>
      </c>
      <c r="D1116" s="289"/>
      <c r="E1116" s="243"/>
      <c r="F1116" s="243"/>
      <c r="G1116" s="243"/>
      <c r="H1116" s="295">
        <v>12</v>
      </c>
    </row>
    <row r="1117" spans="2:8" ht="14.4" thickBot="1" x14ac:dyDescent="0.3">
      <c r="B1117" s="294">
        <v>7281</v>
      </c>
      <c r="C1117" s="289" t="s">
        <v>2690</v>
      </c>
      <c r="D1117" s="289"/>
      <c r="E1117" s="243"/>
      <c r="F1117" s="243"/>
      <c r="G1117" s="243"/>
      <c r="H1117" s="295">
        <v>10</v>
      </c>
    </row>
    <row r="1118" spans="2:8" ht="14.4" thickBot="1" x14ac:dyDescent="0.3">
      <c r="B1118" s="375" t="s">
        <v>2691</v>
      </c>
      <c r="C1118" s="376"/>
      <c r="D1118" s="376"/>
      <c r="E1118" s="376"/>
      <c r="F1118" s="376"/>
      <c r="G1118" s="376"/>
      <c r="H1118" s="377"/>
    </row>
    <row r="1119" spans="2:8" ht="27.6" x14ac:dyDescent="0.25">
      <c r="B1119" s="294">
        <v>7282</v>
      </c>
      <c r="C1119" s="289" t="s">
        <v>2692</v>
      </c>
      <c r="D1119" s="289"/>
      <c r="E1119" s="243"/>
      <c r="F1119" s="243"/>
      <c r="G1119" s="243"/>
      <c r="H1119" s="295">
        <v>8</v>
      </c>
    </row>
    <row r="1120" spans="2:8" ht="13.8" x14ac:dyDescent="0.25">
      <c r="B1120" s="294">
        <v>7283</v>
      </c>
      <c r="C1120" s="289" t="s">
        <v>2693</v>
      </c>
      <c r="D1120" s="289"/>
      <c r="E1120" s="243"/>
      <c r="F1120" s="243"/>
      <c r="G1120" s="243"/>
      <c r="H1120" s="295">
        <v>8</v>
      </c>
    </row>
    <row r="1121" spans="2:8" ht="13.8" x14ac:dyDescent="0.25">
      <c r="B1121" s="294">
        <v>7284</v>
      </c>
      <c r="C1121" s="289" t="s">
        <v>2694</v>
      </c>
      <c r="D1121" s="289"/>
      <c r="E1121" s="243"/>
      <c r="F1121" s="243"/>
      <c r="G1121" s="243"/>
      <c r="H1121" s="295">
        <v>8</v>
      </c>
    </row>
    <row r="1122" spans="2:8" ht="14.4" thickBot="1" x14ac:dyDescent="0.3">
      <c r="B1122" s="294">
        <v>7285</v>
      </c>
      <c r="C1122" s="289" t="s">
        <v>2695</v>
      </c>
      <c r="D1122" s="289"/>
      <c r="E1122" s="243"/>
      <c r="F1122" s="243"/>
      <c r="G1122" s="243"/>
      <c r="H1122" s="295">
        <v>8</v>
      </c>
    </row>
    <row r="1123" spans="2:8" ht="14.4" thickBot="1" x14ac:dyDescent="0.3">
      <c r="B1123" s="375" t="s">
        <v>2696</v>
      </c>
      <c r="C1123" s="376"/>
      <c r="D1123" s="376"/>
      <c r="E1123" s="376"/>
      <c r="F1123" s="376"/>
      <c r="G1123" s="376"/>
      <c r="H1123" s="377"/>
    </row>
    <row r="1124" spans="2:8" ht="27.6" x14ac:dyDescent="0.25">
      <c r="B1124" s="294">
        <v>7286</v>
      </c>
      <c r="C1124" s="289" t="s">
        <v>2697</v>
      </c>
      <c r="D1124" s="289"/>
      <c r="E1124" s="243"/>
      <c r="F1124" s="243"/>
      <c r="G1124" s="243"/>
      <c r="H1124" s="295">
        <v>10</v>
      </c>
    </row>
    <row r="1125" spans="2:8" ht="13.8" x14ac:dyDescent="0.25">
      <c r="B1125" s="294">
        <v>7287</v>
      </c>
      <c r="C1125" s="289" t="s">
        <v>2698</v>
      </c>
      <c r="D1125" s="289"/>
      <c r="E1125" s="243"/>
      <c r="F1125" s="243"/>
      <c r="G1125" s="243"/>
      <c r="H1125" s="295">
        <v>8</v>
      </c>
    </row>
    <row r="1126" spans="2:8" ht="13.8" x14ac:dyDescent="0.25">
      <c r="B1126" s="294">
        <v>7288</v>
      </c>
      <c r="C1126" s="289" t="s">
        <v>2699</v>
      </c>
      <c r="D1126" s="289"/>
      <c r="E1126" s="243"/>
      <c r="F1126" s="243"/>
      <c r="G1126" s="243"/>
      <c r="H1126" s="295">
        <v>8</v>
      </c>
    </row>
    <row r="1127" spans="2:8" ht="27.6" x14ac:dyDescent="0.25">
      <c r="B1127" s="294">
        <v>7289</v>
      </c>
      <c r="C1127" s="289" t="s">
        <v>2700</v>
      </c>
      <c r="D1127" s="289"/>
      <c r="E1127" s="243"/>
      <c r="F1127" s="243"/>
      <c r="G1127" s="243"/>
      <c r="H1127" s="295">
        <v>12</v>
      </c>
    </row>
    <row r="1128" spans="2:8" ht="13.8" x14ac:dyDescent="0.25">
      <c r="B1128" s="294">
        <v>7290</v>
      </c>
      <c r="C1128" s="289" t="s">
        <v>2701</v>
      </c>
      <c r="D1128" s="289"/>
      <c r="E1128" s="243"/>
      <c r="F1128" s="243"/>
      <c r="G1128" s="243"/>
      <c r="H1128" s="295">
        <v>10</v>
      </c>
    </row>
    <row r="1129" spans="2:8" ht="14.4" thickBot="1" x14ac:dyDescent="0.3">
      <c r="B1129" s="298">
        <v>7291</v>
      </c>
      <c r="C1129" s="299" t="s">
        <v>2702</v>
      </c>
      <c r="D1129" s="299"/>
      <c r="E1129" s="251"/>
      <c r="F1129" s="251"/>
      <c r="G1129" s="251"/>
      <c r="H1129" s="300">
        <v>8</v>
      </c>
    </row>
    <row r="1130" spans="2:8" ht="13.8" thickBot="1" x14ac:dyDescent="0.3"/>
    <row r="1131" spans="2:8" ht="14.4" thickBot="1" x14ac:dyDescent="0.3">
      <c r="B1131" s="375" t="s">
        <v>2610</v>
      </c>
      <c r="C1131" s="376"/>
      <c r="D1131" s="376"/>
      <c r="E1131" s="376"/>
      <c r="F1131" s="376"/>
      <c r="G1131" s="376"/>
      <c r="H1131" s="377"/>
    </row>
    <row r="1132" spans="2:8" ht="14.4" thickBot="1" x14ac:dyDescent="0.3">
      <c r="B1132" s="396" t="s">
        <v>2611</v>
      </c>
      <c r="C1132" s="397"/>
      <c r="D1132" s="397"/>
      <c r="E1132" s="397"/>
      <c r="F1132" s="397"/>
      <c r="G1132" s="397"/>
      <c r="H1132" s="398"/>
    </row>
    <row r="1133" spans="2:8" ht="13.8" x14ac:dyDescent="0.25">
      <c r="B1133" s="245">
        <v>8101</v>
      </c>
      <c r="C1133" s="246" t="s">
        <v>2612</v>
      </c>
      <c r="D1133" s="246"/>
      <c r="E1133" s="246"/>
      <c r="F1133" s="266"/>
      <c r="G1133" s="266"/>
      <c r="H1133" s="247">
        <v>8</v>
      </c>
    </row>
    <row r="1134" spans="2:8" ht="13.8" x14ac:dyDescent="0.25">
      <c r="B1134" s="248">
        <v>8102</v>
      </c>
      <c r="C1134" s="243" t="s">
        <v>2613</v>
      </c>
      <c r="D1134" s="243"/>
      <c r="E1134" s="243"/>
      <c r="F1134" s="253"/>
      <c r="G1134" s="253"/>
      <c r="H1134" s="249">
        <v>8</v>
      </c>
    </row>
    <row r="1135" spans="2:8" ht="13.8" x14ac:dyDescent="0.25">
      <c r="B1135" s="248">
        <v>8103</v>
      </c>
      <c r="C1135" s="243" t="s">
        <v>2614</v>
      </c>
      <c r="D1135" s="243"/>
      <c r="E1135" s="243"/>
      <c r="F1135" s="253"/>
      <c r="G1135" s="253"/>
      <c r="H1135" s="249">
        <v>8</v>
      </c>
    </row>
    <row r="1136" spans="2:8" ht="13.8" x14ac:dyDescent="0.25">
      <c r="B1136" s="248">
        <v>8104</v>
      </c>
      <c r="C1136" s="243" t="s">
        <v>2615</v>
      </c>
      <c r="D1136" s="243"/>
      <c r="E1136" s="243"/>
      <c r="F1136" s="253"/>
      <c r="G1136" s="253"/>
      <c r="H1136" s="249">
        <v>10</v>
      </c>
    </row>
    <row r="1137" spans="2:8" ht="13.8" x14ac:dyDescent="0.25">
      <c r="B1137" s="248">
        <v>8105</v>
      </c>
      <c r="C1137" s="243" t="s">
        <v>2616</v>
      </c>
      <c r="D1137" s="243"/>
      <c r="E1137" s="243"/>
      <c r="F1137" s="253"/>
      <c r="G1137" s="253"/>
      <c r="H1137" s="249">
        <v>12</v>
      </c>
    </row>
    <row r="1138" spans="2:8" ht="13.8" x14ac:dyDescent="0.25">
      <c r="B1138" s="248">
        <v>8106</v>
      </c>
      <c r="C1138" s="243" t="s">
        <v>2617</v>
      </c>
      <c r="D1138" s="243"/>
      <c r="E1138" s="243"/>
      <c r="F1138" s="253"/>
      <c r="G1138" s="253"/>
      <c r="H1138" s="249">
        <v>20</v>
      </c>
    </row>
    <row r="1139" spans="2:8" ht="13.8" x14ac:dyDescent="0.25">
      <c r="B1139" s="248">
        <v>8107</v>
      </c>
      <c r="C1139" s="243" t="s">
        <v>2618</v>
      </c>
      <c r="D1139" s="243"/>
      <c r="E1139" s="243"/>
      <c r="F1139" s="253"/>
      <c r="G1139" s="253"/>
      <c r="H1139" s="249">
        <v>22</v>
      </c>
    </row>
    <row r="1140" spans="2:8" ht="13.8" x14ac:dyDescent="0.25">
      <c r="B1140" s="248">
        <v>8108</v>
      </c>
      <c r="C1140" s="243" t="s">
        <v>2619</v>
      </c>
      <c r="D1140" s="243"/>
      <c r="E1140" s="243"/>
      <c r="F1140" s="253"/>
      <c r="G1140" s="253"/>
      <c r="H1140" s="249">
        <v>10</v>
      </c>
    </row>
    <row r="1141" spans="2:8" ht="13.8" x14ac:dyDescent="0.25">
      <c r="B1141" s="248">
        <v>8109</v>
      </c>
      <c r="C1141" s="243" t="s">
        <v>2620</v>
      </c>
      <c r="D1141" s="243"/>
      <c r="E1141" s="243"/>
      <c r="F1141" s="253"/>
      <c r="G1141" s="253"/>
      <c r="H1141" s="249">
        <v>12</v>
      </c>
    </row>
    <row r="1142" spans="2:8" ht="13.8" x14ac:dyDescent="0.25">
      <c r="B1142" s="248">
        <v>8110</v>
      </c>
      <c r="C1142" s="243" t="s">
        <v>2621</v>
      </c>
      <c r="D1142" s="243"/>
      <c r="E1142" s="243"/>
      <c r="F1142" s="253"/>
      <c r="G1142" s="253"/>
      <c r="H1142" s="249">
        <v>10</v>
      </c>
    </row>
    <row r="1143" spans="2:8" ht="13.8" x14ac:dyDescent="0.25">
      <c r="B1143" s="248">
        <v>8111</v>
      </c>
      <c r="C1143" s="243" t="s">
        <v>2622</v>
      </c>
      <c r="D1143" s="243"/>
      <c r="E1143" s="243"/>
      <c r="F1143" s="253"/>
      <c r="G1143" s="253"/>
      <c r="H1143" s="249">
        <v>8</v>
      </c>
    </row>
    <row r="1144" spans="2:8" ht="13.8" x14ac:dyDescent="0.25">
      <c r="B1144" s="248">
        <v>8112</v>
      </c>
      <c r="C1144" s="243" t="s">
        <v>2623</v>
      </c>
      <c r="D1144" s="243"/>
      <c r="E1144" s="243"/>
      <c r="F1144" s="253"/>
      <c r="G1144" s="253"/>
      <c r="H1144" s="249">
        <v>22</v>
      </c>
    </row>
    <row r="1145" spans="2:8" ht="13.8" x14ac:dyDescent="0.25">
      <c r="B1145" s="248">
        <v>8113</v>
      </c>
      <c r="C1145" s="243" t="s">
        <v>2624</v>
      </c>
      <c r="D1145" s="243"/>
      <c r="E1145" s="243"/>
      <c r="F1145" s="253"/>
      <c r="G1145" s="253"/>
      <c r="H1145" s="249">
        <v>13</v>
      </c>
    </row>
    <row r="1146" spans="2:8" ht="13.8" x14ac:dyDescent="0.25">
      <c r="B1146" s="248">
        <v>8114</v>
      </c>
      <c r="C1146" s="243" t="s">
        <v>2625</v>
      </c>
      <c r="D1146" s="243"/>
      <c r="E1146" s="243"/>
      <c r="F1146" s="253"/>
      <c r="G1146" s="253"/>
      <c r="H1146" s="249">
        <v>8</v>
      </c>
    </row>
    <row r="1147" spans="2:8" ht="13.8" x14ac:dyDescent="0.25">
      <c r="B1147" s="248">
        <v>8115</v>
      </c>
      <c r="C1147" s="243" t="s">
        <v>2626</v>
      </c>
      <c r="D1147" s="243"/>
      <c r="E1147" s="243"/>
      <c r="F1147" s="253"/>
      <c r="G1147" s="253"/>
      <c r="H1147" s="249">
        <v>10</v>
      </c>
    </row>
    <row r="1148" spans="2:8" ht="13.8" x14ac:dyDescent="0.25">
      <c r="B1148" s="248">
        <v>8116</v>
      </c>
      <c r="C1148" s="243" t="s">
        <v>2627</v>
      </c>
      <c r="D1148" s="243"/>
      <c r="E1148" s="243"/>
      <c r="F1148" s="253"/>
      <c r="G1148" s="253"/>
      <c r="H1148" s="249">
        <v>10</v>
      </c>
    </row>
    <row r="1149" spans="2:8" ht="14.4" thickBot="1" x14ac:dyDescent="0.3">
      <c r="B1149" s="301"/>
      <c r="C1149" s="302"/>
      <c r="D1149" s="302"/>
      <c r="E1149" s="302"/>
      <c r="F1149" s="303"/>
      <c r="G1149" s="303"/>
      <c r="H1149" s="304"/>
    </row>
    <row r="1150" spans="2:8" ht="14.4" thickBot="1" x14ac:dyDescent="0.3">
      <c r="B1150" s="396" t="s">
        <v>2628</v>
      </c>
      <c r="C1150" s="397"/>
      <c r="D1150" s="397"/>
      <c r="E1150" s="397"/>
      <c r="F1150" s="397"/>
      <c r="G1150" s="397"/>
      <c r="H1150" s="398"/>
    </row>
    <row r="1151" spans="2:8" ht="14.4" thickBot="1" x14ac:dyDescent="0.3">
      <c r="B1151" s="375" t="s">
        <v>2629</v>
      </c>
      <c r="C1151" s="376"/>
      <c r="D1151" s="376"/>
      <c r="E1151" s="376"/>
      <c r="F1151" s="376"/>
      <c r="G1151" s="376"/>
      <c r="H1151" s="377"/>
    </row>
    <row r="1152" spans="2:8" ht="13.8" x14ac:dyDescent="0.25">
      <c r="B1152" s="287">
        <v>9101</v>
      </c>
      <c r="C1152" s="244" t="s">
        <v>2630</v>
      </c>
      <c r="D1152" s="244"/>
      <c r="E1152" s="244"/>
      <c r="F1152" s="259"/>
      <c r="G1152" s="259"/>
      <c r="H1152" s="285">
        <v>12</v>
      </c>
    </row>
    <row r="1153" spans="2:8" ht="13.8" x14ac:dyDescent="0.25">
      <c r="B1153" s="248">
        <v>9102</v>
      </c>
      <c r="C1153" s="243" t="s">
        <v>2631</v>
      </c>
      <c r="D1153" s="243"/>
      <c r="E1153" s="243"/>
      <c r="F1153" s="253"/>
      <c r="G1153" s="253"/>
      <c r="H1153" s="249">
        <v>13</v>
      </c>
    </row>
    <row r="1154" spans="2:8" ht="13.8" x14ac:dyDescent="0.25">
      <c r="B1154" s="248">
        <v>9103</v>
      </c>
      <c r="C1154" s="243" t="s">
        <v>2632</v>
      </c>
      <c r="D1154" s="243"/>
      <c r="E1154" s="243"/>
      <c r="F1154" s="253"/>
      <c r="G1154" s="253"/>
      <c r="H1154" s="249">
        <v>20</v>
      </c>
    </row>
    <row r="1155" spans="2:8" ht="13.8" x14ac:dyDescent="0.25">
      <c r="B1155" s="248">
        <v>9104</v>
      </c>
      <c r="C1155" s="243" t="s">
        <v>2633</v>
      </c>
      <c r="D1155" s="243"/>
      <c r="E1155" s="243"/>
      <c r="F1155" s="253"/>
      <c r="G1155" s="253"/>
      <c r="H1155" s="249">
        <v>10</v>
      </c>
    </row>
    <row r="1156" spans="2:8" ht="13.8" x14ac:dyDescent="0.25">
      <c r="B1156" s="248">
        <v>9105</v>
      </c>
      <c r="C1156" s="243" t="s">
        <v>2634</v>
      </c>
      <c r="D1156" s="243"/>
      <c r="E1156" s="243"/>
      <c r="F1156" s="253"/>
      <c r="G1156" s="253"/>
      <c r="H1156" s="249">
        <v>8</v>
      </c>
    </row>
    <row r="1157" spans="2:8" ht="13.8" x14ac:dyDescent="0.25">
      <c r="B1157" s="248">
        <v>9106</v>
      </c>
      <c r="C1157" s="243" t="s">
        <v>2635</v>
      </c>
      <c r="D1157" s="243"/>
      <c r="E1157" s="243"/>
      <c r="F1157" s="253"/>
      <c r="G1157" s="253"/>
      <c r="H1157" s="249">
        <v>8</v>
      </c>
    </row>
    <row r="1158" spans="2:8" ht="13.8" x14ac:dyDescent="0.25">
      <c r="B1158" s="248">
        <v>9107</v>
      </c>
      <c r="C1158" s="243" t="s">
        <v>2636</v>
      </c>
      <c r="D1158" s="243"/>
      <c r="E1158" s="243"/>
      <c r="F1158" s="253"/>
      <c r="G1158" s="253"/>
      <c r="H1158" s="249">
        <v>6</v>
      </c>
    </row>
    <row r="1159" spans="2:8" ht="13.8" x14ac:dyDescent="0.25">
      <c r="B1159" s="248">
        <v>9108</v>
      </c>
      <c r="C1159" s="243" t="s">
        <v>2637</v>
      </c>
      <c r="D1159" s="243"/>
      <c r="E1159" s="243"/>
      <c r="F1159" s="253"/>
      <c r="G1159" s="253"/>
      <c r="H1159" s="249">
        <v>12</v>
      </c>
    </row>
    <row r="1160" spans="2:8" ht="14.4" thickBot="1" x14ac:dyDescent="0.3">
      <c r="B1160" s="248">
        <v>9109</v>
      </c>
      <c r="C1160" s="243" t="s">
        <v>2638</v>
      </c>
      <c r="D1160" s="243"/>
      <c r="E1160" s="243"/>
      <c r="F1160" s="253"/>
      <c r="G1160" s="253"/>
      <c r="H1160" s="249">
        <v>10</v>
      </c>
    </row>
    <row r="1161" spans="2:8" ht="14.4" thickBot="1" x14ac:dyDescent="0.3">
      <c r="B1161" s="375" t="s">
        <v>2639</v>
      </c>
      <c r="C1161" s="376"/>
      <c r="D1161" s="376"/>
      <c r="E1161" s="376"/>
      <c r="F1161" s="376"/>
      <c r="G1161" s="376"/>
      <c r="H1161" s="377"/>
    </row>
    <row r="1162" spans="2:8" ht="13.8" x14ac:dyDescent="0.25">
      <c r="B1162" s="287">
        <v>9110</v>
      </c>
      <c r="C1162" s="244" t="s">
        <v>2640</v>
      </c>
      <c r="D1162" s="244"/>
      <c r="E1162" s="244"/>
      <c r="F1162" s="259"/>
      <c r="G1162" s="259"/>
      <c r="H1162" s="285">
        <v>13</v>
      </c>
    </row>
    <row r="1163" spans="2:8" ht="13.8" x14ac:dyDescent="0.25">
      <c r="B1163" s="248">
        <v>9111</v>
      </c>
      <c r="C1163" s="243" t="s">
        <v>2641</v>
      </c>
      <c r="D1163" s="243"/>
      <c r="E1163" s="243"/>
      <c r="F1163" s="253"/>
      <c r="G1163" s="253"/>
      <c r="H1163" s="249">
        <v>12</v>
      </c>
    </row>
    <row r="1164" spans="2:8" ht="14.4" thickBot="1" x14ac:dyDescent="0.3">
      <c r="B1164" s="250">
        <v>9112</v>
      </c>
      <c r="C1164" s="251" t="s">
        <v>2642</v>
      </c>
      <c r="D1164" s="251"/>
      <c r="E1164" s="251"/>
      <c r="F1164" s="265"/>
      <c r="G1164" s="265"/>
      <c r="H1164" s="252">
        <v>13</v>
      </c>
    </row>
    <row r="1165" spans="2:8" ht="13.8" thickBot="1" x14ac:dyDescent="0.3"/>
    <row r="1166" spans="2:8" ht="14.4" thickBot="1" x14ac:dyDescent="0.3">
      <c r="B1166" s="375" t="s">
        <v>2704</v>
      </c>
      <c r="C1166" s="376"/>
      <c r="D1166" s="376"/>
      <c r="E1166" s="376"/>
      <c r="F1166" s="376"/>
      <c r="G1166" s="376"/>
      <c r="H1166" s="377"/>
    </row>
    <row r="1167" spans="2:8" ht="14.4" thickBot="1" x14ac:dyDescent="0.3">
      <c r="B1167" s="375" t="s">
        <v>2705</v>
      </c>
      <c r="C1167" s="376"/>
      <c r="D1167" s="376"/>
      <c r="E1167" s="376"/>
      <c r="F1167" s="376"/>
      <c r="G1167" s="376"/>
      <c r="H1167" s="377"/>
    </row>
    <row r="1168" spans="2:8" ht="13.8" x14ac:dyDescent="0.25">
      <c r="B1168" s="287">
        <v>10101</v>
      </c>
      <c r="C1168" s="244" t="s">
        <v>2706</v>
      </c>
      <c r="D1168" s="244"/>
      <c r="E1168" s="244"/>
      <c r="F1168" s="244"/>
      <c r="G1168" s="259"/>
      <c r="H1168" s="285">
        <v>20</v>
      </c>
    </row>
    <row r="1169" spans="2:8" ht="13.8" x14ac:dyDescent="0.25">
      <c r="B1169" s="248">
        <v>10102</v>
      </c>
      <c r="C1169" s="243" t="s">
        <v>2707</v>
      </c>
      <c r="D1169" s="243"/>
      <c r="E1169" s="243"/>
      <c r="F1169" s="243"/>
      <c r="G1169" s="253"/>
      <c r="H1169" s="249">
        <v>13</v>
      </c>
    </row>
    <row r="1170" spans="2:8" ht="13.8" x14ac:dyDescent="0.25">
      <c r="B1170" s="248">
        <v>10103</v>
      </c>
      <c r="C1170" s="243" t="s">
        <v>2708</v>
      </c>
      <c r="D1170" s="243"/>
      <c r="E1170" s="243"/>
      <c r="F1170" s="243"/>
      <c r="G1170" s="253"/>
      <c r="H1170" s="249">
        <v>12</v>
      </c>
    </row>
    <row r="1171" spans="2:8" ht="13.8" x14ac:dyDescent="0.25">
      <c r="B1171" s="248">
        <v>10104</v>
      </c>
      <c r="C1171" s="243" t="s">
        <v>2709</v>
      </c>
      <c r="D1171" s="243"/>
      <c r="E1171" s="243"/>
      <c r="F1171" s="243"/>
      <c r="G1171" s="253"/>
      <c r="H1171" s="249">
        <v>13</v>
      </c>
    </row>
    <row r="1172" spans="2:8" ht="13.8" x14ac:dyDescent="0.25">
      <c r="B1172" s="248">
        <v>10105</v>
      </c>
      <c r="C1172" s="243" t="s">
        <v>2710</v>
      </c>
      <c r="D1172" s="243"/>
      <c r="E1172" s="243"/>
      <c r="F1172" s="243"/>
      <c r="G1172" s="253"/>
      <c r="H1172" s="249">
        <v>10</v>
      </c>
    </row>
    <row r="1173" spans="2:8" ht="13.8" x14ac:dyDescent="0.25">
      <c r="B1173" s="248">
        <v>10106</v>
      </c>
      <c r="C1173" s="243" t="s">
        <v>2711</v>
      </c>
      <c r="D1173" s="243"/>
      <c r="E1173" s="243"/>
      <c r="F1173" s="243"/>
      <c r="G1173" s="253"/>
      <c r="H1173" s="249">
        <v>10</v>
      </c>
    </row>
    <row r="1174" spans="2:8" ht="13.8" x14ac:dyDescent="0.25">
      <c r="B1174" s="248">
        <v>10107</v>
      </c>
      <c r="C1174" s="243" t="s">
        <v>2712</v>
      </c>
      <c r="D1174" s="243"/>
      <c r="E1174" s="243"/>
      <c r="F1174" s="243"/>
      <c r="G1174" s="253"/>
      <c r="H1174" s="249">
        <v>10</v>
      </c>
    </row>
    <row r="1175" spans="2:8" ht="13.8" x14ac:dyDescent="0.25">
      <c r="B1175" s="248">
        <v>10108</v>
      </c>
      <c r="C1175" s="243" t="s">
        <v>2713</v>
      </c>
      <c r="D1175" s="243"/>
      <c r="E1175" s="243"/>
      <c r="F1175" s="243"/>
      <c r="G1175" s="253"/>
      <c r="H1175" s="249">
        <v>8</v>
      </c>
    </row>
    <row r="1176" spans="2:8" ht="13.8" x14ac:dyDescent="0.25">
      <c r="B1176" s="248">
        <v>10109</v>
      </c>
      <c r="C1176" s="243" t="s">
        <v>2714</v>
      </c>
      <c r="D1176" s="243"/>
      <c r="E1176" s="243"/>
      <c r="F1176" s="243"/>
      <c r="G1176" s="253"/>
      <c r="H1176" s="249">
        <v>12</v>
      </c>
    </row>
    <row r="1177" spans="2:8" ht="13.8" x14ac:dyDescent="0.25">
      <c r="B1177" s="248">
        <v>10110</v>
      </c>
      <c r="C1177" s="243" t="s">
        <v>2715</v>
      </c>
      <c r="D1177" s="243"/>
      <c r="E1177" s="243"/>
      <c r="F1177" s="243"/>
      <c r="G1177" s="253"/>
      <c r="H1177" s="249">
        <v>13</v>
      </c>
    </row>
    <row r="1178" spans="2:8" ht="13.8" x14ac:dyDescent="0.25">
      <c r="B1178" s="248">
        <v>10111</v>
      </c>
      <c r="C1178" s="243" t="s">
        <v>2716</v>
      </c>
      <c r="D1178" s="243"/>
      <c r="E1178" s="243"/>
      <c r="F1178" s="243"/>
      <c r="G1178" s="253"/>
      <c r="H1178" s="249">
        <v>10</v>
      </c>
    </row>
    <row r="1179" spans="2:8" ht="13.8" x14ac:dyDescent="0.25">
      <c r="B1179" s="248">
        <v>10112</v>
      </c>
      <c r="C1179" s="243" t="s">
        <v>2717</v>
      </c>
      <c r="D1179" s="243"/>
      <c r="E1179" s="243"/>
      <c r="F1179" s="243"/>
      <c r="G1179" s="253"/>
      <c r="H1179" s="249">
        <v>13</v>
      </c>
    </row>
    <row r="1180" spans="2:8" ht="13.8" x14ac:dyDescent="0.25">
      <c r="B1180" s="248">
        <v>10113</v>
      </c>
      <c r="C1180" s="243" t="s">
        <v>2718</v>
      </c>
      <c r="D1180" s="243"/>
      <c r="E1180" s="243"/>
      <c r="F1180" s="243"/>
      <c r="G1180" s="253"/>
      <c r="H1180" s="249">
        <v>20</v>
      </c>
    </row>
    <row r="1181" spans="2:8" ht="13.8" x14ac:dyDescent="0.25">
      <c r="B1181" s="248">
        <v>10114</v>
      </c>
      <c r="C1181" s="243" t="s">
        <v>2719</v>
      </c>
      <c r="D1181" s="243"/>
      <c r="E1181" s="243"/>
      <c r="F1181" s="243"/>
      <c r="G1181" s="253"/>
      <c r="H1181" s="249">
        <v>13</v>
      </c>
    </row>
    <row r="1182" spans="2:8" ht="13.8" x14ac:dyDescent="0.25">
      <c r="B1182" s="248">
        <v>10115</v>
      </c>
      <c r="C1182" s="243" t="s">
        <v>2720</v>
      </c>
      <c r="D1182" s="243"/>
      <c r="E1182" s="243"/>
      <c r="F1182" s="243"/>
      <c r="G1182" s="253"/>
      <c r="H1182" s="249">
        <v>10</v>
      </c>
    </row>
    <row r="1183" spans="2:8" ht="13.8" x14ac:dyDescent="0.25">
      <c r="B1183" s="248">
        <v>10116</v>
      </c>
      <c r="C1183" s="243" t="s">
        <v>2721</v>
      </c>
      <c r="D1183" s="243"/>
      <c r="E1183" s="243"/>
      <c r="F1183" s="243"/>
      <c r="G1183" s="253"/>
      <c r="H1183" s="249">
        <v>10</v>
      </c>
    </row>
    <row r="1184" spans="2:8" ht="13.8" x14ac:dyDescent="0.25">
      <c r="B1184" s="248">
        <v>10117</v>
      </c>
      <c r="C1184" s="243" t="s">
        <v>2722</v>
      </c>
      <c r="D1184" s="243"/>
      <c r="E1184" s="243"/>
      <c r="F1184" s="243"/>
      <c r="G1184" s="253"/>
      <c r="H1184" s="249">
        <v>20</v>
      </c>
    </row>
    <row r="1185" spans="2:8" ht="14.4" thickBot="1" x14ac:dyDescent="0.3">
      <c r="B1185" s="248">
        <v>10118</v>
      </c>
      <c r="C1185" s="243" t="s">
        <v>2723</v>
      </c>
      <c r="D1185" s="243"/>
      <c r="E1185" s="243"/>
      <c r="F1185" s="243"/>
      <c r="G1185" s="253"/>
      <c r="H1185" s="249">
        <v>22</v>
      </c>
    </row>
    <row r="1186" spans="2:8" ht="14.4" thickBot="1" x14ac:dyDescent="0.3">
      <c r="B1186" s="375" t="s">
        <v>2724</v>
      </c>
      <c r="C1186" s="376"/>
      <c r="D1186" s="376"/>
      <c r="E1186" s="376"/>
      <c r="F1186" s="376"/>
      <c r="G1186" s="376"/>
      <c r="H1186" s="377"/>
    </row>
    <row r="1187" spans="2:8" ht="13.8" x14ac:dyDescent="0.25">
      <c r="B1187" s="248">
        <v>10119</v>
      </c>
      <c r="C1187" s="243" t="s">
        <v>2725</v>
      </c>
      <c r="D1187" s="243"/>
      <c r="E1187" s="243"/>
      <c r="F1187" s="243"/>
      <c r="G1187" s="253"/>
      <c r="H1187" s="249">
        <v>12</v>
      </c>
    </row>
    <row r="1188" spans="2:8" ht="13.8" x14ac:dyDescent="0.25">
      <c r="B1188" s="248">
        <v>10120</v>
      </c>
      <c r="C1188" s="243" t="s">
        <v>2726</v>
      </c>
      <c r="D1188" s="243"/>
      <c r="E1188" s="243"/>
      <c r="F1188" s="243"/>
      <c r="G1188" s="253"/>
      <c r="H1188" s="249">
        <v>10</v>
      </c>
    </row>
    <row r="1189" spans="2:8" ht="13.8" x14ac:dyDescent="0.25">
      <c r="B1189" s="248">
        <v>10121</v>
      </c>
      <c r="C1189" s="243" t="s">
        <v>2727</v>
      </c>
      <c r="D1189" s="243"/>
      <c r="E1189" s="243"/>
      <c r="F1189" s="243"/>
      <c r="G1189" s="253"/>
      <c r="H1189" s="249">
        <v>10</v>
      </c>
    </row>
    <row r="1190" spans="2:8" ht="13.8" x14ac:dyDescent="0.25">
      <c r="B1190" s="248">
        <v>10122</v>
      </c>
      <c r="C1190" s="243" t="s">
        <v>2728</v>
      </c>
      <c r="D1190" s="243"/>
      <c r="E1190" s="243"/>
      <c r="F1190" s="243"/>
      <c r="G1190" s="253"/>
      <c r="H1190" s="249">
        <v>13</v>
      </c>
    </row>
    <row r="1191" spans="2:8" ht="13.8" x14ac:dyDescent="0.25">
      <c r="B1191" s="248">
        <v>10123</v>
      </c>
      <c r="C1191" s="243" t="s">
        <v>2729</v>
      </c>
      <c r="D1191" s="243"/>
      <c r="E1191" s="243"/>
      <c r="F1191" s="243"/>
      <c r="G1191" s="253"/>
      <c r="H1191" s="249">
        <v>8</v>
      </c>
    </row>
    <row r="1192" spans="2:8" ht="13.8" x14ac:dyDescent="0.25">
      <c r="B1192" s="248">
        <v>10124</v>
      </c>
      <c r="C1192" s="243" t="s">
        <v>2730</v>
      </c>
      <c r="D1192" s="243"/>
      <c r="E1192" s="243"/>
      <c r="F1192" s="243"/>
      <c r="G1192" s="253"/>
      <c r="H1192" s="249">
        <v>8</v>
      </c>
    </row>
    <row r="1193" spans="2:8" ht="13.8" x14ac:dyDescent="0.25">
      <c r="B1193" s="248">
        <v>10125</v>
      </c>
      <c r="C1193" s="243" t="s">
        <v>2731</v>
      </c>
      <c r="D1193" s="243"/>
      <c r="E1193" s="243"/>
      <c r="F1193" s="243"/>
      <c r="G1193" s="253"/>
      <c r="H1193" s="249">
        <v>10</v>
      </c>
    </row>
    <row r="1194" spans="2:8" ht="13.8" x14ac:dyDescent="0.25">
      <c r="B1194" s="248">
        <v>10126</v>
      </c>
      <c r="C1194" s="243" t="s">
        <v>2732</v>
      </c>
      <c r="D1194" s="243"/>
      <c r="E1194" s="243"/>
      <c r="F1194" s="243"/>
      <c r="G1194" s="253"/>
      <c r="H1194" s="249">
        <v>12</v>
      </c>
    </row>
    <row r="1195" spans="2:8" ht="13.8" x14ac:dyDescent="0.25">
      <c r="B1195" s="248">
        <v>10127</v>
      </c>
      <c r="C1195" s="243" t="s">
        <v>2733</v>
      </c>
      <c r="D1195" s="243"/>
      <c r="E1195" s="243"/>
      <c r="F1195" s="243"/>
      <c r="G1195" s="253"/>
      <c r="H1195" s="249">
        <v>8</v>
      </c>
    </row>
    <row r="1196" spans="2:8" ht="13.8" x14ac:dyDescent="0.25">
      <c r="B1196" s="248">
        <v>10128</v>
      </c>
      <c r="C1196" s="243" t="s">
        <v>2734</v>
      </c>
      <c r="D1196" s="243"/>
      <c r="E1196" s="243"/>
      <c r="F1196" s="243"/>
      <c r="G1196" s="253"/>
      <c r="H1196" s="249">
        <v>6</v>
      </c>
    </row>
    <row r="1197" spans="2:8" ht="14.4" thickBot="1" x14ac:dyDescent="0.3">
      <c r="B1197" s="248">
        <v>10129</v>
      </c>
      <c r="C1197" s="243" t="s">
        <v>2735</v>
      </c>
      <c r="D1197" s="243"/>
      <c r="E1197" s="243"/>
      <c r="F1197" s="243"/>
      <c r="G1197" s="253"/>
      <c r="H1197" s="249">
        <v>10</v>
      </c>
    </row>
    <row r="1198" spans="2:8" ht="14.4" thickBot="1" x14ac:dyDescent="0.3">
      <c r="B1198" s="375" t="s">
        <v>2736</v>
      </c>
      <c r="C1198" s="376"/>
      <c r="D1198" s="376"/>
      <c r="E1198" s="376"/>
      <c r="F1198" s="376"/>
      <c r="G1198" s="376"/>
      <c r="H1198" s="377"/>
    </row>
    <row r="1199" spans="2:8" ht="13.8" x14ac:dyDescent="0.25">
      <c r="B1199" s="248">
        <v>10130</v>
      </c>
      <c r="C1199" s="243" t="s">
        <v>2737</v>
      </c>
      <c r="D1199" s="243"/>
      <c r="E1199" s="243"/>
      <c r="F1199" s="243"/>
      <c r="G1199" s="253"/>
      <c r="H1199" s="249">
        <v>10</v>
      </c>
    </row>
    <row r="1200" spans="2:8" ht="13.8" x14ac:dyDescent="0.25">
      <c r="B1200" s="248">
        <v>10131</v>
      </c>
      <c r="C1200" s="243" t="s">
        <v>2738</v>
      </c>
      <c r="D1200" s="243"/>
      <c r="E1200" s="243"/>
      <c r="F1200" s="243"/>
      <c r="G1200" s="253"/>
      <c r="H1200" s="249">
        <v>12</v>
      </c>
    </row>
    <row r="1201" spans="2:8" ht="13.8" x14ac:dyDescent="0.25">
      <c r="B1201" s="248">
        <v>10132</v>
      </c>
      <c r="C1201" s="243" t="s">
        <v>2739</v>
      </c>
      <c r="D1201" s="243"/>
      <c r="E1201" s="243"/>
      <c r="F1201" s="243"/>
      <c r="G1201" s="253"/>
      <c r="H1201" s="249">
        <v>8</v>
      </c>
    </row>
    <row r="1202" spans="2:8" ht="13.8" x14ac:dyDescent="0.25">
      <c r="B1202" s="248">
        <v>10133</v>
      </c>
      <c r="C1202" s="243" t="s">
        <v>2740</v>
      </c>
      <c r="D1202" s="243"/>
      <c r="E1202" s="243"/>
      <c r="F1202" s="243"/>
      <c r="G1202" s="253"/>
      <c r="H1202" s="249">
        <v>8</v>
      </c>
    </row>
    <row r="1203" spans="2:8" ht="13.8" x14ac:dyDescent="0.25">
      <c r="B1203" s="248">
        <v>10134</v>
      </c>
      <c r="C1203" s="243" t="s">
        <v>2741</v>
      </c>
      <c r="D1203" s="243"/>
      <c r="E1203" s="243"/>
      <c r="F1203" s="243"/>
      <c r="G1203" s="253"/>
      <c r="H1203" s="249">
        <v>10</v>
      </c>
    </row>
    <row r="1204" spans="2:8" ht="13.8" x14ac:dyDescent="0.25">
      <c r="B1204" s="248">
        <v>10135</v>
      </c>
      <c r="C1204" s="243" t="s">
        <v>2742</v>
      </c>
      <c r="D1204" s="243"/>
      <c r="E1204" s="243"/>
      <c r="F1204" s="243"/>
      <c r="G1204" s="253"/>
      <c r="H1204" s="249">
        <v>13</v>
      </c>
    </row>
    <row r="1205" spans="2:8" ht="13.8" x14ac:dyDescent="0.25">
      <c r="B1205" s="248">
        <v>10136</v>
      </c>
      <c r="C1205" s="243" t="s">
        <v>2743</v>
      </c>
      <c r="D1205" s="243"/>
      <c r="E1205" s="243"/>
      <c r="F1205" s="243"/>
      <c r="G1205" s="253"/>
      <c r="H1205" s="249">
        <v>22</v>
      </c>
    </row>
    <row r="1206" spans="2:8" ht="13.8" x14ac:dyDescent="0.25">
      <c r="B1206" s="248">
        <v>10137</v>
      </c>
      <c r="C1206" s="248" t="s">
        <v>2744</v>
      </c>
      <c r="D1206" s="243"/>
      <c r="E1206" s="243"/>
      <c r="F1206" s="243"/>
      <c r="G1206" s="253"/>
      <c r="H1206" s="249">
        <v>12</v>
      </c>
    </row>
    <row r="1207" spans="2:8" ht="13.8" x14ac:dyDescent="0.25">
      <c r="B1207" s="248">
        <v>10138</v>
      </c>
      <c r="C1207" s="243" t="s">
        <v>2745</v>
      </c>
      <c r="D1207" s="243"/>
      <c r="E1207" s="243"/>
      <c r="F1207" s="243"/>
      <c r="G1207" s="253"/>
      <c r="H1207" s="249">
        <v>12</v>
      </c>
    </row>
    <row r="1208" spans="2:8" ht="13.8" x14ac:dyDescent="0.25">
      <c r="B1208" s="248">
        <v>10139</v>
      </c>
      <c r="C1208" s="243" t="s">
        <v>2746</v>
      </c>
      <c r="D1208" s="243"/>
      <c r="E1208" s="243"/>
      <c r="F1208" s="243"/>
      <c r="G1208" s="253"/>
      <c r="H1208" s="249">
        <v>12</v>
      </c>
    </row>
    <row r="1209" spans="2:8" ht="14.4" thickBot="1" x14ac:dyDescent="0.3">
      <c r="B1209" s="268">
        <v>10140</v>
      </c>
      <c r="C1209" s="255" t="s">
        <v>2747</v>
      </c>
      <c r="D1209" s="255"/>
      <c r="E1209" s="255"/>
      <c r="F1209" s="255"/>
      <c r="G1209" s="260"/>
      <c r="H1209" s="263">
        <v>8</v>
      </c>
    </row>
    <row r="1210" spans="2:8" ht="14.4" thickBot="1" x14ac:dyDescent="0.3">
      <c r="B1210" s="375" t="s">
        <v>2748</v>
      </c>
      <c r="C1210" s="376"/>
      <c r="D1210" s="376"/>
      <c r="E1210" s="376"/>
      <c r="F1210" s="376"/>
      <c r="G1210" s="376"/>
      <c r="H1210" s="377"/>
    </row>
    <row r="1211" spans="2:8" ht="13.8" x14ac:dyDescent="0.25">
      <c r="B1211" s="248">
        <v>10141</v>
      </c>
      <c r="C1211" s="243" t="s">
        <v>2749</v>
      </c>
      <c r="D1211" s="243"/>
      <c r="E1211" s="243"/>
      <c r="F1211" s="243"/>
      <c r="G1211" s="253"/>
      <c r="H1211" s="249">
        <v>10</v>
      </c>
    </row>
    <row r="1212" spans="2:8" ht="13.8" x14ac:dyDescent="0.25">
      <c r="B1212" s="248">
        <v>10142</v>
      </c>
      <c r="C1212" s="243" t="s">
        <v>2750</v>
      </c>
      <c r="D1212" s="243"/>
      <c r="E1212" s="243"/>
      <c r="F1212" s="243"/>
      <c r="G1212" s="253"/>
      <c r="H1212" s="249">
        <v>13</v>
      </c>
    </row>
    <row r="1213" spans="2:8" ht="13.8" x14ac:dyDescent="0.25">
      <c r="B1213" s="248">
        <v>10143</v>
      </c>
      <c r="C1213" s="243" t="s">
        <v>2751</v>
      </c>
      <c r="D1213" s="243"/>
      <c r="E1213" s="243"/>
      <c r="F1213" s="243"/>
      <c r="G1213" s="253"/>
      <c r="H1213" s="249">
        <v>10</v>
      </c>
    </row>
    <row r="1214" spans="2:8" ht="13.8" x14ac:dyDescent="0.25">
      <c r="B1214" s="248">
        <v>10144</v>
      </c>
      <c r="C1214" s="243" t="s">
        <v>2752</v>
      </c>
      <c r="D1214" s="243"/>
      <c r="E1214" s="243"/>
      <c r="F1214" s="243"/>
      <c r="G1214" s="253"/>
      <c r="H1214" s="249">
        <v>8</v>
      </c>
    </row>
    <row r="1215" spans="2:8" ht="13.8" x14ac:dyDescent="0.25">
      <c r="B1215" s="248">
        <v>10145</v>
      </c>
      <c r="C1215" s="243" t="s">
        <v>2753</v>
      </c>
      <c r="D1215" s="243"/>
      <c r="E1215" s="253"/>
      <c r="F1215" s="253"/>
      <c r="G1215" s="253"/>
      <c r="H1215" s="249">
        <v>8</v>
      </c>
    </row>
    <row r="1216" spans="2:8" ht="13.8" x14ac:dyDescent="0.25">
      <c r="B1216" s="248">
        <v>10146</v>
      </c>
      <c r="C1216" s="243" t="s">
        <v>2754</v>
      </c>
      <c r="D1216" s="243"/>
      <c r="E1216" s="253"/>
      <c r="F1216" s="253"/>
      <c r="G1216" s="253"/>
      <c r="H1216" s="249">
        <v>8</v>
      </c>
    </row>
    <row r="1217" spans="2:8" ht="13.8" x14ac:dyDescent="0.25">
      <c r="B1217" s="248">
        <v>10147</v>
      </c>
      <c r="C1217" s="243" t="s">
        <v>2755</v>
      </c>
      <c r="D1217" s="243"/>
      <c r="E1217" s="253"/>
      <c r="F1217" s="253"/>
      <c r="G1217" s="253"/>
      <c r="H1217" s="249">
        <v>12</v>
      </c>
    </row>
    <row r="1218" spans="2:8" ht="13.8" x14ac:dyDescent="0.25">
      <c r="B1218" s="248">
        <v>10148</v>
      </c>
      <c r="C1218" s="243" t="s">
        <v>2756</v>
      </c>
      <c r="D1218" s="243"/>
      <c r="E1218" s="253"/>
      <c r="F1218" s="253"/>
      <c r="G1218" s="253"/>
      <c r="H1218" s="249">
        <v>22</v>
      </c>
    </row>
    <row r="1219" spans="2:8" ht="13.8" x14ac:dyDescent="0.25">
      <c r="B1219" s="248">
        <v>10149</v>
      </c>
      <c r="C1219" s="243" t="s">
        <v>2757</v>
      </c>
      <c r="D1219" s="243"/>
      <c r="E1219" s="253"/>
      <c r="F1219" s="253"/>
      <c r="G1219" s="253"/>
      <c r="H1219" s="249">
        <v>13</v>
      </c>
    </row>
    <row r="1220" spans="2:8" ht="13.8" x14ac:dyDescent="0.25">
      <c r="B1220" s="248">
        <v>10150</v>
      </c>
      <c r="C1220" s="243" t="s">
        <v>2758</v>
      </c>
      <c r="D1220" s="243"/>
      <c r="E1220" s="253"/>
      <c r="F1220" s="253"/>
      <c r="G1220" s="253"/>
      <c r="H1220" s="249">
        <v>8</v>
      </c>
    </row>
    <row r="1221" spans="2:8" ht="13.8" x14ac:dyDescent="0.25">
      <c r="B1221" s="248">
        <v>10151</v>
      </c>
      <c r="C1221" s="243" t="s">
        <v>2759</v>
      </c>
      <c r="D1221" s="243"/>
      <c r="E1221" s="253"/>
      <c r="F1221" s="253"/>
      <c r="G1221" s="253"/>
      <c r="H1221" s="249">
        <v>8</v>
      </c>
    </row>
    <row r="1222" spans="2:8" ht="13.8" x14ac:dyDescent="0.25">
      <c r="B1222" s="248">
        <v>10152</v>
      </c>
      <c r="C1222" s="243" t="s">
        <v>2760</v>
      </c>
      <c r="D1222" s="243"/>
      <c r="E1222" s="253"/>
      <c r="F1222" s="253"/>
      <c r="G1222" s="253"/>
      <c r="H1222" s="249">
        <v>12</v>
      </c>
    </row>
    <row r="1223" spans="2:8" ht="13.8" x14ac:dyDescent="0.25">
      <c r="B1223" s="248">
        <v>10153</v>
      </c>
      <c r="C1223" s="243" t="s">
        <v>2761</v>
      </c>
      <c r="D1223" s="243"/>
      <c r="E1223" s="253"/>
      <c r="F1223" s="253"/>
      <c r="G1223" s="253"/>
      <c r="H1223" s="249">
        <v>8</v>
      </c>
    </row>
    <row r="1224" spans="2:8" ht="13.8" x14ac:dyDescent="0.25">
      <c r="B1224" s="248">
        <v>10154</v>
      </c>
      <c r="C1224" s="243" t="s">
        <v>2762</v>
      </c>
      <c r="D1224" s="243"/>
      <c r="E1224" s="253"/>
      <c r="F1224" s="253"/>
      <c r="G1224" s="253"/>
      <c r="H1224" s="249">
        <v>6</v>
      </c>
    </row>
    <row r="1225" spans="2:8" ht="13.8" x14ac:dyDescent="0.25">
      <c r="B1225" s="248">
        <v>10155</v>
      </c>
      <c r="C1225" s="243" t="s">
        <v>2763</v>
      </c>
      <c r="D1225" s="243"/>
      <c r="E1225" s="253"/>
      <c r="F1225" s="253"/>
      <c r="G1225" s="253"/>
      <c r="H1225" s="249">
        <v>10</v>
      </c>
    </row>
    <row r="1226" spans="2:8" ht="13.8" x14ac:dyDescent="0.25">
      <c r="B1226" s="248">
        <v>10156</v>
      </c>
      <c r="C1226" s="243" t="s">
        <v>2764</v>
      </c>
      <c r="D1226" s="243"/>
      <c r="E1226" s="253"/>
      <c r="F1226" s="253"/>
      <c r="G1226" s="253"/>
      <c r="H1226" s="249">
        <v>8</v>
      </c>
    </row>
    <row r="1227" spans="2:8" ht="14.4" thickBot="1" x14ac:dyDescent="0.3">
      <c r="B1227" s="248">
        <v>10157</v>
      </c>
      <c r="C1227" s="243" t="s">
        <v>2765</v>
      </c>
      <c r="D1227" s="243"/>
      <c r="E1227" s="253"/>
      <c r="F1227" s="253"/>
      <c r="G1227" s="253"/>
      <c r="H1227" s="249">
        <v>10</v>
      </c>
    </row>
    <row r="1228" spans="2:8" ht="14.4" thickBot="1" x14ac:dyDescent="0.3">
      <c r="B1228" s="375" t="s">
        <v>2766</v>
      </c>
      <c r="C1228" s="376"/>
      <c r="D1228" s="376"/>
      <c r="E1228" s="376"/>
      <c r="F1228" s="376"/>
      <c r="G1228" s="376"/>
      <c r="H1228" s="377"/>
    </row>
    <row r="1229" spans="2:8" ht="13.8" x14ac:dyDescent="0.25">
      <c r="B1229" s="248">
        <v>10158</v>
      </c>
      <c r="C1229" s="243" t="s">
        <v>2767</v>
      </c>
      <c r="D1229" s="243"/>
      <c r="E1229" s="253"/>
      <c r="F1229" s="253"/>
      <c r="G1229" s="253"/>
      <c r="H1229" s="249">
        <v>10</v>
      </c>
    </row>
    <row r="1230" spans="2:8" ht="13.8" x14ac:dyDescent="0.25">
      <c r="B1230" s="248">
        <v>10159</v>
      </c>
      <c r="C1230" s="243" t="s">
        <v>2768</v>
      </c>
      <c r="D1230" s="243"/>
      <c r="E1230" s="253"/>
      <c r="F1230" s="253"/>
      <c r="G1230" s="253"/>
      <c r="H1230" s="249">
        <v>10</v>
      </c>
    </row>
    <row r="1231" spans="2:8" ht="13.8" x14ac:dyDescent="0.25">
      <c r="B1231" s="248">
        <v>10160</v>
      </c>
      <c r="C1231" s="243" t="s">
        <v>2769</v>
      </c>
      <c r="D1231" s="243"/>
      <c r="E1231" s="253"/>
      <c r="F1231" s="253"/>
      <c r="G1231" s="253"/>
      <c r="H1231" s="249">
        <v>10</v>
      </c>
    </row>
    <row r="1232" spans="2:8" ht="13.8" x14ac:dyDescent="0.25">
      <c r="B1232" s="248">
        <v>10161</v>
      </c>
      <c r="C1232" s="243" t="s">
        <v>2770</v>
      </c>
      <c r="D1232" s="243"/>
      <c r="E1232" s="253"/>
      <c r="F1232" s="253"/>
      <c r="G1232" s="253"/>
      <c r="H1232" s="249">
        <v>8</v>
      </c>
    </row>
    <row r="1233" spans="2:8" ht="13.8" x14ac:dyDescent="0.25">
      <c r="B1233" s="248">
        <v>10162</v>
      </c>
      <c r="C1233" s="243" t="s">
        <v>2771</v>
      </c>
      <c r="D1233" s="243"/>
      <c r="E1233" s="253"/>
      <c r="F1233" s="253"/>
      <c r="G1233" s="253"/>
      <c r="H1233" s="249">
        <v>10</v>
      </c>
    </row>
    <row r="1234" spans="2:8" ht="13.8" x14ac:dyDescent="0.25">
      <c r="B1234" s="248">
        <v>10163</v>
      </c>
      <c r="C1234" s="243" t="s">
        <v>2772</v>
      </c>
      <c r="D1234" s="243"/>
      <c r="E1234" s="253"/>
      <c r="F1234" s="253"/>
      <c r="G1234" s="253"/>
      <c r="H1234" s="249">
        <v>8</v>
      </c>
    </row>
    <row r="1235" spans="2:8" ht="13.8" x14ac:dyDescent="0.25">
      <c r="B1235" s="248">
        <v>10164</v>
      </c>
      <c r="C1235" s="243" t="s">
        <v>2773</v>
      </c>
      <c r="D1235" s="243"/>
      <c r="E1235" s="253"/>
      <c r="F1235" s="253"/>
      <c r="G1235" s="253"/>
      <c r="H1235" s="249">
        <v>12</v>
      </c>
    </row>
    <row r="1236" spans="2:8" ht="13.8" x14ac:dyDescent="0.25">
      <c r="B1236" s="248">
        <v>10165</v>
      </c>
      <c r="C1236" s="243" t="s">
        <v>2774</v>
      </c>
      <c r="D1236" s="243"/>
      <c r="E1236" s="253"/>
      <c r="F1236" s="253"/>
      <c r="G1236" s="253"/>
      <c r="H1236" s="249">
        <v>8</v>
      </c>
    </row>
    <row r="1237" spans="2:8" ht="13.8" x14ac:dyDescent="0.25">
      <c r="B1237" s="248">
        <v>10166</v>
      </c>
      <c r="C1237" s="243" t="s">
        <v>2775</v>
      </c>
      <c r="D1237" s="243"/>
      <c r="E1237" s="253"/>
      <c r="F1237" s="253"/>
      <c r="G1237" s="253"/>
      <c r="H1237" s="249">
        <v>8</v>
      </c>
    </row>
    <row r="1238" spans="2:8" ht="14.4" thickBot="1" x14ac:dyDescent="0.3">
      <c r="B1238" s="248">
        <v>10167</v>
      </c>
      <c r="C1238" s="243" t="s">
        <v>2776</v>
      </c>
      <c r="D1238" s="243"/>
      <c r="E1238" s="253"/>
      <c r="F1238" s="253"/>
      <c r="G1238" s="253"/>
      <c r="H1238" s="249">
        <v>10</v>
      </c>
    </row>
    <row r="1239" spans="2:8" ht="14.4" thickBot="1" x14ac:dyDescent="0.3">
      <c r="B1239" s="375" t="s">
        <v>2777</v>
      </c>
      <c r="C1239" s="376"/>
      <c r="D1239" s="376"/>
      <c r="E1239" s="376"/>
      <c r="F1239" s="376"/>
      <c r="G1239" s="376"/>
      <c r="H1239" s="377"/>
    </row>
    <row r="1240" spans="2:8" ht="13.8" x14ac:dyDescent="0.25">
      <c r="B1240" s="248">
        <v>10168</v>
      </c>
      <c r="C1240" s="243" t="s">
        <v>2778</v>
      </c>
      <c r="D1240" s="243"/>
      <c r="E1240" s="253"/>
      <c r="F1240" s="253"/>
      <c r="G1240" s="253"/>
      <c r="H1240" s="249">
        <v>8</v>
      </c>
    </row>
    <row r="1241" spans="2:8" ht="13.8" x14ac:dyDescent="0.25">
      <c r="B1241" s="248">
        <v>10169</v>
      </c>
      <c r="C1241" s="243" t="s">
        <v>2779</v>
      </c>
      <c r="D1241" s="243"/>
      <c r="E1241" s="253"/>
      <c r="F1241" s="253"/>
      <c r="G1241" s="253"/>
      <c r="H1241" s="249">
        <v>12</v>
      </c>
    </row>
    <row r="1242" spans="2:8" ht="13.8" x14ac:dyDescent="0.25">
      <c r="B1242" s="248">
        <v>10170</v>
      </c>
      <c r="C1242" s="243" t="s">
        <v>2780</v>
      </c>
      <c r="D1242" s="243"/>
      <c r="E1242" s="253"/>
      <c r="F1242" s="253"/>
      <c r="G1242" s="253"/>
      <c r="H1242" s="249">
        <v>13</v>
      </c>
    </row>
    <row r="1243" spans="2:8" ht="13.8" x14ac:dyDescent="0.25">
      <c r="B1243" s="248">
        <v>10171</v>
      </c>
      <c r="C1243" s="243" t="s">
        <v>2781</v>
      </c>
      <c r="D1243" s="243"/>
      <c r="E1243" s="253"/>
      <c r="F1243" s="253"/>
      <c r="G1243" s="253"/>
      <c r="H1243" s="249">
        <v>10</v>
      </c>
    </row>
    <row r="1244" spans="2:8" ht="13.8" x14ac:dyDescent="0.25">
      <c r="B1244" s="248">
        <v>10172</v>
      </c>
      <c r="C1244" s="243" t="s">
        <v>2782</v>
      </c>
      <c r="D1244" s="243"/>
      <c r="E1244" s="253"/>
      <c r="F1244" s="253"/>
      <c r="G1244" s="253"/>
      <c r="H1244" s="249">
        <v>12</v>
      </c>
    </row>
    <row r="1245" spans="2:8" ht="13.8" x14ac:dyDescent="0.25">
      <c r="B1245" s="248">
        <v>10173</v>
      </c>
      <c r="C1245" s="243" t="s">
        <v>2783</v>
      </c>
      <c r="D1245" s="243"/>
      <c r="E1245" s="253"/>
      <c r="F1245" s="253"/>
      <c r="G1245" s="253"/>
      <c r="H1245" s="249">
        <v>8</v>
      </c>
    </row>
    <row r="1246" spans="2:8" ht="13.8" x14ac:dyDescent="0.25">
      <c r="B1246" s="248">
        <v>10174</v>
      </c>
      <c r="C1246" s="243" t="s">
        <v>2784</v>
      </c>
      <c r="D1246" s="243"/>
      <c r="E1246" s="253"/>
      <c r="F1246" s="253"/>
      <c r="G1246" s="253"/>
      <c r="H1246" s="249">
        <v>10</v>
      </c>
    </row>
    <row r="1247" spans="2:8" ht="13.8" x14ac:dyDescent="0.25">
      <c r="B1247" s="248">
        <v>10175</v>
      </c>
      <c r="C1247" s="243" t="s">
        <v>2785</v>
      </c>
      <c r="D1247" s="243"/>
      <c r="E1247" s="253"/>
      <c r="F1247" s="253"/>
      <c r="G1247" s="253"/>
      <c r="H1247" s="249">
        <v>8</v>
      </c>
    </row>
    <row r="1248" spans="2:8" ht="14.4" thickBot="1" x14ac:dyDescent="0.3">
      <c r="B1248" s="248">
        <v>10176</v>
      </c>
      <c r="C1248" s="243" t="s">
        <v>2786</v>
      </c>
      <c r="D1248" s="243"/>
      <c r="E1248" s="253"/>
      <c r="F1248" s="253"/>
      <c r="G1248" s="253"/>
      <c r="H1248" s="249">
        <v>8</v>
      </c>
    </row>
    <row r="1249" spans="2:8" ht="14.4" thickBot="1" x14ac:dyDescent="0.3">
      <c r="B1249" s="375" t="s">
        <v>2787</v>
      </c>
      <c r="C1249" s="376"/>
      <c r="D1249" s="376"/>
      <c r="E1249" s="376"/>
      <c r="F1249" s="376"/>
      <c r="G1249" s="376"/>
      <c r="H1249" s="377"/>
    </row>
    <row r="1250" spans="2:8" ht="13.8" x14ac:dyDescent="0.25">
      <c r="B1250" s="248">
        <v>10177</v>
      </c>
      <c r="C1250" s="243" t="s">
        <v>2788</v>
      </c>
      <c r="D1250" s="243"/>
      <c r="E1250" s="253"/>
      <c r="F1250" s="253"/>
      <c r="G1250" s="253"/>
      <c r="H1250" s="249">
        <v>10</v>
      </c>
    </row>
    <row r="1251" spans="2:8" ht="13.8" x14ac:dyDescent="0.25">
      <c r="B1251" s="248">
        <v>10178</v>
      </c>
      <c r="C1251" s="243" t="s">
        <v>2789</v>
      </c>
      <c r="D1251" s="243"/>
      <c r="E1251" s="253"/>
      <c r="F1251" s="253"/>
      <c r="G1251" s="253"/>
      <c r="H1251" s="249">
        <v>10</v>
      </c>
    </row>
    <row r="1252" spans="2:8" ht="13.8" x14ac:dyDescent="0.25">
      <c r="B1252" s="248">
        <v>10179</v>
      </c>
      <c r="C1252" s="243" t="s">
        <v>2790</v>
      </c>
      <c r="D1252" s="243"/>
      <c r="E1252" s="253"/>
      <c r="F1252" s="253"/>
      <c r="G1252" s="253"/>
      <c r="H1252" s="249">
        <v>8</v>
      </c>
    </row>
    <row r="1253" spans="2:8" ht="13.8" x14ac:dyDescent="0.25">
      <c r="B1253" s="248">
        <v>10180</v>
      </c>
      <c r="C1253" s="243" t="s">
        <v>2791</v>
      </c>
      <c r="D1253" s="243"/>
      <c r="E1253" s="253"/>
      <c r="F1253" s="253"/>
      <c r="G1253" s="253"/>
      <c r="H1253" s="249">
        <v>13</v>
      </c>
    </row>
    <row r="1254" spans="2:8" ht="13.8" x14ac:dyDescent="0.25">
      <c r="B1254" s="248">
        <v>10181</v>
      </c>
      <c r="C1254" s="243" t="s">
        <v>2792</v>
      </c>
      <c r="D1254" s="243"/>
      <c r="E1254" s="253"/>
      <c r="F1254" s="253"/>
      <c r="G1254" s="253"/>
      <c r="H1254" s="249">
        <v>20</v>
      </c>
    </row>
    <row r="1255" spans="2:8" ht="13.8" x14ac:dyDescent="0.25">
      <c r="B1255" s="248">
        <v>10182</v>
      </c>
      <c r="C1255" s="243" t="s">
        <v>2793</v>
      </c>
      <c r="D1255" s="243"/>
      <c r="E1255" s="253"/>
      <c r="F1255" s="253"/>
      <c r="G1255" s="253"/>
      <c r="H1255" s="249">
        <v>10</v>
      </c>
    </row>
    <row r="1256" spans="2:8" ht="13.8" x14ac:dyDescent="0.25">
      <c r="B1256" s="248">
        <v>10183</v>
      </c>
      <c r="C1256" s="243" t="s">
        <v>2794</v>
      </c>
      <c r="D1256" s="243"/>
      <c r="E1256" s="253"/>
      <c r="F1256" s="253"/>
      <c r="G1256" s="253"/>
      <c r="H1256" s="249">
        <v>23</v>
      </c>
    </row>
    <row r="1257" spans="2:8" ht="13.8" x14ac:dyDescent="0.25">
      <c r="B1257" s="248">
        <v>10184</v>
      </c>
      <c r="C1257" s="243" t="s">
        <v>2795</v>
      </c>
      <c r="D1257" s="243"/>
      <c r="E1257" s="253"/>
      <c r="F1257" s="253"/>
      <c r="G1257" s="253"/>
      <c r="H1257" s="249">
        <v>10</v>
      </c>
    </row>
    <row r="1258" spans="2:8" ht="13.8" x14ac:dyDescent="0.25">
      <c r="B1258" s="248">
        <v>10185</v>
      </c>
      <c r="C1258" s="243" t="s">
        <v>2796</v>
      </c>
      <c r="D1258" s="243"/>
      <c r="E1258" s="253"/>
      <c r="F1258" s="253"/>
      <c r="G1258" s="253"/>
      <c r="H1258" s="249">
        <v>6</v>
      </c>
    </row>
    <row r="1259" spans="2:8" ht="13.8" x14ac:dyDescent="0.25">
      <c r="B1259" s="248">
        <v>10186</v>
      </c>
      <c r="C1259" s="243" t="s">
        <v>2797</v>
      </c>
      <c r="D1259" s="243"/>
      <c r="E1259" s="253"/>
      <c r="F1259" s="253"/>
      <c r="G1259" s="253"/>
      <c r="H1259" s="249">
        <v>12</v>
      </c>
    </row>
    <row r="1260" spans="2:8" ht="14.4" thickBot="1" x14ac:dyDescent="0.3">
      <c r="B1260" s="248">
        <v>10187</v>
      </c>
      <c r="C1260" s="243" t="s">
        <v>2798</v>
      </c>
      <c r="D1260" s="243"/>
      <c r="E1260" s="253"/>
      <c r="F1260" s="253"/>
      <c r="G1260" s="253"/>
      <c r="H1260" s="249">
        <v>12</v>
      </c>
    </row>
    <row r="1261" spans="2:8" ht="14.4" thickBot="1" x14ac:dyDescent="0.3">
      <c r="B1261" s="375" t="s">
        <v>2799</v>
      </c>
      <c r="C1261" s="376"/>
      <c r="D1261" s="376"/>
      <c r="E1261" s="376"/>
      <c r="F1261" s="376"/>
      <c r="G1261" s="376"/>
      <c r="H1261" s="377"/>
    </row>
    <row r="1262" spans="2:8" ht="14.4" thickBot="1" x14ac:dyDescent="0.3">
      <c r="B1262" s="375" t="s">
        <v>2800</v>
      </c>
      <c r="C1262" s="376"/>
      <c r="D1262" s="376"/>
      <c r="E1262" s="376"/>
      <c r="F1262" s="376"/>
      <c r="G1262" s="376"/>
      <c r="H1262" s="377"/>
    </row>
    <row r="1263" spans="2:8" ht="13.8" x14ac:dyDescent="0.25">
      <c r="B1263" s="245">
        <v>11101</v>
      </c>
      <c r="C1263" s="246" t="s">
        <v>2801</v>
      </c>
      <c r="D1263" s="246"/>
      <c r="E1263" s="246"/>
      <c r="F1263" s="246"/>
      <c r="G1263" s="246"/>
      <c r="H1263" s="247">
        <v>8</v>
      </c>
    </row>
    <row r="1264" spans="2:8" ht="13.8" x14ac:dyDescent="0.25">
      <c r="B1264" s="248">
        <v>11102</v>
      </c>
      <c r="C1264" s="243" t="s">
        <v>2802</v>
      </c>
      <c r="D1264" s="243"/>
      <c r="E1264" s="243"/>
      <c r="F1264" s="243"/>
      <c r="G1264" s="243"/>
      <c r="H1264" s="249">
        <v>8</v>
      </c>
    </row>
    <row r="1265" spans="2:8" ht="13.8" x14ac:dyDescent="0.25">
      <c r="B1265" s="248">
        <v>11103</v>
      </c>
      <c r="C1265" s="243" t="s">
        <v>2803</v>
      </c>
      <c r="D1265" s="243"/>
      <c r="E1265" s="243"/>
      <c r="F1265" s="243"/>
      <c r="G1265" s="243"/>
      <c r="H1265" s="249">
        <v>8</v>
      </c>
    </row>
    <row r="1266" spans="2:8" ht="13.8" x14ac:dyDescent="0.25">
      <c r="B1266" s="248">
        <v>11104</v>
      </c>
      <c r="C1266" s="243" t="s">
        <v>2804</v>
      </c>
      <c r="D1266" s="243"/>
      <c r="E1266" s="243"/>
      <c r="F1266" s="243"/>
      <c r="G1266" s="243"/>
      <c r="H1266" s="249">
        <v>8</v>
      </c>
    </row>
    <row r="1267" spans="2:8" ht="13.8" x14ac:dyDescent="0.25">
      <c r="B1267" s="248">
        <v>11105</v>
      </c>
      <c r="C1267" s="243" t="s">
        <v>2805</v>
      </c>
      <c r="D1267" s="243"/>
      <c r="E1267" s="243"/>
      <c r="F1267" s="243"/>
      <c r="G1267" s="243"/>
      <c r="H1267" s="249">
        <v>8</v>
      </c>
    </row>
    <row r="1268" spans="2:8" ht="13.8" x14ac:dyDescent="0.25">
      <c r="B1268" s="248">
        <v>11106</v>
      </c>
      <c r="C1268" s="243" t="s">
        <v>2806</v>
      </c>
      <c r="D1268" s="243"/>
      <c r="E1268" s="243"/>
      <c r="F1268" s="243"/>
      <c r="G1268" s="243"/>
      <c r="H1268" s="249">
        <v>10</v>
      </c>
    </row>
    <row r="1269" spans="2:8" ht="13.8" x14ac:dyDescent="0.25">
      <c r="B1269" s="248">
        <v>11107</v>
      </c>
      <c r="C1269" s="243" t="s">
        <v>2807</v>
      </c>
      <c r="D1269" s="243"/>
      <c r="E1269" s="243"/>
      <c r="F1269" s="243"/>
      <c r="G1269" s="243"/>
      <c r="H1269" s="249">
        <v>13</v>
      </c>
    </row>
    <row r="1270" spans="2:8" ht="13.8" x14ac:dyDescent="0.25">
      <c r="B1270" s="248">
        <v>11108</v>
      </c>
      <c r="C1270" s="243" t="s">
        <v>2808</v>
      </c>
      <c r="D1270" s="243"/>
      <c r="E1270" s="243"/>
      <c r="F1270" s="243"/>
      <c r="G1270" s="243"/>
      <c r="H1270" s="249">
        <v>8</v>
      </c>
    </row>
    <row r="1271" spans="2:8" ht="13.8" x14ac:dyDescent="0.25">
      <c r="B1271" s="248">
        <v>11109</v>
      </c>
      <c r="C1271" s="243" t="s">
        <v>2809</v>
      </c>
      <c r="D1271" s="243"/>
      <c r="E1271" s="243"/>
      <c r="F1271" s="243"/>
      <c r="G1271" s="243"/>
      <c r="H1271" s="249">
        <v>10</v>
      </c>
    </row>
    <row r="1272" spans="2:8" ht="14.4" thickBot="1" x14ac:dyDescent="0.3">
      <c r="B1272" s="250">
        <v>11110</v>
      </c>
      <c r="C1272" s="251" t="s">
        <v>2810</v>
      </c>
      <c r="D1272" s="251"/>
      <c r="E1272" s="251"/>
      <c r="F1272" s="251"/>
      <c r="G1272" s="251"/>
      <c r="H1272" s="252">
        <v>10</v>
      </c>
    </row>
    <row r="1273" spans="2:8" ht="14.4" thickBot="1" x14ac:dyDescent="0.3">
      <c r="B1273" s="375" t="s">
        <v>2811</v>
      </c>
      <c r="C1273" s="376"/>
      <c r="D1273" s="376"/>
      <c r="E1273" s="376"/>
      <c r="F1273" s="376"/>
      <c r="G1273" s="376"/>
      <c r="H1273" s="377"/>
    </row>
    <row r="1274" spans="2:8" ht="13.8" x14ac:dyDescent="0.25">
      <c r="B1274" s="248">
        <v>11111</v>
      </c>
      <c r="C1274" s="243" t="s">
        <v>2812</v>
      </c>
      <c r="D1274" s="243"/>
      <c r="E1274" s="243"/>
      <c r="F1274" s="243"/>
      <c r="G1274" s="243"/>
      <c r="H1274" s="243">
        <v>10</v>
      </c>
    </row>
    <row r="1275" spans="2:8" ht="13.8" x14ac:dyDescent="0.25">
      <c r="B1275" s="248">
        <v>11112</v>
      </c>
      <c r="C1275" s="243" t="s">
        <v>2813</v>
      </c>
      <c r="D1275" s="243"/>
      <c r="E1275" s="243"/>
      <c r="F1275" s="243"/>
      <c r="G1275" s="243"/>
      <c r="H1275" s="243">
        <v>10</v>
      </c>
    </row>
    <row r="1276" spans="2:8" ht="13.8" x14ac:dyDescent="0.25">
      <c r="B1276" s="248">
        <v>11113</v>
      </c>
      <c r="C1276" s="243" t="s">
        <v>2814</v>
      </c>
      <c r="D1276" s="243"/>
      <c r="E1276" s="243"/>
      <c r="F1276" s="243"/>
      <c r="G1276" s="243"/>
      <c r="H1276" s="243">
        <v>12</v>
      </c>
    </row>
    <row r="1277" spans="2:8" ht="13.8" x14ac:dyDescent="0.25">
      <c r="B1277" s="248">
        <v>11114</v>
      </c>
      <c r="C1277" s="243" t="s">
        <v>2815</v>
      </c>
      <c r="D1277" s="243"/>
      <c r="E1277" s="243"/>
      <c r="F1277" s="243"/>
      <c r="G1277" s="243"/>
      <c r="H1277" s="243">
        <v>12</v>
      </c>
    </row>
    <row r="1278" spans="2:8" ht="13.8" x14ac:dyDescent="0.25">
      <c r="B1278" s="248">
        <v>11115</v>
      </c>
      <c r="C1278" s="243" t="s">
        <v>2816</v>
      </c>
      <c r="D1278" s="243"/>
      <c r="E1278" s="243"/>
      <c r="F1278" s="243"/>
      <c r="G1278" s="243"/>
      <c r="H1278" s="243">
        <v>10</v>
      </c>
    </row>
    <row r="1279" spans="2:8" ht="13.8" x14ac:dyDescent="0.25">
      <c r="B1279" s="248">
        <v>11116</v>
      </c>
      <c r="C1279" s="243" t="s">
        <v>2817</v>
      </c>
      <c r="D1279" s="243"/>
      <c r="E1279" s="243"/>
      <c r="F1279" s="243"/>
      <c r="G1279" s="243"/>
      <c r="H1279" s="243">
        <v>8</v>
      </c>
    </row>
    <row r="1280" spans="2:8" ht="13.8" x14ac:dyDescent="0.25">
      <c r="B1280" s="248">
        <v>11117</v>
      </c>
      <c r="C1280" s="243" t="s">
        <v>2818</v>
      </c>
      <c r="D1280" s="243"/>
      <c r="E1280" s="243"/>
      <c r="F1280" s="243"/>
      <c r="G1280" s="243"/>
      <c r="H1280" s="243">
        <v>8</v>
      </c>
    </row>
    <row r="1281" spans="2:8" ht="13.8" x14ac:dyDescent="0.25">
      <c r="B1281" s="248">
        <v>11118</v>
      </c>
      <c r="C1281" s="243" t="s">
        <v>2819</v>
      </c>
      <c r="D1281" s="243"/>
      <c r="E1281" s="243"/>
      <c r="F1281" s="243"/>
      <c r="G1281" s="243"/>
      <c r="H1281" s="243">
        <v>8</v>
      </c>
    </row>
    <row r="1282" spans="2:8" ht="13.8" x14ac:dyDescent="0.25">
      <c r="B1282" s="248">
        <v>11119</v>
      </c>
      <c r="C1282" s="243" t="s">
        <v>2820</v>
      </c>
      <c r="D1282" s="243"/>
      <c r="E1282" s="243"/>
      <c r="F1282" s="243"/>
      <c r="G1282" s="243"/>
      <c r="H1282" s="243">
        <v>13</v>
      </c>
    </row>
    <row r="1283" spans="2:8" ht="13.8" x14ac:dyDescent="0.25">
      <c r="B1283" s="248">
        <v>11120</v>
      </c>
      <c r="C1283" s="243" t="s">
        <v>2821</v>
      </c>
      <c r="D1283" s="243"/>
      <c r="E1283" s="243"/>
      <c r="F1283" s="243"/>
      <c r="G1283" s="243"/>
      <c r="H1283" s="243">
        <v>13</v>
      </c>
    </row>
    <row r="1284" spans="2:8" ht="14.4" thickBot="1" x14ac:dyDescent="0.3">
      <c r="B1284" s="248">
        <v>11121</v>
      </c>
      <c r="C1284" s="243" t="s">
        <v>2822</v>
      </c>
      <c r="D1284" s="243"/>
      <c r="E1284" s="243"/>
      <c r="F1284" s="243"/>
      <c r="G1284" s="243"/>
      <c r="H1284" s="243">
        <v>8</v>
      </c>
    </row>
    <row r="1285" spans="2:8" ht="14.4" thickBot="1" x14ac:dyDescent="0.3">
      <c r="B1285" s="375" t="s">
        <v>2823</v>
      </c>
      <c r="C1285" s="376"/>
      <c r="D1285" s="376"/>
      <c r="E1285" s="376"/>
      <c r="F1285" s="376"/>
      <c r="G1285" s="376"/>
      <c r="H1285" s="377"/>
    </row>
    <row r="1286" spans="2:8" ht="13.8" x14ac:dyDescent="0.25">
      <c r="B1286" s="248">
        <v>11122</v>
      </c>
      <c r="C1286" s="243" t="s">
        <v>2824</v>
      </c>
      <c r="D1286" s="243"/>
      <c r="E1286" s="243"/>
      <c r="F1286" s="243"/>
      <c r="G1286" s="243"/>
      <c r="H1286" s="243">
        <v>8</v>
      </c>
    </row>
    <row r="1287" spans="2:8" ht="13.8" x14ac:dyDescent="0.25">
      <c r="B1287" s="248">
        <v>11123</v>
      </c>
      <c r="C1287" s="243" t="s">
        <v>2825</v>
      </c>
      <c r="D1287" s="243"/>
      <c r="E1287" s="243"/>
      <c r="F1287" s="243"/>
      <c r="G1287" s="243"/>
      <c r="H1287" s="243">
        <v>6</v>
      </c>
    </row>
    <row r="1288" spans="2:8" ht="13.8" x14ac:dyDescent="0.25">
      <c r="B1288" s="248">
        <v>11124</v>
      </c>
      <c r="C1288" s="243" t="s">
        <v>2826</v>
      </c>
      <c r="D1288" s="243"/>
      <c r="E1288" s="243"/>
      <c r="F1288" s="243"/>
      <c r="G1288" s="243"/>
      <c r="H1288" s="243">
        <v>6</v>
      </c>
    </row>
    <row r="1289" spans="2:8" ht="13.8" x14ac:dyDescent="0.25">
      <c r="B1289" s="248">
        <v>11125</v>
      </c>
      <c r="C1289" s="243" t="s">
        <v>2827</v>
      </c>
      <c r="D1289" s="243"/>
      <c r="E1289" s="243"/>
      <c r="F1289" s="243"/>
      <c r="G1289" s="243"/>
      <c r="H1289" s="243">
        <v>10</v>
      </c>
    </row>
    <row r="1290" spans="2:8" ht="13.8" x14ac:dyDescent="0.25">
      <c r="B1290" s="248">
        <v>11126</v>
      </c>
      <c r="C1290" s="243" t="s">
        <v>2828</v>
      </c>
      <c r="D1290" s="243"/>
      <c r="E1290" s="243"/>
      <c r="F1290" s="243"/>
      <c r="G1290" s="243"/>
      <c r="H1290" s="243">
        <v>8</v>
      </c>
    </row>
    <row r="1291" spans="2:8" ht="14.4" thickBot="1" x14ac:dyDescent="0.3">
      <c r="B1291" s="248">
        <v>11127</v>
      </c>
      <c r="C1291" s="243" t="s">
        <v>2829</v>
      </c>
      <c r="D1291" s="243"/>
      <c r="E1291" s="243"/>
      <c r="F1291" s="243"/>
      <c r="G1291" s="243"/>
      <c r="H1291" s="243">
        <v>6</v>
      </c>
    </row>
    <row r="1292" spans="2:8" ht="14.4" thickBot="1" x14ac:dyDescent="0.3">
      <c r="B1292" s="375" t="s">
        <v>2830</v>
      </c>
      <c r="C1292" s="376"/>
      <c r="D1292" s="376"/>
      <c r="E1292" s="376"/>
      <c r="F1292" s="376"/>
      <c r="G1292" s="376"/>
      <c r="H1292" s="377"/>
    </row>
    <row r="1293" spans="2:8" ht="13.8" x14ac:dyDescent="0.25">
      <c r="B1293" s="248">
        <v>11128</v>
      </c>
      <c r="C1293" s="243" t="s">
        <v>2831</v>
      </c>
      <c r="D1293" s="243"/>
      <c r="E1293" s="243"/>
      <c r="F1293" s="243"/>
      <c r="G1293" s="243"/>
      <c r="H1293" s="243">
        <v>8</v>
      </c>
    </row>
    <row r="1294" spans="2:8" ht="13.8" x14ac:dyDescent="0.25">
      <c r="B1294" s="248">
        <v>11129</v>
      </c>
      <c r="C1294" s="243" t="s">
        <v>2832</v>
      </c>
      <c r="D1294" s="243"/>
      <c r="E1294" s="243"/>
      <c r="F1294" s="243"/>
      <c r="G1294" s="243"/>
      <c r="H1294" s="243">
        <v>12</v>
      </c>
    </row>
    <row r="1295" spans="2:8" ht="13.8" x14ac:dyDescent="0.25">
      <c r="B1295" s="248">
        <v>11130</v>
      </c>
      <c r="C1295" s="243" t="s">
        <v>2833</v>
      </c>
      <c r="D1295" s="243"/>
      <c r="E1295" s="243"/>
      <c r="F1295" s="243"/>
      <c r="G1295" s="243"/>
      <c r="H1295" s="243">
        <v>12</v>
      </c>
    </row>
    <row r="1296" spans="2:8" ht="13.8" x14ac:dyDescent="0.25">
      <c r="B1296" s="248">
        <v>11131</v>
      </c>
      <c r="C1296" s="243" t="s">
        <v>2834</v>
      </c>
      <c r="D1296" s="243"/>
      <c r="E1296" s="243"/>
      <c r="F1296" s="243"/>
      <c r="G1296" s="243"/>
      <c r="H1296" s="243">
        <v>12</v>
      </c>
    </row>
    <row r="1297" spans="2:8" ht="13.8" x14ac:dyDescent="0.25">
      <c r="B1297" s="248">
        <v>11132</v>
      </c>
      <c r="C1297" s="243" t="s">
        <v>2835</v>
      </c>
      <c r="D1297" s="243"/>
      <c r="E1297" s="243"/>
      <c r="F1297" s="243"/>
      <c r="G1297" s="243"/>
      <c r="H1297" s="243">
        <v>22</v>
      </c>
    </row>
    <row r="1298" spans="2:8" ht="13.8" x14ac:dyDescent="0.25">
      <c r="B1298" s="248">
        <v>11133</v>
      </c>
      <c r="C1298" s="243" t="s">
        <v>2836</v>
      </c>
      <c r="D1298" s="243"/>
      <c r="E1298" s="243"/>
      <c r="F1298" s="243"/>
      <c r="G1298" s="243"/>
      <c r="H1298" s="243">
        <v>12</v>
      </c>
    </row>
    <row r="1299" spans="2:8" ht="13.8" x14ac:dyDescent="0.25">
      <c r="B1299" s="248">
        <v>11134</v>
      </c>
      <c r="C1299" s="243" t="s">
        <v>2837</v>
      </c>
      <c r="D1299" s="243"/>
      <c r="E1299" s="243"/>
      <c r="F1299" s="243"/>
      <c r="G1299" s="243"/>
      <c r="H1299" s="243">
        <v>8</v>
      </c>
    </row>
    <row r="1300" spans="2:8" ht="13.8" x14ac:dyDescent="0.25">
      <c r="B1300" s="248">
        <v>11135</v>
      </c>
      <c r="C1300" s="243" t="s">
        <v>2838</v>
      </c>
      <c r="D1300" s="243"/>
      <c r="E1300" s="243"/>
      <c r="F1300" s="243"/>
      <c r="G1300" s="243"/>
      <c r="H1300" s="243">
        <v>10</v>
      </c>
    </row>
    <row r="1301" spans="2:8" ht="13.8" x14ac:dyDescent="0.25">
      <c r="B1301" s="248">
        <v>11136</v>
      </c>
      <c r="C1301" s="243" t="s">
        <v>2839</v>
      </c>
      <c r="D1301" s="243"/>
      <c r="E1301" s="243"/>
      <c r="F1301" s="243"/>
      <c r="G1301" s="243"/>
      <c r="H1301" s="243">
        <v>10</v>
      </c>
    </row>
    <row r="1302" spans="2:8" ht="13.8" x14ac:dyDescent="0.25">
      <c r="B1302" s="248">
        <v>11137</v>
      </c>
      <c r="C1302" s="243" t="s">
        <v>2840</v>
      </c>
      <c r="D1302" s="243"/>
      <c r="E1302" s="243"/>
      <c r="F1302" s="243"/>
      <c r="G1302" s="243"/>
      <c r="H1302" s="243">
        <v>10</v>
      </c>
    </row>
    <row r="1303" spans="2:8" ht="13.8" x14ac:dyDescent="0.25">
      <c r="B1303" s="248">
        <v>11138</v>
      </c>
      <c r="C1303" s="243" t="s">
        <v>2841</v>
      </c>
      <c r="D1303" s="243"/>
      <c r="E1303" s="243"/>
      <c r="F1303" s="243"/>
      <c r="G1303" s="243"/>
      <c r="H1303" s="243">
        <v>12</v>
      </c>
    </row>
    <row r="1304" spans="2:8" ht="14.4" thickBot="1" x14ac:dyDescent="0.3">
      <c r="B1304" s="250">
        <v>11139</v>
      </c>
      <c r="C1304" s="251" t="s">
        <v>2842</v>
      </c>
      <c r="D1304" s="251"/>
      <c r="E1304" s="251"/>
      <c r="F1304" s="251"/>
      <c r="G1304" s="251"/>
      <c r="H1304" s="252">
        <v>12</v>
      </c>
    </row>
    <row r="1305" spans="2:8" ht="14.4" thickBot="1" x14ac:dyDescent="0.3">
      <c r="B1305" s="396" t="s">
        <v>2843</v>
      </c>
      <c r="C1305" s="397"/>
      <c r="D1305" s="397"/>
      <c r="E1305" s="397"/>
      <c r="F1305" s="397"/>
      <c r="G1305" s="397"/>
      <c r="H1305" s="398"/>
    </row>
    <row r="1306" spans="2:8" ht="13.8" x14ac:dyDescent="0.25">
      <c r="B1306" s="245">
        <v>11140</v>
      </c>
      <c r="C1306" s="246" t="s">
        <v>2844</v>
      </c>
      <c r="D1306" s="266"/>
      <c r="E1306" s="266"/>
      <c r="F1306" s="266"/>
      <c r="G1306" s="266"/>
      <c r="H1306" s="247">
        <v>10</v>
      </c>
    </row>
    <row r="1307" spans="2:8" ht="13.8" x14ac:dyDescent="0.25">
      <c r="B1307" s="248">
        <v>11141</v>
      </c>
      <c r="C1307" s="243" t="s">
        <v>2845</v>
      </c>
      <c r="D1307" s="253"/>
      <c r="E1307" s="253"/>
      <c r="F1307" s="253"/>
      <c r="G1307" s="253"/>
      <c r="H1307" s="249">
        <v>10</v>
      </c>
    </row>
    <row r="1308" spans="2:8" ht="13.8" x14ac:dyDescent="0.25">
      <c r="B1308" s="248">
        <v>11142</v>
      </c>
      <c r="C1308" s="243" t="s">
        <v>2846</v>
      </c>
      <c r="D1308" s="253"/>
      <c r="E1308" s="253"/>
      <c r="F1308" s="253"/>
      <c r="G1308" s="253"/>
      <c r="H1308" s="249">
        <v>10</v>
      </c>
    </row>
    <row r="1309" spans="2:8" ht="13.8" x14ac:dyDescent="0.25">
      <c r="B1309" s="248">
        <v>11143</v>
      </c>
      <c r="C1309" s="243" t="s">
        <v>2847</v>
      </c>
      <c r="D1309" s="253"/>
      <c r="E1309" s="253"/>
      <c r="F1309" s="253"/>
      <c r="G1309" s="253"/>
      <c r="H1309" s="249">
        <v>10</v>
      </c>
    </row>
    <row r="1310" spans="2:8" ht="13.8" x14ac:dyDescent="0.25">
      <c r="B1310" s="248">
        <v>11144</v>
      </c>
      <c r="C1310" s="243" t="s">
        <v>2848</v>
      </c>
      <c r="D1310" s="253"/>
      <c r="E1310" s="253"/>
      <c r="F1310" s="253"/>
      <c r="G1310" s="253"/>
      <c r="H1310" s="249">
        <v>10</v>
      </c>
    </row>
    <row r="1311" spans="2:8" ht="13.8" x14ac:dyDescent="0.25">
      <c r="B1311" s="248">
        <v>11145</v>
      </c>
      <c r="C1311" s="243" t="s">
        <v>2849</v>
      </c>
      <c r="D1311" s="253"/>
      <c r="E1311" s="253"/>
      <c r="F1311" s="253"/>
      <c r="G1311" s="253"/>
      <c r="H1311" s="249">
        <v>10</v>
      </c>
    </row>
    <row r="1312" spans="2:8" ht="13.8" x14ac:dyDescent="0.25">
      <c r="B1312" s="248">
        <v>11146</v>
      </c>
      <c r="C1312" s="243" t="s">
        <v>2850</v>
      </c>
      <c r="D1312" s="253"/>
      <c r="E1312" s="253"/>
      <c r="F1312" s="253"/>
      <c r="G1312" s="253"/>
      <c r="H1312" s="249">
        <v>10</v>
      </c>
    </row>
    <row r="1313" spans="2:8" ht="13.8" x14ac:dyDescent="0.25">
      <c r="B1313" s="248">
        <v>11147</v>
      </c>
      <c r="C1313" s="243" t="s">
        <v>2851</v>
      </c>
      <c r="D1313" s="253"/>
      <c r="E1313" s="253"/>
      <c r="F1313" s="253"/>
      <c r="G1313" s="253"/>
      <c r="H1313" s="249">
        <v>12</v>
      </c>
    </row>
    <row r="1314" spans="2:8" ht="13.8" x14ac:dyDescent="0.25">
      <c r="B1314" s="248">
        <v>11148</v>
      </c>
      <c r="C1314" s="243" t="s">
        <v>2852</v>
      </c>
      <c r="D1314" s="253"/>
      <c r="E1314" s="253"/>
      <c r="F1314" s="253"/>
      <c r="G1314" s="253"/>
      <c r="H1314" s="249">
        <v>8</v>
      </c>
    </row>
    <row r="1315" spans="2:8" ht="13.8" x14ac:dyDescent="0.25">
      <c r="B1315" s="248">
        <v>11149</v>
      </c>
      <c r="C1315" s="243" t="s">
        <v>2853</v>
      </c>
      <c r="D1315" s="253"/>
      <c r="E1315" s="253"/>
      <c r="F1315" s="253"/>
      <c r="G1315" s="253"/>
      <c r="H1315" s="249">
        <v>10</v>
      </c>
    </row>
    <row r="1316" spans="2:8" ht="13.8" x14ac:dyDescent="0.25">
      <c r="B1316" s="248">
        <v>11150</v>
      </c>
      <c r="C1316" s="243" t="s">
        <v>2854</v>
      </c>
      <c r="D1316" s="253"/>
      <c r="E1316" s="253"/>
      <c r="F1316" s="253"/>
      <c r="G1316" s="253"/>
      <c r="H1316" s="249">
        <v>8</v>
      </c>
    </row>
    <row r="1317" spans="2:8" ht="13.8" x14ac:dyDescent="0.25">
      <c r="B1317" s="248">
        <v>11151</v>
      </c>
      <c r="C1317" s="243" t="s">
        <v>2855</v>
      </c>
      <c r="D1317" s="253"/>
      <c r="E1317" s="253"/>
      <c r="F1317" s="253"/>
      <c r="G1317" s="253"/>
      <c r="H1317" s="249">
        <v>12</v>
      </c>
    </row>
    <row r="1318" spans="2:8" ht="13.8" x14ac:dyDescent="0.25">
      <c r="B1318" s="248">
        <v>11152</v>
      </c>
      <c r="C1318" s="243" t="s">
        <v>2856</v>
      </c>
      <c r="D1318" s="253"/>
      <c r="E1318" s="253"/>
      <c r="F1318" s="253"/>
      <c r="G1318" s="253"/>
      <c r="H1318" s="249">
        <v>10</v>
      </c>
    </row>
    <row r="1319" spans="2:8" ht="14.4" thickBot="1" x14ac:dyDescent="0.3">
      <c r="B1319" s="268">
        <v>11153</v>
      </c>
      <c r="C1319" s="255" t="s">
        <v>2857</v>
      </c>
      <c r="D1319" s="260"/>
      <c r="E1319" s="260"/>
      <c r="F1319" s="260"/>
      <c r="G1319" s="260"/>
      <c r="H1319" s="263">
        <v>10</v>
      </c>
    </row>
    <row r="1320" spans="2:8" ht="14.4" thickBot="1" x14ac:dyDescent="0.3">
      <c r="B1320" s="375" t="s">
        <v>2858</v>
      </c>
      <c r="C1320" s="376"/>
      <c r="D1320" s="376"/>
      <c r="E1320" s="376"/>
      <c r="F1320" s="376"/>
      <c r="G1320" s="376"/>
      <c r="H1320" s="377"/>
    </row>
    <row r="1321" spans="2:8" ht="13.8" x14ac:dyDescent="0.25">
      <c r="B1321" s="287">
        <v>11154</v>
      </c>
      <c r="C1321" s="244" t="s">
        <v>2859</v>
      </c>
      <c r="D1321" s="259"/>
      <c r="E1321" s="259"/>
      <c r="F1321" s="259"/>
      <c r="G1321" s="259"/>
      <c r="H1321" s="285">
        <v>10</v>
      </c>
    </row>
    <row r="1322" spans="2:8" ht="13.8" x14ac:dyDescent="0.25">
      <c r="B1322" s="248">
        <v>11155</v>
      </c>
      <c r="C1322" s="243" t="s">
        <v>2860</v>
      </c>
      <c r="D1322" s="253"/>
      <c r="E1322" s="253"/>
      <c r="F1322" s="253"/>
      <c r="G1322" s="253"/>
      <c r="H1322" s="249">
        <v>10</v>
      </c>
    </row>
    <row r="1323" spans="2:8" ht="13.8" x14ac:dyDescent="0.25">
      <c r="B1323" s="248">
        <v>11156</v>
      </c>
      <c r="C1323" s="243" t="s">
        <v>2861</v>
      </c>
      <c r="D1323" s="253"/>
      <c r="E1323" s="253"/>
      <c r="F1323" s="253"/>
      <c r="G1323" s="253"/>
      <c r="H1323" s="249">
        <v>10</v>
      </c>
    </row>
    <row r="1324" spans="2:8" ht="13.8" x14ac:dyDescent="0.25">
      <c r="B1324" s="248">
        <v>11157</v>
      </c>
      <c r="C1324" s="243" t="s">
        <v>2862</v>
      </c>
      <c r="D1324" s="253"/>
      <c r="E1324" s="253"/>
      <c r="F1324" s="253"/>
      <c r="G1324" s="253"/>
      <c r="H1324" s="249">
        <v>12</v>
      </c>
    </row>
    <row r="1325" spans="2:8" ht="13.8" x14ac:dyDescent="0.25">
      <c r="B1325" s="248">
        <v>11158</v>
      </c>
      <c r="C1325" s="243" t="s">
        <v>2863</v>
      </c>
      <c r="D1325" s="253"/>
      <c r="E1325" s="253"/>
      <c r="F1325" s="253"/>
      <c r="G1325" s="253"/>
      <c r="H1325" s="249">
        <v>8</v>
      </c>
    </row>
    <row r="1326" spans="2:8" ht="13.8" x14ac:dyDescent="0.25">
      <c r="B1326" s="248">
        <v>11159</v>
      </c>
      <c r="C1326" s="243" t="s">
        <v>2864</v>
      </c>
      <c r="D1326" s="253"/>
      <c r="E1326" s="253"/>
      <c r="F1326" s="253"/>
      <c r="G1326" s="253"/>
      <c r="H1326" s="249">
        <v>12</v>
      </c>
    </row>
    <row r="1327" spans="2:8" ht="13.8" x14ac:dyDescent="0.25">
      <c r="B1327" s="248">
        <v>11160</v>
      </c>
      <c r="C1327" s="243" t="s">
        <v>2865</v>
      </c>
      <c r="D1327" s="253"/>
      <c r="E1327" s="253"/>
      <c r="F1327" s="253"/>
      <c r="G1327" s="253"/>
      <c r="H1327" s="249">
        <v>13</v>
      </c>
    </row>
    <row r="1328" spans="2:8" ht="13.8" x14ac:dyDescent="0.25">
      <c r="B1328" s="248">
        <v>11161</v>
      </c>
      <c r="C1328" s="243" t="s">
        <v>2866</v>
      </c>
      <c r="D1328" s="253"/>
      <c r="E1328" s="253"/>
      <c r="F1328" s="253"/>
      <c r="G1328" s="253"/>
      <c r="H1328" s="249">
        <v>12</v>
      </c>
    </row>
    <row r="1329" spans="2:8" ht="13.8" x14ac:dyDescent="0.25">
      <c r="B1329" s="248">
        <v>11162</v>
      </c>
      <c r="C1329" s="243" t="s">
        <v>2867</v>
      </c>
      <c r="D1329" s="253"/>
      <c r="E1329" s="253"/>
      <c r="F1329" s="253"/>
      <c r="G1329" s="253"/>
      <c r="H1329" s="249">
        <v>10</v>
      </c>
    </row>
    <row r="1330" spans="2:8" ht="13.8" x14ac:dyDescent="0.25">
      <c r="B1330" s="248">
        <v>11163</v>
      </c>
      <c r="C1330" s="243" t="s">
        <v>2868</v>
      </c>
      <c r="D1330" s="253"/>
      <c r="E1330" s="253"/>
      <c r="F1330" s="253"/>
      <c r="G1330" s="253"/>
      <c r="H1330" s="249">
        <v>10</v>
      </c>
    </row>
    <row r="1331" spans="2:8" ht="14.4" thickBot="1" x14ac:dyDescent="0.3">
      <c r="B1331" s="268">
        <v>11164</v>
      </c>
      <c r="C1331" s="255" t="s">
        <v>2869</v>
      </c>
      <c r="D1331" s="260"/>
      <c r="E1331" s="260"/>
      <c r="F1331" s="260"/>
      <c r="G1331" s="260"/>
      <c r="H1331" s="263">
        <v>12</v>
      </c>
    </row>
    <row r="1332" spans="2:8" ht="14.4" thickBot="1" x14ac:dyDescent="0.3">
      <c r="B1332" s="375" t="s">
        <v>2870</v>
      </c>
      <c r="C1332" s="376"/>
      <c r="D1332" s="376"/>
      <c r="E1332" s="376"/>
      <c r="F1332" s="376"/>
      <c r="G1332" s="376"/>
      <c r="H1332" s="377"/>
    </row>
    <row r="1333" spans="2:8" ht="13.8" x14ac:dyDescent="0.25">
      <c r="B1333" s="287">
        <v>11165</v>
      </c>
      <c r="C1333" s="244" t="s">
        <v>2871</v>
      </c>
      <c r="D1333" s="259"/>
      <c r="E1333" s="259"/>
      <c r="F1333" s="259"/>
      <c r="G1333" s="259"/>
      <c r="H1333" s="285">
        <v>10</v>
      </c>
    </row>
    <row r="1334" spans="2:8" ht="13.8" x14ac:dyDescent="0.25">
      <c r="B1334" s="248">
        <v>11166</v>
      </c>
      <c r="C1334" s="243" t="s">
        <v>2872</v>
      </c>
      <c r="D1334" s="253"/>
      <c r="E1334" s="253"/>
      <c r="F1334" s="253"/>
      <c r="G1334" s="253"/>
      <c r="H1334" s="249">
        <v>8</v>
      </c>
    </row>
    <row r="1335" spans="2:8" ht="13.8" x14ac:dyDescent="0.25">
      <c r="B1335" s="248">
        <v>11167</v>
      </c>
      <c r="C1335" s="243" t="s">
        <v>2873</v>
      </c>
      <c r="D1335" s="253"/>
      <c r="E1335" s="253"/>
      <c r="F1335" s="253"/>
      <c r="G1335" s="253"/>
      <c r="H1335" s="249">
        <v>8</v>
      </c>
    </row>
    <row r="1336" spans="2:8" ht="13.8" x14ac:dyDescent="0.25">
      <c r="B1336" s="248">
        <v>11168</v>
      </c>
      <c r="C1336" s="243" t="s">
        <v>2874</v>
      </c>
      <c r="D1336" s="253"/>
      <c r="E1336" s="253"/>
      <c r="F1336" s="253"/>
      <c r="G1336" s="253"/>
      <c r="H1336" s="249">
        <v>8</v>
      </c>
    </row>
    <row r="1337" spans="2:8" ht="13.8" x14ac:dyDescent="0.25">
      <c r="B1337" s="248">
        <v>11169</v>
      </c>
      <c r="C1337" s="243" t="s">
        <v>2875</v>
      </c>
      <c r="D1337" s="253"/>
      <c r="E1337" s="253"/>
      <c r="F1337" s="253"/>
      <c r="G1337" s="253"/>
      <c r="H1337" s="249">
        <v>8</v>
      </c>
    </row>
    <row r="1338" spans="2:8" ht="13.8" x14ac:dyDescent="0.25">
      <c r="B1338" s="248">
        <v>11170</v>
      </c>
      <c r="C1338" s="243" t="s">
        <v>2876</v>
      </c>
      <c r="D1338" s="253"/>
      <c r="E1338" s="253"/>
      <c r="F1338" s="253"/>
      <c r="G1338" s="253"/>
      <c r="H1338" s="249">
        <v>8</v>
      </c>
    </row>
    <row r="1339" spans="2:8" ht="13.8" x14ac:dyDescent="0.25">
      <c r="B1339" s="248">
        <v>11171</v>
      </c>
      <c r="C1339" s="243" t="s">
        <v>2877</v>
      </c>
      <c r="D1339" s="253"/>
      <c r="E1339" s="253"/>
      <c r="F1339" s="253"/>
      <c r="G1339" s="253"/>
      <c r="H1339" s="249">
        <v>8</v>
      </c>
    </row>
    <row r="1340" spans="2:8" ht="13.8" x14ac:dyDescent="0.25">
      <c r="B1340" s="248">
        <v>11172</v>
      </c>
      <c r="C1340" s="243" t="s">
        <v>2878</v>
      </c>
      <c r="D1340" s="253"/>
      <c r="E1340" s="253"/>
      <c r="F1340" s="253"/>
      <c r="G1340" s="253"/>
      <c r="H1340" s="249">
        <v>6</v>
      </c>
    </row>
    <row r="1341" spans="2:8" ht="13.8" x14ac:dyDescent="0.25">
      <c r="B1341" s="248">
        <v>11173</v>
      </c>
      <c r="C1341" s="243" t="s">
        <v>2879</v>
      </c>
      <c r="D1341" s="253"/>
      <c r="E1341" s="253"/>
      <c r="F1341" s="253"/>
      <c r="G1341" s="253"/>
      <c r="H1341" s="249">
        <v>8</v>
      </c>
    </row>
    <row r="1342" spans="2:8" ht="13.8" x14ac:dyDescent="0.25">
      <c r="B1342" s="248">
        <v>11174</v>
      </c>
      <c r="C1342" s="243" t="s">
        <v>2880</v>
      </c>
      <c r="D1342" s="253"/>
      <c r="E1342" s="253"/>
      <c r="F1342" s="253"/>
      <c r="G1342" s="253"/>
      <c r="H1342" s="249">
        <v>8</v>
      </c>
    </row>
    <row r="1343" spans="2:8" ht="13.8" x14ac:dyDescent="0.25">
      <c r="B1343" s="248">
        <v>11175</v>
      </c>
      <c r="C1343" s="243" t="s">
        <v>2881</v>
      </c>
      <c r="D1343" s="253"/>
      <c r="E1343" s="253"/>
      <c r="F1343" s="253"/>
      <c r="G1343" s="253"/>
      <c r="H1343" s="249" t="s">
        <v>2882</v>
      </c>
    </row>
    <row r="1344" spans="2:8" ht="13.8" x14ac:dyDescent="0.25">
      <c r="B1344" s="248">
        <v>11176</v>
      </c>
      <c r="C1344" s="243" t="s">
        <v>2883</v>
      </c>
      <c r="D1344" s="253"/>
      <c r="E1344" s="253"/>
      <c r="F1344" s="253"/>
      <c r="G1344" s="253"/>
      <c r="H1344" s="249">
        <v>8</v>
      </c>
    </row>
    <row r="1345" spans="2:8" ht="13.8" x14ac:dyDescent="0.25">
      <c r="B1345" s="248">
        <v>11177</v>
      </c>
      <c r="C1345" s="243" t="s">
        <v>2884</v>
      </c>
      <c r="D1345" s="253"/>
      <c r="E1345" s="253"/>
      <c r="F1345" s="253"/>
      <c r="G1345" s="253"/>
      <c r="H1345" s="249">
        <v>20</v>
      </c>
    </row>
    <row r="1346" spans="2:8" ht="13.8" x14ac:dyDescent="0.25">
      <c r="B1346" s="248">
        <v>11178</v>
      </c>
      <c r="C1346" s="243" t="s">
        <v>2885</v>
      </c>
      <c r="D1346" s="253"/>
      <c r="E1346" s="253"/>
      <c r="F1346" s="253"/>
      <c r="G1346" s="253"/>
      <c r="H1346" s="249">
        <v>12</v>
      </c>
    </row>
    <row r="1347" spans="2:8" ht="13.8" x14ac:dyDescent="0.25">
      <c r="B1347" s="248">
        <v>11179</v>
      </c>
      <c r="C1347" s="243" t="s">
        <v>2886</v>
      </c>
      <c r="D1347" s="253"/>
      <c r="E1347" s="253"/>
      <c r="F1347" s="253"/>
      <c r="G1347" s="253"/>
      <c r="H1347" s="249">
        <v>12</v>
      </c>
    </row>
    <row r="1348" spans="2:8" ht="13.8" x14ac:dyDescent="0.25">
      <c r="B1348" s="248">
        <v>11180</v>
      </c>
      <c r="C1348" s="243" t="s">
        <v>2887</v>
      </c>
      <c r="D1348" s="253"/>
      <c r="E1348" s="253"/>
      <c r="F1348" s="253"/>
      <c r="G1348" s="253"/>
      <c r="H1348" s="249">
        <v>10</v>
      </c>
    </row>
    <row r="1349" spans="2:8" ht="14.4" thickBot="1" x14ac:dyDescent="0.3">
      <c r="B1349" s="250">
        <v>11181</v>
      </c>
      <c r="C1349" s="251" t="s">
        <v>2888</v>
      </c>
      <c r="D1349" s="265"/>
      <c r="E1349" s="265"/>
      <c r="F1349" s="265"/>
      <c r="G1349" s="265"/>
      <c r="H1349" s="252">
        <v>8</v>
      </c>
    </row>
    <row r="1350" spans="2:8" ht="13.8" thickBot="1" x14ac:dyDescent="0.3"/>
    <row r="1351" spans="2:8" ht="14.4" thickBot="1" x14ac:dyDescent="0.3">
      <c r="B1351" s="396" t="s">
        <v>2889</v>
      </c>
      <c r="C1351" s="397"/>
      <c r="D1351" s="397"/>
      <c r="E1351" s="397"/>
      <c r="F1351" s="397"/>
      <c r="G1351" s="397"/>
      <c r="H1351" s="398"/>
    </row>
    <row r="1352" spans="2:8" ht="13.8" x14ac:dyDescent="0.25">
      <c r="B1352" s="396" t="s">
        <v>2890</v>
      </c>
      <c r="C1352" s="397"/>
      <c r="D1352" s="397"/>
      <c r="E1352" s="397"/>
      <c r="F1352" s="397"/>
      <c r="G1352" s="397"/>
      <c r="H1352" s="398"/>
    </row>
    <row r="1353" spans="2:8" ht="13.8" x14ac:dyDescent="0.25">
      <c r="B1353" s="248">
        <v>12101</v>
      </c>
      <c r="C1353" s="243" t="s">
        <v>2891</v>
      </c>
      <c r="D1353" s="253"/>
      <c r="E1353" s="253"/>
      <c r="F1353" s="253"/>
      <c r="G1353" s="253"/>
      <c r="H1353" s="249">
        <v>8</v>
      </c>
    </row>
    <row r="1354" spans="2:8" ht="13.8" x14ac:dyDescent="0.25">
      <c r="B1354" s="248">
        <v>12102</v>
      </c>
      <c r="C1354" s="243" t="s">
        <v>2892</v>
      </c>
      <c r="D1354" s="253"/>
      <c r="E1354" s="253"/>
      <c r="F1354" s="253"/>
      <c r="G1354" s="253"/>
      <c r="H1354" s="249">
        <v>12</v>
      </c>
    </row>
    <row r="1355" spans="2:8" ht="13.8" x14ac:dyDescent="0.25">
      <c r="B1355" s="248">
        <v>12103</v>
      </c>
      <c r="C1355" s="243" t="s">
        <v>2893</v>
      </c>
      <c r="D1355" s="253"/>
      <c r="E1355" s="253"/>
      <c r="F1355" s="253"/>
      <c r="G1355" s="253"/>
      <c r="H1355" s="249">
        <v>13</v>
      </c>
    </row>
    <row r="1356" spans="2:8" ht="13.8" x14ac:dyDescent="0.25">
      <c r="B1356" s="248">
        <v>12104</v>
      </c>
      <c r="C1356" s="243" t="s">
        <v>2894</v>
      </c>
      <c r="D1356" s="253"/>
      <c r="E1356" s="253"/>
      <c r="F1356" s="253"/>
      <c r="G1356" s="253"/>
      <c r="H1356" s="249">
        <v>10</v>
      </c>
    </row>
    <row r="1357" spans="2:8" ht="13.8" x14ac:dyDescent="0.25">
      <c r="B1357" s="248">
        <v>12105</v>
      </c>
      <c r="C1357" s="243" t="s">
        <v>2895</v>
      </c>
      <c r="D1357" s="253"/>
      <c r="E1357" s="253"/>
      <c r="F1357" s="253"/>
      <c r="G1357" s="253"/>
      <c r="H1357" s="249">
        <v>8</v>
      </c>
    </row>
    <row r="1358" spans="2:8" ht="13.8" x14ac:dyDescent="0.25">
      <c r="B1358" s="248">
        <v>12106</v>
      </c>
      <c r="C1358" s="243" t="s">
        <v>2896</v>
      </c>
      <c r="D1358" s="253"/>
      <c r="E1358" s="253"/>
      <c r="F1358" s="253"/>
      <c r="G1358" s="253"/>
      <c r="H1358" s="249">
        <v>10</v>
      </c>
    </row>
    <row r="1359" spans="2:8" ht="13.8" x14ac:dyDescent="0.25">
      <c r="B1359" s="248">
        <v>12107</v>
      </c>
      <c r="C1359" s="243" t="s">
        <v>2897</v>
      </c>
      <c r="D1359" s="253"/>
      <c r="E1359" s="253"/>
      <c r="F1359" s="253"/>
      <c r="G1359" s="253"/>
      <c r="H1359" s="249">
        <v>10</v>
      </c>
    </row>
    <row r="1360" spans="2:8" ht="13.8" x14ac:dyDescent="0.25">
      <c r="B1360" s="248">
        <v>12108</v>
      </c>
      <c r="C1360" s="243" t="s">
        <v>2898</v>
      </c>
      <c r="D1360" s="253"/>
      <c r="E1360" s="253"/>
      <c r="F1360" s="253"/>
      <c r="G1360" s="253"/>
      <c r="H1360" s="249">
        <v>13</v>
      </c>
    </row>
    <row r="1361" spans="2:8" ht="13.8" x14ac:dyDescent="0.25">
      <c r="B1361" s="248">
        <v>12109</v>
      </c>
      <c r="C1361" s="243" t="s">
        <v>2899</v>
      </c>
      <c r="D1361" s="253"/>
      <c r="E1361" s="253"/>
      <c r="F1361" s="253"/>
      <c r="G1361" s="253"/>
      <c r="H1361" s="249">
        <v>12</v>
      </c>
    </row>
    <row r="1362" spans="2:8" ht="13.8" x14ac:dyDescent="0.25">
      <c r="B1362" s="248">
        <v>12110</v>
      </c>
      <c r="C1362" s="243" t="s">
        <v>2900</v>
      </c>
      <c r="D1362" s="253"/>
      <c r="E1362" s="253"/>
      <c r="F1362" s="253"/>
      <c r="G1362" s="253"/>
      <c r="H1362" s="249">
        <v>10</v>
      </c>
    </row>
    <row r="1363" spans="2:8" ht="13.8" x14ac:dyDescent="0.25">
      <c r="B1363" s="248">
        <v>12111</v>
      </c>
      <c r="C1363" s="243" t="s">
        <v>2901</v>
      </c>
      <c r="D1363" s="253"/>
      <c r="E1363" s="253"/>
      <c r="F1363" s="253"/>
      <c r="G1363" s="253"/>
      <c r="H1363" s="249">
        <v>10</v>
      </c>
    </row>
    <row r="1364" spans="2:8" ht="13.8" x14ac:dyDescent="0.25">
      <c r="B1364" s="248">
        <v>12112</v>
      </c>
      <c r="C1364" s="243" t="s">
        <v>2902</v>
      </c>
      <c r="D1364" s="253"/>
      <c r="E1364" s="253"/>
      <c r="F1364" s="253"/>
      <c r="G1364" s="253"/>
      <c r="H1364" s="249">
        <v>8</v>
      </c>
    </row>
    <row r="1365" spans="2:8" ht="13.8" x14ac:dyDescent="0.25">
      <c r="B1365" s="248">
        <v>12113</v>
      </c>
      <c r="C1365" s="243" t="s">
        <v>2903</v>
      </c>
      <c r="D1365" s="253"/>
      <c r="E1365" s="253"/>
      <c r="F1365" s="253"/>
      <c r="G1365" s="253"/>
      <c r="H1365" s="249">
        <v>10</v>
      </c>
    </row>
    <row r="1366" spans="2:8" ht="13.8" x14ac:dyDescent="0.25">
      <c r="B1366" s="248">
        <v>12114</v>
      </c>
      <c r="C1366" s="243" t="s">
        <v>2904</v>
      </c>
      <c r="D1366" s="253"/>
      <c r="E1366" s="253"/>
      <c r="F1366" s="253"/>
      <c r="G1366" s="253"/>
      <c r="H1366" s="249">
        <v>8</v>
      </c>
    </row>
    <row r="1367" spans="2:8" ht="13.8" x14ac:dyDescent="0.25">
      <c r="B1367" s="248">
        <v>12115</v>
      </c>
      <c r="C1367" s="243" t="s">
        <v>2905</v>
      </c>
      <c r="D1367" s="253"/>
      <c r="E1367" s="253"/>
      <c r="F1367" s="253"/>
      <c r="G1367" s="253"/>
      <c r="H1367" s="249">
        <v>12</v>
      </c>
    </row>
    <row r="1368" spans="2:8" ht="13.8" x14ac:dyDescent="0.25">
      <c r="B1368" s="248">
        <v>12116</v>
      </c>
      <c r="C1368" s="243" t="s">
        <v>2906</v>
      </c>
      <c r="D1368" s="253"/>
      <c r="E1368" s="253"/>
      <c r="F1368" s="253"/>
      <c r="G1368" s="253"/>
      <c r="H1368" s="249">
        <v>12</v>
      </c>
    </row>
    <row r="1369" spans="2:8" ht="13.8" x14ac:dyDescent="0.25">
      <c r="B1369" s="248">
        <v>12117</v>
      </c>
      <c r="C1369" s="243" t="s">
        <v>2907</v>
      </c>
      <c r="D1369" s="253"/>
      <c r="E1369" s="253"/>
      <c r="F1369" s="253"/>
      <c r="G1369" s="253"/>
      <c r="H1369" s="249">
        <v>20</v>
      </c>
    </row>
    <row r="1370" spans="2:8" ht="13.8" x14ac:dyDescent="0.25">
      <c r="B1370" s="248">
        <v>12118</v>
      </c>
      <c r="C1370" s="243" t="s">
        <v>2908</v>
      </c>
      <c r="D1370" s="253"/>
      <c r="E1370" s="253"/>
      <c r="F1370" s="253"/>
      <c r="G1370" s="253"/>
      <c r="H1370" s="249">
        <v>22</v>
      </c>
    </row>
    <row r="1371" spans="2:8" ht="13.8" x14ac:dyDescent="0.25">
      <c r="B1371" s="248">
        <v>12119</v>
      </c>
      <c r="C1371" s="243" t="s">
        <v>2909</v>
      </c>
      <c r="D1371" s="253"/>
      <c r="E1371" s="253"/>
      <c r="F1371" s="253"/>
      <c r="G1371" s="253"/>
      <c r="H1371" s="249">
        <v>22</v>
      </c>
    </row>
    <row r="1372" spans="2:8" ht="13.8" x14ac:dyDescent="0.25">
      <c r="B1372" s="248">
        <v>12120</v>
      </c>
      <c r="C1372" s="243" t="s">
        <v>2910</v>
      </c>
      <c r="D1372" s="253"/>
      <c r="E1372" s="253"/>
      <c r="F1372" s="253"/>
      <c r="G1372" s="253"/>
      <c r="H1372" s="249">
        <v>22</v>
      </c>
    </row>
    <row r="1373" spans="2:8" ht="13.8" x14ac:dyDescent="0.25">
      <c r="B1373" s="248">
        <v>12121</v>
      </c>
      <c r="C1373" s="243" t="s">
        <v>2911</v>
      </c>
      <c r="D1373" s="253"/>
      <c r="E1373" s="253"/>
      <c r="F1373" s="253"/>
      <c r="G1373" s="253"/>
      <c r="H1373" s="249">
        <v>22</v>
      </c>
    </row>
    <row r="1374" spans="2:8" ht="13.8" x14ac:dyDescent="0.25">
      <c r="B1374" s="248">
        <v>12122</v>
      </c>
      <c r="C1374" s="243" t="s">
        <v>2912</v>
      </c>
      <c r="D1374" s="253"/>
      <c r="E1374" s="253"/>
      <c r="F1374" s="253"/>
      <c r="G1374" s="253"/>
      <c r="H1374" s="249">
        <v>10</v>
      </c>
    </row>
    <row r="1375" spans="2:8" ht="13.8" x14ac:dyDescent="0.25">
      <c r="B1375" s="248">
        <v>12123</v>
      </c>
      <c r="C1375" s="243" t="s">
        <v>2913</v>
      </c>
      <c r="D1375" s="253"/>
      <c r="E1375" s="253"/>
      <c r="F1375" s="253"/>
      <c r="G1375" s="253"/>
      <c r="H1375" s="249">
        <v>12</v>
      </c>
    </row>
    <row r="1376" spans="2:8" ht="14.4" thickBot="1" x14ac:dyDescent="0.3">
      <c r="B1376" s="248">
        <v>12124</v>
      </c>
      <c r="C1376" s="243" t="s">
        <v>2914</v>
      </c>
      <c r="D1376" s="253"/>
      <c r="E1376" s="253"/>
      <c r="F1376" s="253"/>
      <c r="G1376" s="253"/>
      <c r="H1376" s="249">
        <v>10</v>
      </c>
    </row>
    <row r="1377" spans="2:8" ht="13.8" x14ac:dyDescent="0.25">
      <c r="B1377" s="396" t="s">
        <v>2915</v>
      </c>
      <c r="C1377" s="397"/>
      <c r="D1377" s="397"/>
      <c r="E1377" s="397"/>
      <c r="F1377" s="397"/>
      <c r="G1377" s="397"/>
      <c r="H1377" s="398"/>
    </row>
    <row r="1378" spans="2:8" ht="13.8" x14ac:dyDescent="0.25">
      <c r="B1378" s="248">
        <v>12125</v>
      </c>
      <c r="C1378" s="243" t="s">
        <v>2916</v>
      </c>
      <c r="D1378" s="253"/>
      <c r="E1378" s="253"/>
      <c r="F1378" s="253"/>
      <c r="G1378" s="253"/>
      <c r="H1378" s="249">
        <v>10</v>
      </c>
    </row>
    <row r="1379" spans="2:8" ht="13.8" x14ac:dyDescent="0.25">
      <c r="B1379" s="248">
        <v>12126</v>
      </c>
      <c r="C1379" s="243" t="s">
        <v>2917</v>
      </c>
      <c r="D1379" s="253"/>
      <c r="E1379" s="253"/>
      <c r="F1379" s="253"/>
      <c r="G1379" s="253"/>
      <c r="H1379" s="249">
        <v>12</v>
      </c>
    </row>
    <row r="1380" spans="2:8" ht="13.8" x14ac:dyDescent="0.25">
      <c r="B1380" s="248">
        <v>12127</v>
      </c>
      <c r="C1380" s="243" t="s">
        <v>2918</v>
      </c>
      <c r="D1380" s="253"/>
      <c r="E1380" s="253"/>
      <c r="F1380" s="253"/>
      <c r="G1380" s="253"/>
      <c r="H1380" s="249">
        <v>12</v>
      </c>
    </row>
    <row r="1381" spans="2:8" ht="13.8" x14ac:dyDescent="0.25">
      <c r="B1381" s="248">
        <v>12128</v>
      </c>
      <c r="C1381" s="243" t="s">
        <v>2919</v>
      </c>
      <c r="D1381" s="253"/>
      <c r="E1381" s="253"/>
      <c r="F1381" s="253"/>
      <c r="G1381" s="253"/>
      <c r="H1381" s="249">
        <v>12</v>
      </c>
    </row>
    <row r="1382" spans="2:8" ht="13.8" x14ac:dyDescent="0.25">
      <c r="B1382" s="248">
        <v>12129</v>
      </c>
      <c r="C1382" s="243" t="s">
        <v>2920</v>
      </c>
      <c r="D1382" s="253"/>
      <c r="E1382" s="253"/>
      <c r="F1382" s="253"/>
      <c r="G1382" s="253"/>
      <c r="H1382" s="249">
        <v>12</v>
      </c>
    </row>
    <row r="1383" spans="2:8" ht="13.8" x14ac:dyDescent="0.25">
      <c r="B1383" s="248">
        <v>12130</v>
      </c>
      <c r="C1383" s="243" t="s">
        <v>2921</v>
      </c>
      <c r="D1383" s="253"/>
      <c r="E1383" s="253"/>
      <c r="F1383" s="253"/>
      <c r="G1383" s="253"/>
      <c r="H1383" s="249">
        <v>10</v>
      </c>
    </row>
    <row r="1384" spans="2:8" ht="13.8" x14ac:dyDescent="0.25">
      <c r="B1384" s="248">
        <v>12131</v>
      </c>
      <c r="C1384" s="243" t="s">
        <v>2922</v>
      </c>
      <c r="D1384" s="253"/>
      <c r="E1384" s="253"/>
      <c r="F1384" s="253"/>
      <c r="G1384" s="253"/>
      <c r="H1384" s="249">
        <v>8</v>
      </c>
    </row>
    <row r="1385" spans="2:8" ht="13.8" x14ac:dyDescent="0.25">
      <c r="B1385" s="248">
        <v>12132</v>
      </c>
      <c r="C1385" s="243" t="s">
        <v>2923</v>
      </c>
      <c r="D1385" s="253"/>
      <c r="E1385" s="253"/>
      <c r="F1385" s="253"/>
      <c r="G1385" s="253"/>
      <c r="H1385" s="249">
        <v>10</v>
      </c>
    </row>
    <row r="1386" spans="2:8" ht="13.8" x14ac:dyDescent="0.25">
      <c r="B1386" s="248">
        <v>12133</v>
      </c>
      <c r="C1386" s="243" t="s">
        <v>2924</v>
      </c>
      <c r="D1386" s="253"/>
      <c r="E1386" s="253"/>
      <c r="F1386" s="253"/>
      <c r="G1386" s="253"/>
      <c r="H1386" s="249">
        <v>13</v>
      </c>
    </row>
    <row r="1387" spans="2:8" ht="13.8" x14ac:dyDescent="0.25">
      <c r="B1387" s="248">
        <v>12134</v>
      </c>
      <c r="C1387" s="243" t="s">
        <v>2925</v>
      </c>
      <c r="D1387" s="253"/>
      <c r="E1387" s="253"/>
      <c r="F1387" s="253"/>
      <c r="G1387" s="253"/>
      <c r="H1387" s="249">
        <v>12</v>
      </c>
    </row>
    <row r="1388" spans="2:8" ht="13.8" x14ac:dyDescent="0.25">
      <c r="B1388" s="248">
        <v>12135</v>
      </c>
      <c r="C1388" s="243" t="s">
        <v>2926</v>
      </c>
      <c r="D1388" s="253"/>
      <c r="E1388" s="253"/>
      <c r="F1388" s="253"/>
      <c r="G1388" s="253"/>
      <c r="H1388" s="249">
        <v>10</v>
      </c>
    </row>
    <row r="1389" spans="2:8" ht="14.4" thickBot="1" x14ac:dyDescent="0.3">
      <c r="B1389" s="248">
        <v>12136</v>
      </c>
      <c r="C1389" s="243" t="s">
        <v>2927</v>
      </c>
      <c r="D1389" s="253"/>
      <c r="E1389" s="253"/>
      <c r="F1389" s="253"/>
      <c r="G1389" s="253"/>
      <c r="H1389" s="249">
        <v>12</v>
      </c>
    </row>
    <row r="1390" spans="2:8" ht="14.4" thickBot="1" x14ac:dyDescent="0.3">
      <c r="B1390" s="375" t="s">
        <v>2928</v>
      </c>
      <c r="C1390" s="376"/>
      <c r="D1390" s="376"/>
      <c r="E1390" s="376"/>
      <c r="F1390" s="376"/>
      <c r="G1390" s="376"/>
      <c r="H1390" s="377"/>
    </row>
    <row r="1391" spans="2:8" ht="13.8" x14ac:dyDescent="0.25">
      <c r="B1391" s="287">
        <v>12137</v>
      </c>
      <c r="C1391" s="244" t="s">
        <v>2929</v>
      </c>
      <c r="D1391" s="259"/>
      <c r="E1391" s="259"/>
      <c r="F1391" s="259"/>
      <c r="G1391" s="259"/>
      <c r="H1391" s="285">
        <v>12</v>
      </c>
    </row>
    <row r="1392" spans="2:8" ht="13.8" x14ac:dyDescent="0.25">
      <c r="B1392" s="248">
        <v>12138</v>
      </c>
      <c r="C1392" s="243" t="s">
        <v>2930</v>
      </c>
      <c r="D1392" s="253"/>
      <c r="E1392" s="253"/>
      <c r="F1392" s="253"/>
      <c r="G1392" s="253"/>
      <c r="H1392" s="249">
        <v>10</v>
      </c>
    </row>
    <row r="1393" spans="2:8" ht="13.8" x14ac:dyDescent="0.25">
      <c r="B1393" s="248">
        <v>12139</v>
      </c>
      <c r="C1393" s="243" t="s">
        <v>2931</v>
      </c>
      <c r="D1393" s="253"/>
      <c r="E1393" s="253"/>
      <c r="F1393" s="253"/>
      <c r="G1393" s="253"/>
      <c r="H1393" s="249">
        <v>10</v>
      </c>
    </row>
    <row r="1394" spans="2:8" ht="13.8" x14ac:dyDescent="0.25">
      <c r="B1394" s="248">
        <v>12140</v>
      </c>
      <c r="C1394" s="243" t="s">
        <v>2932</v>
      </c>
      <c r="D1394" s="253"/>
      <c r="E1394" s="253"/>
      <c r="F1394" s="253"/>
      <c r="G1394" s="253"/>
      <c r="H1394" s="249">
        <v>9</v>
      </c>
    </row>
    <row r="1395" spans="2:8" ht="13.8" x14ac:dyDescent="0.25">
      <c r="B1395" s="248">
        <v>12141</v>
      </c>
      <c r="C1395" s="243" t="s">
        <v>2933</v>
      </c>
      <c r="D1395" s="253"/>
      <c r="E1395" s="253"/>
      <c r="F1395" s="253"/>
      <c r="G1395" s="253"/>
      <c r="H1395" s="249">
        <v>12</v>
      </c>
    </row>
    <row r="1396" spans="2:8" ht="14.4" thickBot="1" x14ac:dyDescent="0.3">
      <c r="B1396" s="248">
        <v>12142</v>
      </c>
      <c r="C1396" s="243" t="s">
        <v>2934</v>
      </c>
      <c r="D1396" s="253"/>
      <c r="E1396" s="253"/>
      <c r="F1396" s="253"/>
      <c r="G1396" s="253"/>
      <c r="H1396" s="249">
        <v>10</v>
      </c>
    </row>
    <row r="1397" spans="2:8" ht="14.4" thickBot="1" x14ac:dyDescent="0.3">
      <c r="B1397" s="375" t="s">
        <v>2935</v>
      </c>
      <c r="C1397" s="376"/>
      <c r="D1397" s="376"/>
      <c r="E1397" s="376"/>
      <c r="F1397" s="376"/>
      <c r="G1397" s="376"/>
      <c r="H1397" s="377"/>
    </row>
    <row r="1398" spans="2:8" ht="13.8" x14ac:dyDescent="0.25">
      <c r="B1398" s="287">
        <v>12143</v>
      </c>
      <c r="C1398" s="244" t="s">
        <v>2936</v>
      </c>
      <c r="D1398" s="259"/>
      <c r="E1398" s="259"/>
      <c r="F1398" s="259"/>
      <c r="G1398" s="259"/>
      <c r="H1398" s="285">
        <v>10</v>
      </c>
    </row>
    <row r="1399" spans="2:8" ht="13.8" x14ac:dyDescent="0.25">
      <c r="B1399" s="248">
        <v>12144</v>
      </c>
      <c r="C1399" s="243" t="s">
        <v>2937</v>
      </c>
      <c r="D1399" s="253"/>
      <c r="E1399" s="253"/>
      <c r="F1399" s="253"/>
      <c r="G1399" s="253"/>
      <c r="H1399" s="249">
        <v>9</v>
      </c>
    </row>
    <row r="1400" spans="2:8" ht="13.8" x14ac:dyDescent="0.25">
      <c r="B1400" s="248">
        <v>12145</v>
      </c>
      <c r="C1400" s="243" t="s">
        <v>2938</v>
      </c>
      <c r="D1400" s="253"/>
      <c r="E1400" s="253"/>
      <c r="F1400" s="253"/>
      <c r="G1400" s="253"/>
      <c r="H1400" s="249">
        <v>9</v>
      </c>
    </row>
    <row r="1401" spans="2:8" ht="13.8" x14ac:dyDescent="0.25">
      <c r="B1401" s="248">
        <v>12146</v>
      </c>
      <c r="C1401" s="243" t="s">
        <v>2939</v>
      </c>
      <c r="D1401" s="253"/>
      <c r="E1401" s="253"/>
      <c r="F1401" s="253"/>
      <c r="G1401" s="253"/>
      <c r="H1401" s="249">
        <v>9</v>
      </c>
    </row>
    <row r="1402" spans="2:8" ht="13.8" x14ac:dyDescent="0.25">
      <c r="B1402" s="248">
        <v>12147</v>
      </c>
      <c r="C1402" s="243" t="s">
        <v>2940</v>
      </c>
      <c r="D1402" s="253"/>
      <c r="E1402" s="253"/>
      <c r="F1402" s="253"/>
      <c r="G1402" s="253"/>
      <c r="H1402" s="249">
        <v>8</v>
      </c>
    </row>
    <row r="1403" spans="2:8" ht="13.8" x14ac:dyDescent="0.25">
      <c r="B1403" s="248">
        <v>12148</v>
      </c>
      <c r="C1403" s="243" t="s">
        <v>2941</v>
      </c>
      <c r="D1403" s="253"/>
      <c r="E1403" s="253"/>
      <c r="F1403" s="253"/>
      <c r="G1403" s="253"/>
      <c r="H1403" s="249">
        <v>9</v>
      </c>
    </row>
    <row r="1404" spans="2:8" ht="13.8" x14ac:dyDescent="0.25">
      <c r="B1404" s="248">
        <v>12149</v>
      </c>
      <c r="C1404" s="243" t="s">
        <v>2942</v>
      </c>
      <c r="D1404" s="253"/>
      <c r="E1404" s="253"/>
      <c r="F1404" s="253"/>
      <c r="G1404" s="253"/>
      <c r="H1404" s="249">
        <v>12</v>
      </c>
    </row>
    <row r="1405" spans="2:8" ht="13.8" x14ac:dyDescent="0.25">
      <c r="B1405" s="248">
        <v>12150</v>
      </c>
      <c r="C1405" s="243" t="s">
        <v>2943</v>
      </c>
      <c r="D1405" s="253"/>
      <c r="E1405" s="253"/>
      <c r="F1405" s="253"/>
      <c r="G1405" s="253"/>
      <c r="H1405" s="249">
        <v>10</v>
      </c>
    </row>
    <row r="1406" spans="2:8" ht="13.8" x14ac:dyDescent="0.25">
      <c r="B1406" s="248">
        <v>12151</v>
      </c>
      <c r="C1406" s="243" t="s">
        <v>2944</v>
      </c>
      <c r="D1406" s="253"/>
      <c r="E1406" s="253"/>
      <c r="F1406" s="253"/>
      <c r="G1406" s="253"/>
      <c r="H1406" s="249">
        <v>8</v>
      </c>
    </row>
    <row r="1407" spans="2:8" ht="13.8" x14ac:dyDescent="0.25">
      <c r="B1407" s="248">
        <v>12152</v>
      </c>
      <c r="C1407" s="243" t="s">
        <v>2945</v>
      </c>
      <c r="D1407" s="253"/>
      <c r="E1407" s="253"/>
      <c r="F1407" s="253"/>
      <c r="G1407" s="253"/>
      <c r="H1407" s="249">
        <v>12</v>
      </c>
    </row>
    <row r="1408" spans="2:8" ht="14.4" thickBot="1" x14ac:dyDescent="0.3">
      <c r="B1408" s="250">
        <v>12153</v>
      </c>
      <c r="C1408" s="251" t="s">
        <v>2946</v>
      </c>
      <c r="D1408" s="265"/>
      <c r="E1408" s="265"/>
      <c r="F1408" s="265"/>
      <c r="G1408" s="265"/>
      <c r="H1408" s="252">
        <v>23</v>
      </c>
    </row>
    <row r="1409" spans="2:8" ht="14.4" thickBot="1" x14ac:dyDescent="0.3">
      <c r="B1409" s="396" t="s">
        <v>2947</v>
      </c>
      <c r="C1409" s="397"/>
      <c r="D1409" s="397"/>
      <c r="E1409" s="397"/>
      <c r="F1409" s="397"/>
      <c r="G1409" s="397"/>
      <c r="H1409" s="398"/>
    </row>
    <row r="1410" spans="2:8" ht="13.8" x14ac:dyDescent="0.25">
      <c r="B1410" s="245">
        <v>12154</v>
      </c>
      <c r="C1410" s="246" t="s">
        <v>2948</v>
      </c>
      <c r="D1410" s="246"/>
      <c r="E1410" s="246"/>
      <c r="F1410" s="246"/>
      <c r="G1410" s="246"/>
      <c r="H1410" s="247">
        <v>10</v>
      </c>
    </row>
    <row r="1411" spans="2:8" ht="13.8" x14ac:dyDescent="0.25">
      <c r="B1411" s="248">
        <v>12155</v>
      </c>
      <c r="C1411" s="243" t="s">
        <v>2949</v>
      </c>
      <c r="D1411" s="243"/>
      <c r="E1411" s="243"/>
      <c r="F1411" s="243"/>
      <c r="G1411" s="243"/>
      <c r="H1411" s="249">
        <v>20</v>
      </c>
    </row>
    <row r="1412" spans="2:8" ht="13.8" x14ac:dyDescent="0.25">
      <c r="B1412" s="248">
        <v>12156</v>
      </c>
      <c r="C1412" s="243" t="s">
        <v>2950</v>
      </c>
      <c r="D1412" s="243"/>
      <c r="E1412" s="243"/>
      <c r="F1412" s="243"/>
      <c r="G1412" s="243"/>
      <c r="H1412" s="249">
        <v>13</v>
      </c>
    </row>
    <row r="1413" spans="2:8" ht="13.8" x14ac:dyDescent="0.25">
      <c r="B1413" s="248">
        <v>12157</v>
      </c>
      <c r="C1413" s="243" t="s">
        <v>2951</v>
      </c>
      <c r="D1413" s="243"/>
      <c r="E1413" s="243"/>
      <c r="F1413" s="243"/>
      <c r="G1413" s="243"/>
      <c r="H1413" s="249">
        <v>13</v>
      </c>
    </row>
    <row r="1414" spans="2:8" ht="13.8" x14ac:dyDescent="0.25">
      <c r="B1414" s="248">
        <v>12158</v>
      </c>
      <c r="C1414" s="243" t="s">
        <v>2952</v>
      </c>
      <c r="D1414" s="243"/>
      <c r="E1414" s="243"/>
      <c r="F1414" s="243"/>
      <c r="G1414" s="243"/>
      <c r="H1414" s="249">
        <v>20</v>
      </c>
    </row>
    <row r="1415" spans="2:8" ht="13.8" x14ac:dyDescent="0.25">
      <c r="B1415" s="248">
        <v>12159</v>
      </c>
      <c r="C1415" s="243" t="s">
        <v>2953</v>
      </c>
      <c r="D1415" s="243"/>
      <c r="E1415" s="243"/>
      <c r="F1415" s="243"/>
      <c r="G1415" s="243"/>
      <c r="H1415" s="249">
        <v>13</v>
      </c>
    </row>
    <row r="1416" spans="2:8" ht="13.8" x14ac:dyDescent="0.25">
      <c r="B1416" s="248">
        <v>12160</v>
      </c>
      <c r="C1416" s="243" t="s">
        <v>2954</v>
      </c>
      <c r="D1416" s="243"/>
      <c r="E1416" s="243"/>
      <c r="F1416" s="243"/>
      <c r="G1416" s="243"/>
      <c r="H1416" s="249">
        <v>20</v>
      </c>
    </row>
    <row r="1417" spans="2:8" ht="13.8" x14ac:dyDescent="0.25">
      <c r="B1417" s="248">
        <v>12161</v>
      </c>
      <c r="C1417" s="243" t="s">
        <v>2955</v>
      </c>
      <c r="D1417" s="243"/>
      <c r="E1417" s="243"/>
      <c r="F1417" s="243"/>
      <c r="G1417" s="243"/>
      <c r="H1417" s="249">
        <v>20</v>
      </c>
    </row>
    <row r="1418" spans="2:8" ht="13.8" x14ac:dyDescent="0.25">
      <c r="B1418" s="248">
        <v>12162</v>
      </c>
      <c r="C1418" s="243" t="s">
        <v>2956</v>
      </c>
      <c r="D1418" s="243"/>
      <c r="E1418" s="243"/>
      <c r="F1418" s="243"/>
      <c r="G1418" s="243"/>
      <c r="H1418" s="249">
        <v>12</v>
      </c>
    </row>
    <row r="1419" spans="2:8" ht="14.4" thickBot="1" x14ac:dyDescent="0.3">
      <c r="B1419" s="248" t="s">
        <v>2055</v>
      </c>
      <c r="C1419" s="243"/>
      <c r="D1419" s="243"/>
      <c r="E1419" s="243"/>
      <c r="F1419" s="243"/>
      <c r="G1419" s="243"/>
      <c r="H1419" s="249"/>
    </row>
    <row r="1420" spans="2:8" ht="14.4" thickBot="1" x14ac:dyDescent="0.3">
      <c r="B1420" s="375" t="s">
        <v>2957</v>
      </c>
      <c r="C1420" s="376"/>
      <c r="D1420" s="376"/>
      <c r="E1420" s="376"/>
      <c r="F1420" s="376"/>
      <c r="G1420" s="376"/>
      <c r="H1420" s="377"/>
    </row>
    <row r="1421" spans="2:8" ht="13.8" x14ac:dyDescent="0.25">
      <c r="B1421" s="287">
        <v>12163</v>
      </c>
      <c r="C1421" s="244" t="s">
        <v>2958</v>
      </c>
      <c r="D1421" s="244"/>
      <c r="E1421" s="244"/>
      <c r="F1421" s="244"/>
      <c r="G1421" s="244"/>
      <c r="H1421" s="285">
        <v>13</v>
      </c>
    </row>
    <row r="1422" spans="2:8" ht="13.8" x14ac:dyDescent="0.25">
      <c r="B1422" s="248">
        <v>12164</v>
      </c>
      <c r="C1422" s="243" t="s">
        <v>2959</v>
      </c>
      <c r="D1422" s="243"/>
      <c r="E1422" s="243"/>
      <c r="F1422" s="243"/>
      <c r="G1422" s="243"/>
      <c r="H1422" s="249">
        <v>12</v>
      </c>
    </row>
    <row r="1423" spans="2:8" ht="13.8" x14ac:dyDescent="0.25">
      <c r="B1423" s="248">
        <v>12165</v>
      </c>
      <c r="C1423" s="243" t="s">
        <v>2960</v>
      </c>
      <c r="D1423" s="243"/>
      <c r="E1423" s="243"/>
      <c r="F1423" s="243"/>
      <c r="G1423" s="243"/>
      <c r="H1423" s="249">
        <v>12</v>
      </c>
    </row>
    <row r="1424" spans="2:8" ht="13.8" x14ac:dyDescent="0.25">
      <c r="B1424" s="248">
        <v>12166</v>
      </c>
      <c r="C1424" s="243" t="s">
        <v>2961</v>
      </c>
      <c r="D1424" s="243"/>
      <c r="E1424" s="243"/>
      <c r="F1424" s="243"/>
      <c r="G1424" s="243"/>
      <c r="H1424" s="249">
        <v>13</v>
      </c>
    </row>
    <row r="1425" spans="2:8" ht="13.8" x14ac:dyDescent="0.25">
      <c r="B1425" s="248">
        <v>12167</v>
      </c>
      <c r="C1425" s="243" t="s">
        <v>2962</v>
      </c>
      <c r="D1425" s="243"/>
      <c r="E1425" s="243"/>
      <c r="F1425" s="243"/>
      <c r="G1425" s="243"/>
      <c r="H1425" s="249">
        <v>10</v>
      </c>
    </row>
    <row r="1426" spans="2:8" ht="13.8" x14ac:dyDescent="0.25">
      <c r="B1426" s="248">
        <v>12168</v>
      </c>
      <c r="C1426" s="243" t="s">
        <v>2963</v>
      </c>
      <c r="D1426" s="243"/>
      <c r="E1426" s="243"/>
      <c r="F1426" s="243"/>
      <c r="G1426" s="243"/>
      <c r="H1426" s="249">
        <v>13</v>
      </c>
    </row>
    <row r="1427" spans="2:8" ht="13.8" x14ac:dyDescent="0.25">
      <c r="B1427" s="248">
        <v>12169</v>
      </c>
      <c r="C1427" s="243" t="s">
        <v>2964</v>
      </c>
      <c r="D1427" s="243"/>
      <c r="E1427" s="243"/>
      <c r="F1427" s="243"/>
      <c r="G1427" s="243"/>
      <c r="H1427" s="249">
        <v>10</v>
      </c>
    </row>
    <row r="1428" spans="2:8" ht="13.8" x14ac:dyDescent="0.25">
      <c r="B1428" s="248">
        <v>12170</v>
      </c>
      <c r="C1428" s="243" t="s">
        <v>2965</v>
      </c>
      <c r="D1428" s="243"/>
      <c r="E1428" s="243"/>
      <c r="F1428" s="243"/>
      <c r="G1428" s="243"/>
      <c r="H1428" s="249">
        <v>10</v>
      </c>
    </row>
    <row r="1429" spans="2:8" ht="13.8" x14ac:dyDescent="0.25">
      <c r="B1429" s="248">
        <v>12171</v>
      </c>
      <c r="C1429" s="243" t="s">
        <v>2966</v>
      </c>
      <c r="D1429" s="243"/>
      <c r="E1429" s="243"/>
      <c r="F1429" s="243"/>
      <c r="G1429" s="243"/>
      <c r="H1429" s="249">
        <v>13</v>
      </c>
    </row>
    <row r="1430" spans="2:8" ht="13.8" x14ac:dyDescent="0.25">
      <c r="B1430" s="248">
        <v>12172</v>
      </c>
      <c r="C1430" s="243" t="s">
        <v>2967</v>
      </c>
      <c r="D1430" s="243"/>
      <c r="E1430" s="243"/>
      <c r="F1430" s="243"/>
      <c r="G1430" s="243"/>
      <c r="H1430" s="249">
        <v>13</v>
      </c>
    </row>
    <row r="1431" spans="2:8" ht="13.8" x14ac:dyDescent="0.25">
      <c r="B1431" s="248">
        <v>12173</v>
      </c>
      <c r="C1431" s="243" t="s">
        <v>2968</v>
      </c>
      <c r="D1431" s="243"/>
      <c r="E1431" s="243"/>
      <c r="F1431" s="243"/>
      <c r="G1431" s="243"/>
      <c r="H1431" s="249">
        <v>10</v>
      </c>
    </row>
    <row r="1432" spans="2:8" ht="13.8" x14ac:dyDescent="0.25">
      <c r="B1432" s="248">
        <v>12174</v>
      </c>
      <c r="C1432" s="243" t="s">
        <v>2969</v>
      </c>
      <c r="D1432" s="243"/>
      <c r="E1432" s="243"/>
      <c r="F1432" s="243"/>
      <c r="G1432" s="243"/>
      <c r="H1432" s="249">
        <v>12</v>
      </c>
    </row>
    <row r="1433" spans="2:8" ht="14.4" thickBot="1" x14ac:dyDescent="0.3">
      <c r="B1433" s="248">
        <v>12175</v>
      </c>
      <c r="C1433" s="243" t="s">
        <v>2970</v>
      </c>
      <c r="D1433" s="243"/>
      <c r="E1433" s="243"/>
      <c r="F1433" s="243"/>
      <c r="G1433" s="243"/>
      <c r="H1433" s="249">
        <v>12</v>
      </c>
    </row>
    <row r="1434" spans="2:8" ht="14.4" thickBot="1" x14ac:dyDescent="0.3">
      <c r="B1434" s="375" t="s">
        <v>2971</v>
      </c>
      <c r="C1434" s="376"/>
      <c r="D1434" s="376"/>
      <c r="E1434" s="376"/>
      <c r="F1434" s="376"/>
      <c r="G1434" s="376"/>
      <c r="H1434" s="377"/>
    </row>
    <row r="1435" spans="2:8" ht="13.8" x14ac:dyDescent="0.25">
      <c r="B1435" s="248">
        <v>12176</v>
      </c>
      <c r="C1435" s="243" t="s">
        <v>2972</v>
      </c>
      <c r="D1435" s="243"/>
      <c r="E1435" s="243"/>
      <c r="F1435" s="243"/>
      <c r="G1435" s="243"/>
      <c r="H1435" s="249">
        <v>12</v>
      </c>
    </row>
    <row r="1436" spans="2:8" ht="13.8" x14ac:dyDescent="0.25">
      <c r="B1436" s="248">
        <v>12177</v>
      </c>
      <c r="C1436" s="243" t="s">
        <v>2973</v>
      </c>
      <c r="D1436" s="243"/>
      <c r="E1436" s="243"/>
      <c r="F1436" s="243"/>
      <c r="G1436" s="243"/>
      <c r="H1436" s="249">
        <v>12</v>
      </c>
    </row>
    <row r="1437" spans="2:8" ht="13.8" x14ac:dyDescent="0.25">
      <c r="B1437" s="248">
        <v>12178</v>
      </c>
      <c r="C1437" s="243" t="s">
        <v>2974</v>
      </c>
      <c r="D1437" s="243"/>
      <c r="E1437" s="243"/>
      <c r="F1437" s="243"/>
      <c r="G1437" s="243"/>
      <c r="H1437" s="249">
        <v>10</v>
      </c>
    </row>
    <row r="1438" spans="2:8" ht="13.8" x14ac:dyDescent="0.25">
      <c r="B1438" s="248">
        <v>12179</v>
      </c>
      <c r="C1438" s="243" t="s">
        <v>2975</v>
      </c>
      <c r="D1438" s="243"/>
      <c r="E1438" s="243"/>
      <c r="F1438" s="243"/>
      <c r="G1438" s="243"/>
      <c r="H1438" s="249">
        <v>12</v>
      </c>
    </row>
    <row r="1439" spans="2:8" ht="13.8" x14ac:dyDescent="0.25">
      <c r="B1439" s="248">
        <v>12180</v>
      </c>
      <c r="C1439" s="243" t="s">
        <v>2976</v>
      </c>
      <c r="D1439" s="243"/>
      <c r="E1439" s="243"/>
      <c r="F1439" s="243"/>
      <c r="G1439" s="243"/>
      <c r="H1439" s="249">
        <v>10</v>
      </c>
    </row>
    <row r="1440" spans="2:8" ht="13.8" x14ac:dyDescent="0.25">
      <c r="B1440" s="248">
        <v>12181</v>
      </c>
      <c r="C1440" s="243" t="s">
        <v>2977</v>
      </c>
      <c r="D1440" s="243"/>
      <c r="E1440" s="243"/>
      <c r="F1440" s="243"/>
      <c r="G1440" s="243"/>
      <c r="H1440" s="249">
        <v>9</v>
      </c>
    </row>
    <row r="1441" spans="2:8" ht="14.4" thickBot="1" x14ac:dyDescent="0.3">
      <c r="B1441" s="248">
        <v>12182</v>
      </c>
      <c r="C1441" s="243" t="s">
        <v>2978</v>
      </c>
      <c r="D1441" s="243"/>
      <c r="E1441" s="243"/>
      <c r="F1441" s="243"/>
      <c r="G1441" s="243"/>
      <c r="H1441" s="249">
        <v>10</v>
      </c>
    </row>
    <row r="1442" spans="2:8" ht="14.4" thickBot="1" x14ac:dyDescent="0.3">
      <c r="B1442" s="375" t="s">
        <v>2979</v>
      </c>
      <c r="C1442" s="376"/>
      <c r="D1442" s="376"/>
      <c r="E1442" s="376"/>
      <c r="F1442" s="376"/>
      <c r="G1442" s="376"/>
      <c r="H1442" s="377"/>
    </row>
    <row r="1443" spans="2:8" ht="13.8" x14ac:dyDescent="0.25">
      <c r="B1443" s="248">
        <v>12183</v>
      </c>
      <c r="C1443" s="243" t="s">
        <v>2980</v>
      </c>
      <c r="D1443" s="243"/>
      <c r="E1443" s="243"/>
      <c r="F1443" s="243"/>
      <c r="G1443" s="243"/>
      <c r="H1443" s="249">
        <v>9</v>
      </c>
    </row>
    <row r="1444" spans="2:8" ht="13.8" x14ac:dyDescent="0.25">
      <c r="B1444" s="248">
        <v>12184</v>
      </c>
      <c r="C1444" s="243" t="s">
        <v>2981</v>
      </c>
      <c r="D1444" s="243"/>
      <c r="E1444" s="243"/>
      <c r="F1444" s="243"/>
      <c r="G1444" s="243"/>
      <c r="H1444" s="249">
        <v>9</v>
      </c>
    </row>
    <row r="1445" spans="2:8" ht="13.8" x14ac:dyDescent="0.25">
      <c r="B1445" s="248">
        <v>12185</v>
      </c>
      <c r="C1445" s="243" t="s">
        <v>2982</v>
      </c>
      <c r="D1445" s="243"/>
      <c r="E1445" s="243"/>
      <c r="F1445" s="243"/>
      <c r="G1445" s="243"/>
      <c r="H1445" s="249">
        <v>10</v>
      </c>
    </row>
    <row r="1446" spans="2:8" ht="13.8" x14ac:dyDescent="0.25">
      <c r="B1446" s="248">
        <v>12186</v>
      </c>
      <c r="C1446" s="243" t="s">
        <v>2983</v>
      </c>
      <c r="D1446" s="243"/>
      <c r="E1446" s="243"/>
      <c r="F1446" s="243"/>
      <c r="G1446" s="243"/>
      <c r="H1446" s="249">
        <v>8</v>
      </c>
    </row>
    <row r="1447" spans="2:8" ht="13.8" x14ac:dyDescent="0.25">
      <c r="B1447" s="248">
        <v>12187</v>
      </c>
      <c r="C1447" s="243" t="s">
        <v>2984</v>
      </c>
      <c r="D1447" s="243"/>
      <c r="E1447" s="243"/>
      <c r="F1447" s="243"/>
      <c r="G1447" s="243"/>
      <c r="H1447" s="249">
        <v>9</v>
      </c>
    </row>
    <row r="1448" spans="2:8" ht="13.8" x14ac:dyDescent="0.25">
      <c r="B1448" s="248">
        <v>12188</v>
      </c>
      <c r="C1448" s="243" t="s">
        <v>2985</v>
      </c>
      <c r="D1448" s="243"/>
      <c r="E1448" s="243"/>
      <c r="F1448" s="243"/>
      <c r="G1448" s="243"/>
      <c r="H1448" s="249">
        <v>12</v>
      </c>
    </row>
    <row r="1449" spans="2:8" ht="13.8" x14ac:dyDescent="0.25">
      <c r="B1449" s="248">
        <v>12189</v>
      </c>
      <c r="C1449" s="243" t="s">
        <v>2986</v>
      </c>
      <c r="D1449" s="243"/>
      <c r="E1449" s="243"/>
      <c r="F1449" s="243"/>
      <c r="G1449" s="243"/>
      <c r="H1449" s="249">
        <v>9</v>
      </c>
    </row>
    <row r="1450" spans="2:8" ht="13.8" x14ac:dyDescent="0.25">
      <c r="B1450" s="248">
        <v>12190</v>
      </c>
      <c r="C1450" s="243" t="s">
        <v>2987</v>
      </c>
      <c r="D1450" s="243"/>
      <c r="E1450" s="243"/>
      <c r="F1450" s="243"/>
      <c r="G1450" s="243"/>
      <c r="H1450" s="249">
        <v>9</v>
      </c>
    </row>
    <row r="1451" spans="2:8" ht="13.8" x14ac:dyDescent="0.25">
      <c r="B1451" s="248">
        <v>12191</v>
      </c>
      <c r="C1451" s="243" t="s">
        <v>2988</v>
      </c>
      <c r="D1451" s="243"/>
      <c r="E1451" s="243"/>
      <c r="F1451" s="243"/>
      <c r="G1451" s="243"/>
      <c r="H1451" s="249">
        <v>8</v>
      </c>
    </row>
    <row r="1452" spans="2:8" ht="13.8" x14ac:dyDescent="0.25">
      <c r="B1452" s="248">
        <v>12192</v>
      </c>
      <c r="C1452" s="243" t="s">
        <v>2989</v>
      </c>
      <c r="D1452" s="243"/>
      <c r="E1452" s="243"/>
      <c r="F1452" s="243"/>
      <c r="G1452" s="243"/>
      <c r="H1452" s="249">
        <v>8</v>
      </c>
    </row>
    <row r="1453" spans="2:8" ht="14.4" thickBot="1" x14ac:dyDescent="0.3">
      <c r="B1453" s="248">
        <v>12193</v>
      </c>
      <c r="C1453" s="243" t="s">
        <v>2990</v>
      </c>
      <c r="D1453" s="243"/>
      <c r="E1453" s="243"/>
      <c r="F1453" s="243"/>
      <c r="G1453" s="243"/>
      <c r="H1453" s="249">
        <v>10</v>
      </c>
    </row>
    <row r="1454" spans="2:8" ht="14.4" thickBot="1" x14ac:dyDescent="0.3">
      <c r="B1454" s="375" t="s">
        <v>2991</v>
      </c>
      <c r="C1454" s="376"/>
      <c r="D1454" s="376"/>
      <c r="E1454" s="376"/>
      <c r="F1454" s="376"/>
      <c r="G1454" s="376"/>
      <c r="H1454" s="377"/>
    </row>
    <row r="1455" spans="2:8" ht="13.8" x14ac:dyDescent="0.25">
      <c r="B1455" s="248">
        <v>12194</v>
      </c>
      <c r="C1455" s="243" t="s">
        <v>2992</v>
      </c>
      <c r="D1455" s="243"/>
      <c r="E1455" s="243"/>
      <c r="F1455" s="243"/>
      <c r="G1455" s="243"/>
      <c r="H1455" s="249">
        <v>22</v>
      </c>
    </row>
    <row r="1456" spans="2:8" ht="13.8" x14ac:dyDescent="0.25">
      <c r="B1456" s="248">
        <v>12195</v>
      </c>
      <c r="C1456" s="243" t="s">
        <v>2993</v>
      </c>
      <c r="D1456" s="243"/>
      <c r="E1456" s="243"/>
      <c r="F1456" s="243"/>
      <c r="G1456" s="243"/>
      <c r="H1456" s="249">
        <v>20</v>
      </c>
    </row>
    <row r="1457" spans="2:8" ht="13.8" x14ac:dyDescent="0.25">
      <c r="B1457" s="248">
        <v>12196</v>
      </c>
      <c r="C1457" s="243" t="s">
        <v>2994</v>
      </c>
      <c r="D1457" s="243"/>
      <c r="E1457" s="243"/>
      <c r="F1457" s="243"/>
      <c r="G1457" s="243"/>
      <c r="H1457" s="249">
        <v>13</v>
      </c>
    </row>
    <row r="1458" spans="2:8" ht="13.8" x14ac:dyDescent="0.25">
      <c r="B1458" s="248">
        <v>12197</v>
      </c>
      <c r="C1458" s="243" t="s">
        <v>2995</v>
      </c>
      <c r="D1458" s="243"/>
      <c r="E1458" s="243"/>
      <c r="F1458" s="243"/>
      <c r="G1458" s="243"/>
      <c r="H1458" s="249">
        <v>13</v>
      </c>
    </row>
    <row r="1459" spans="2:8" ht="13.8" x14ac:dyDescent="0.25">
      <c r="B1459" s="248">
        <v>12198</v>
      </c>
      <c r="C1459" s="243" t="s">
        <v>2996</v>
      </c>
      <c r="D1459" s="243"/>
      <c r="E1459" s="243"/>
      <c r="F1459" s="243"/>
      <c r="G1459" s="243"/>
      <c r="H1459" s="249">
        <v>10</v>
      </c>
    </row>
    <row r="1460" spans="2:8" ht="13.8" x14ac:dyDescent="0.25">
      <c r="B1460" s="248">
        <v>12199</v>
      </c>
      <c r="C1460" s="243" t="s">
        <v>2997</v>
      </c>
      <c r="D1460" s="243"/>
      <c r="E1460" s="243"/>
      <c r="F1460" s="243"/>
      <c r="G1460" s="243"/>
      <c r="H1460" s="249">
        <v>8</v>
      </c>
    </row>
    <row r="1461" spans="2:8" ht="13.8" x14ac:dyDescent="0.25">
      <c r="B1461" s="248">
        <v>12200</v>
      </c>
      <c r="C1461" s="243" t="s">
        <v>2998</v>
      </c>
      <c r="D1461" s="243"/>
      <c r="E1461" s="243"/>
      <c r="F1461" s="243"/>
      <c r="G1461" s="243"/>
      <c r="H1461" s="249">
        <v>8</v>
      </c>
    </row>
    <row r="1462" spans="2:8" ht="13.8" x14ac:dyDescent="0.25">
      <c r="B1462" s="248">
        <v>12201</v>
      </c>
      <c r="C1462" s="243" t="s">
        <v>2999</v>
      </c>
      <c r="D1462" s="243"/>
      <c r="E1462" s="243"/>
      <c r="F1462" s="243"/>
      <c r="G1462" s="243"/>
      <c r="H1462" s="249">
        <v>4</v>
      </c>
    </row>
    <row r="1463" spans="2:8" ht="13.8" x14ac:dyDescent="0.25">
      <c r="B1463" s="248">
        <v>12202</v>
      </c>
      <c r="C1463" s="243" t="s">
        <v>3000</v>
      </c>
      <c r="D1463" s="243"/>
      <c r="E1463" s="243"/>
      <c r="F1463" s="243"/>
      <c r="G1463" s="243"/>
      <c r="H1463" s="249">
        <v>6</v>
      </c>
    </row>
    <row r="1464" spans="2:8" ht="13.8" x14ac:dyDescent="0.25">
      <c r="B1464" s="248">
        <v>12203</v>
      </c>
      <c r="C1464" s="243" t="s">
        <v>3001</v>
      </c>
      <c r="D1464" s="243"/>
      <c r="E1464" s="243"/>
      <c r="F1464" s="243"/>
      <c r="G1464" s="243"/>
      <c r="H1464" s="249">
        <v>8</v>
      </c>
    </row>
    <row r="1465" spans="2:8" ht="13.8" x14ac:dyDescent="0.25">
      <c r="B1465" s="248">
        <v>12204</v>
      </c>
      <c r="C1465" s="243" t="s">
        <v>3002</v>
      </c>
      <c r="D1465" s="243"/>
      <c r="E1465" s="243"/>
      <c r="F1465" s="243"/>
      <c r="G1465" s="243"/>
      <c r="H1465" s="249">
        <v>9</v>
      </c>
    </row>
    <row r="1466" spans="2:8" ht="13.8" x14ac:dyDescent="0.25">
      <c r="B1466" s="248">
        <v>12205</v>
      </c>
      <c r="C1466" s="243" t="s">
        <v>3003</v>
      </c>
      <c r="D1466" s="243"/>
      <c r="E1466" s="243"/>
      <c r="F1466" s="243"/>
      <c r="G1466" s="243"/>
      <c r="H1466" s="249">
        <v>10</v>
      </c>
    </row>
    <row r="1467" spans="2:8" ht="13.8" x14ac:dyDescent="0.25">
      <c r="B1467" s="248">
        <v>12206</v>
      </c>
      <c r="C1467" s="243" t="s">
        <v>3004</v>
      </c>
      <c r="D1467" s="243"/>
      <c r="E1467" s="243"/>
      <c r="F1467" s="243"/>
      <c r="G1467" s="243"/>
      <c r="H1467" s="249">
        <v>8</v>
      </c>
    </row>
    <row r="1468" spans="2:8" ht="13.8" x14ac:dyDescent="0.25">
      <c r="B1468" s="248">
        <v>12207</v>
      </c>
      <c r="C1468" s="243" t="s">
        <v>3005</v>
      </c>
      <c r="D1468" s="243"/>
      <c r="E1468" s="243"/>
      <c r="F1468" s="243"/>
      <c r="G1468" s="243"/>
      <c r="H1468" s="249">
        <v>9</v>
      </c>
    </row>
    <row r="1469" spans="2:8" ht="13.8" x14ac:dyDescent="0.25">
      <c r="B1469" s="248">
        <v>12208</v>
      </c>
      <c r="C1469" s="243" t="s">
        <v>3006</v>
      </c>
      <c r="D1469" s="243"/>
      <c r="E1469" s="243"/>
      <c r="F1469" s="243"/>
      <c r="G1469" s="243"/>
      <c r="H1469" s="249">
        <v>20</v>
      </c>
    </row>
    <row r="1470" spans="2:8" ht="13.8" x14ac:dyDescent="0.25">
      <c r="B1470" s="248">
        <v>12209</v>
      </c>
      <c r="C1470" s="243" t="s">
        <v>3007</v>
      </c>
      <c r="D1470" s="243"/>
      <c r="E1470" s="243"/>
      <c r="F1470" s="243"/>
      <c r="G1470" s="243"/>
      <c r="H1470" s="249">
        <v>23</v>
      </c>
    </row>
    <row r="1471" spans="2:8" ht="13.8" x14ac:dyDescent="0.25">
      <c r="B1471" s="248">
        <v>12210</v>
      </c>
      <c r="C1471" s="243" t="s">
        <v>3008</v>
      </c>
      <c r="D1471" s="243"/>
      <c r="E1471" s="243"/>
      <c r="F1471" s="243"/>
      <c r="G1471" s="243"/>
      <c r="H1471" s="249">
        <v>20</v>
      </c>
    </row>
    <row r="1472" spans="2:8" ht="13.8" thickBot="1" x14ac:dyDescent="0.3"/>
    <row r="1473" spans="2:8" ht="14.4" thickBot="1" x14ac:dyDescent="0.3">
      <c r="B1473" s="396" t="s">
        <v>3009</v>
      </c>
      <c r="C1473" s="397"/>
      <c r="D1473" s="397"/>
      <c r="E1473" s="397"/>
      <c r="F1473" s="397"/>
      <c r="G1473" s="397"/>
      <c r="H1473" s="398"/>
    </row>
    <row r="1474" spans="2:8" ht="13.8" x14ac:dyDescent="0.25">
      <c r="B1474" s="396" t="s">
        <v>3010</v>
      </c>
      <c r="C1474" s="397"/>
      <c r="D1474" s="397"/>
      <c r="E1474" s="397"/>
      <c r="F1474" s="397"/>
      <c r="G1474" s="397"/>
      <c r="H1474" s="398"/>
    </row>
    <row r="1475" spans="2:8" ht="13.8" x14ac:dyDescent="0.25">
      <c r="B1475" s="248">
        <v>13101</v>
      </c>
      <c r="C1475" s="243" t="s">
        <v>3011</v>
      </c>
      <c r="D1475" s="253"/>
      <c r="E1475" s="253"/>
      <c r="F1475" s="253"/>
      <c r="G1475" s="253"/>
      <c r="H1475" s="249">
        <v>10</v>
      </c>
    </row>
    <row r="1476" spans="2:8" ht="13.8" x14ac:dyDescent="0.25">
      <c r="B1476" s="248">
        <v>13102</v>
      </c>
      <c r="C1476" s="243" t="s">
        <v>3012</v>
      </c>
      <c r="D1476" s="253"/>
      <c r="E1476" s="253"/>
      <c r="F1476" s="253"/>
      <c r="G1476" s="253"/>
      <c r="H1476" s="249">
        <v>12</v>
      </c>
    </row>
    <row r="1477" spans="2:8" ht="13.8" x14ac:dyDescent="0.25">
      <c r="B1477" s="248">
        <v>13103</v>
      </c>
      <c r="C1477" s="243" t="s">
        <v>3013</v>
      </c>
      <c r="D1477" s="253"/>
      <c r="E1477" s="253"/>
      <c r="F1477" s="253"/>
      <c r="G1477" s="253"/>
      <c r="H1477" s="249">
        <v>13</v>
      </c>
    </row>
    <row r="1478" spans="2:8" ht="13.8" x14ac:dyDescent="0.25">
      <c r="B1478" s="248">
        <v>13104</v>
      </c>
      <c r="C1478" s="243" t="s">
        <v>3014</v>
      </c>
      <c r="D1478" s="253"/>
      <c r="E1478" s="253"/>
      <c r="F1478" s="253"/>
      <c r="G1478" s="253"/>
      <c r="H1478" s="249">
        <v>10</v>
      </c>
    </row>
    <row r="1479" spans="2:8" ht="13.8" x14ac:dyDescent="0.25">
      <c r="B1479" s="248">
        <v>13105</v>
      </c>
      <c r="C1479" s="243" t="s">
        <v>3015</v>
      </c>
      <c r="D1479" s="253"/>
      <c r="E1479" s="253"/>
      <c r="F1479" s="253"/>
      <c r="G1479" s="253"/>
      <c r="H1479" s="249">
        <v>10</v>
      </c>
    </row>
    <row r="1480" spans="2:8" ht="13.8" x14ac:dyDescent="0.25">
      <c r="B1480" s="248">
        <v>13106</v>
      </c>
      <c r="C1480" s="243" t="s">
        <v>3016</v>
      </c>
      <c r="D1480" s="253"/>
      <c r="E1480" s="253"/>
      <c r="F1480" s="253"/>
      <c r="G1480" s="253"/>
      <c r="H1480" s="249">
        <v>12</v>
      </c>
    </row>
    <row r="1481" spans="2:8" ht="13.8" x14ac:dyDescent="0.25">
      <c r="B1481" s="248">
        <v>13107</v>
      </c>
      <c r="C1481" s="243" t="s">
        <v>3017</v>
      </c>
      <c r="D1481" s="253"/>
      <c r="E1481" s="253"/>
      <c r="F1481" s="253"/>
      <c r="G1481" s="253"/>
      <c r="H1481" s="249">
        <v>13</v>
      </c>
    </row>
    <row r="1482" spans="2:8" ht="13.8" x14ac:dyDescent="0.25">
      <c r="B1482" s="248">
        <v>13108</v>
      </c>
      <c r="C1482" s="243" t="s">
        <v>3018</v>
      </c>
      <c r="D1482" s="253"/>
      <c r="E1482" s="253"/>
      <c r="F1482" s="253"/>
      <c r="G1482" s="253"/>
      <c r="H1482" s="249">
        <v>22</v>
      </c>
    </row>
    <row r="1483" spans="2:8" ht="13.8" x14ac:dyDescent="0.25">
      <c r="B1483" s="248">
        <v>13109</v>
      </c>
      <c r="C1483" s="243" t="s">
        <v>3019</v>
      </c>
      <c r="D1483" s="253"/>
      <c r="E1483" s="253"/>
      <c r="F1483" s="253"/>
      <c r="G1483" s="253"/>
      <c r="H1483" s="249">
        <v>10</v>
      </c>
    </row>
    <row r="1484" spans="2:8" ht="13.8" x14ac:dyDescent="0.25">
      <c r="B1484" s="248">
        <v>13110</v>
      </c>
      <c r="C1484" s="243" t="s">
        <v>3020</v>
      </c>
      <c r="D1484" s="253"/>
      <c r="E1484" s="253"/>
      <c r="F1484" s="253"/>
      <c r="G1484" s="253"/>
      <c r="H1484" s="249">
        <v>12</v>
      </c>
    </row>
    <row r="1485" spans="2:8" ht="13.8" x14ac:dyDescent="0.25">
      <c r="B1485" s="248">
        <v>13111</v>
      </c>
      <c r="C1485" s="243" t="s">
        <v>3021</v>
      </c>
      <c r="D1485" s="253"/>
      <c r="E1485" s="253"/>
      <c r="F1485" s="253"/>
      <c r="G1485" s="253"/>
      <c r="H1485" s="249">
        <v>10</v>
      </c>
    </row>
    <row r="1486" spans="2:8" ht="13.8" x14ac:dyDescent="0.25">
      <c r="B1486" s="248">
        <v>13112</v>
      </c>
      <c r="C1486" s="243" t="s">
        <v>3022</v>
      </c>
      <c r="D1486" s="253"/>
      <c r="E1486" s="253"/>
      <c r="F1486" s="253"/>
      <c r="G1486" s="253"/>
      <c r="H1486" s="249">
        <v>10</v>
      </c>
    </row>
    <row r="1487" spans="2:8" ht="13.8" x14ac:dyDescent="0.25">
      <c r="B1487" s="248">
        <v>13113</v>
      </c>
      <c r="C1487" s="243" t="s">
        <v>3023</v>
      </c>
      <c r="D1487" s="253"/>
      <c r="E1487" s="253"/>
      <c r="F1487" s="253"/>
      <c r="G1487" s="253"/>
      <c r="H1487" s="249">
        <v>10</v>
      </c>
    </row>
    <row r="1488" spans="2:8" ht="13.8" x14ac:dyDescent="0.25">
      <c r="B1488" s="248">
        <v>13114</v>
      </c>
      <c r="C1488" s="243" t="s">
        <v>3024</v>
      </c>
      <c r="D1488" s="253"/>
      <c r="E1488" s="253"/>
      <c r="F1488" s="253"/>
      <c r="G1488" s="253"/>
      <c r="H1488" s="249">
        <v>10</v>
      </c>
    </row>
    <row r="1489" spans="2:8" ht="13.8" x14ac:dyDescent="0.25">
      <c r="B1489" s="248">
        <v>13115</v>
      </c>
      <c r="C1489" s="243" t="s">
        <v>3025</v>
      </c>
      <c r="D1489" s="253"/>
      <c r="E1489" s="253"/>
      <c r="F1489" s="253"/>
      <c r="G1489" s="253"/>
      <c r="H1489" s="249">
        <v>12</v>
      </c>
    </row>
    <row r="1490" spans="2:8" ht="14.4" thickBot="1" x14ac:dyDescent="0.3">
      <c r="B1490" s="248">
        <v>13116</v>
      </c>
      <c r="C1490" s="243" t="s">
        <v>3026</v>
      </c>
      <c r="D1490" s="253"/>
      <c r="E1490" s="253"/>
      <c r="F1490" s="253"/>
      <c r="G1490" s="253"/>
      <c r="H1490" s="249">
        <v>13</v>
      </c>
    </row>
    <row r="1491" spans="2:8" ht="13.8" x14ac:dyDescent="0.25">
      <c r="B1491" s="396" t="s">
        <v>3027</v>
      </c>
      <c r="C1491" s="397"/>
      <c r="D1491" s="397"/>
      <c r="E1491" s="397"/>
      <c r="F1491" s="397"/>
      <c r="G1491" s="397"/>
      <c r="H1491" s="398"/>
    </row>
    <row r="1492" spans="2:8" ht="13.8" x14ac:dyDescent="0.25">
      <c r="B1492" s="248">
        <v>13117</v>
      </c>
      <c r="C1492" s="243" t="s">
        <v>3028</v>
      </c>
      <c r="D1492" s="253"/>
      <c r="E1492" s="253"/>
      <c r="F1492" s="253"/>
      <c r="G1492" s="253"/>
      <c r="H1492" s="249">
        <v>12</v>
      </c>
    </row>
    <row r="1493" spans="2:8" ht="13.8" x14ac:dyDescent="0.25">
      <c r="B1493" s="248">
        <v>13118</v>
      </c>
      <c r="C1493" s="243" t="s">
        <v>3029</v>
      </c>
      <c r="D1493" s="253"/>
      <c r="E1493" s="253"/>
      <c r="F1493" s="253"/>
      <c r="G1493" s="253"/>
      <c r="H1493" s="249">
        <v>12</v>
      </c>
    </row>
    <row r="1494" spans="2:8" ht="13.8" x14ac:dyDescent="0.25">
      <c r="B1494" s="248">
        <v>13119</v>
      </c>
      <c r="C1494" s="243" t="s">
        <v>3030</v>
      </c>
      <c r="D1494" s="253"/>
      <c r="E1494" s="253"/>
      <c r="F1494" s="253"/>
      <c r="G1494" s="253"/>
      <c r="H1494" s="249">
        <v>12</v>
      </c>
    </row>
    <row r="1495" spans="2:8" ht="13.8" x14ac:dyDescent="0.25">
      <c r="B1495" s="248">
        <v>13120</v>
      </c>
      <c r="C1495" s="243" t="s">
        <v>3031</v>
      </c>
      <c r="D1495" s="253"/>
      <c r="E1495" s="253"/>
      <c r="F1495" s="253"/>
      <c r="G1495" s="253"/>
      <c r="H1495" s="249">
        <v>12</v>
      </c>
    </row>
    <row r="1496" spans="2:8" ht="13.8" x14ac:dyDescent="0.25">
      <c r="B1496" s="248">
        <v>13121</v>
      </c>
      <c r="C1496" s="243" t="s">
        <v>3032</v>
      </c>
      <c r="D1496" s="253"/>
      <c r="E1496" s="253"/>
      <c r="F1496" s="253"/>
      <c r="G1496" s="253"/>
      <c r="H1496" s="249">
        <v>12</v>
      </c>
    </row>
    <row r="1497" spans="2:8" ht="13.8" x14ac:dyDescent="0.25">
      <c r="B1497" s="248">
        <v>13122</v>
      </c>
      <c r="C1497" s="243" t="s">
        <v>3033</v>
      </c>
      <c r="D1497" s="253"/>
      <c r="E1497" s="253"/>
      <c r="F1497" s="253"/>
      <c r="G1497" s="253"/>
      <c r="H1497" s="249">
        <v>13</v>
      </c>
    </row>
    <row r="1498" spans="2:8" ht="13.8" x14ac:dyDescent="0.25">
      <c r="B1498" s="248">
        <v>13123</v>
      </c>
      <c r="C1498" s="243" t="s">
        <v>3034</v>
      </c>
      <c r="D1498" s="253"/>
      <c r="E1498" s="253"/>
      <c r="F1498" s="253"/>
      <c r="G1498" s="253"/>
      <c r="H1498" s="249">
        <v>13</v>
      </c>
    </row>
    <row r="1499" spans="2:8" ht="13.8" x14ac:dyDescent="0.25">
      <c r="B1499" s="248">
        <v>13124</v>
      </c>
      <c r="C1499" s="243" t="s">
        <v>3035</v>
      </c>
      <c r="D1499" s="253"/>
      <c r="E1499" s="253"/>
      <c r="F1499" s="253"/>
      <c r="G1499" s="253"/>
      <c r="H1499" s="249">
        <v>20</v>
      </c>
    </row>
    <row r="1500" spans="2:8" ht="13.8" x14ac:dyDescent="0.25">
      <c r="B1500" s="248">
        <v>13125</v>
      </c>
      <c r="C1500" s="243" t="s">
        <v>3036</v>
      </c>
      <c r="D1500" s="253"/>
      <c r="E1500" s="253"/>
      <c r="F1500" s="253"/>
      <c r="G1500" s="253"/>
      <c r="H1500" s="249">
        <v>10</v>
      </c>
    </row>
    <row r="1501" spans="2:8" ht="13.8" x14ac:dyDescent="0.25">
      <c r="B1501" s="248">
        <v>13126</v>
      </c>
      <c r="C1501" s="243" t="s">
        <v>3037</v>
      </c>
      <c r="D1501" s="253"/>
      <c r="E1501" s="253"/>
      <c r="F1501" s="253"/>
      <c r="G1501" s="253"/>
      <c r="H1501" s="249">
        <v>8</v>
      </c>
    </row>
    <row r="1502" spans="2:8" ht="14.4" thickBot="1" x14ac:dyDescent="0.3">
      <c r="B1502" s="248">
        <v>13127</v>
      </c>
      <c r="C1502" s="243" t="s">
        <v>3038</v>
      </c>
      <c r="D1502" s="253"/>
      <c r="E1502" s="253"/>
      <c r="F1502" s="253"/>
      <c r="G1502" s="253"/>
      <c r="H1502" s="249">
        <v>20</v>
      </c>
    </row>
    <row r="1503" spans="2:8" ht="13.8" x14ac:dyDescent="0.25">
      <c r="B1503" s="396" t="s">
        <v>3039</v>
      </c>
      <c r="C1503" s="397"/>
      <c r="D1503" s="397"/>
      <c r="E1503" s="397"/>
      <c r="F1503" s="397"/>
      <c r="G1503" s="397"/>
      <c r="H1503" s="398"/>
    </row>
    <row r="1504" spans="2:8" ht="13.8" x14ac:dyDescent="0.25">
      <c r="B1504" s="248">
        <v>13128</v>
      </c>
      <c r="C1504" s="243" t="s">
        <v>3040</v>
      </c>
      <c r="D1504" s="253"/>
      <c r="E1504" s="253"/>
      <c r="F1504" s="253"/>
      <c r="G1504" s="253"/>
      <c r="H1504" s="249">
        <v>13</v>
      </c>
    </row>
    <row r="1505" spans="2:8" ht="13.8" x14ac:dyDescent="0.25">
      <c r="B1505" s="248">
        <v>13129</v>
      </c>
      <c r="C1505" s="243" t="s">
        <v>3041</v>
      </c>
      <c r="D1505" s="253"/>
      <c r="E1505" s="253"/>
      <c r="F1505" s="253"/>
      <c r="G1505" s="253"/>
      <c r="H1505" s="249">
        <v>12</v>
      </c>
    </row>
    <row r="1506" spans="2:8" ht="13.8" x14ac:dyDescent="0.25">
      <c r="B1506" s="248">
        <v>13130</v>
      </c>
      <c r="C1506" s="243" t="s">
        <v>3042</v>
      </c>
      <c r="D1506" s="253"/>
      <c r="E1506" s="253"/>
      <c r="F1506" s="253"/>
      <c r="G1506" s="253"/>
      <c r="H1506" s="249">
        <v>13</v>
      </c>
    </row>
    <row r="1507" spans="2:8" ht="13.8" x14ac:dyDescent="0.25">
      <c r="B1507" s="248">
        <v>13131</v>
      </c>
      <c r="C1507" s="243" t="s">
        <v>3043</v>
      </c>
      <c r="D1507" s="253"/>
      <c r="E1507" s="253"/>
      <c r="F1507" s="253"/>
      <c r="G1507" s="253"/>
      <c r="H1507" s="249">
        <v>13</v>
      </c>
    </row>
    <row r="1508" spans="2:8" ht="13.8" x14ac:dyDescent="0.25">
      <c r="B1508" s="248">
        <v>13132</v>
      </c>
      <c r="C1508" s="243" t="s">
        <v>3044</v>
      </c>
      <c r="D1508" s="253"/>
      <c r="E1508" s="253"/>
      <c r="F1508" s="253"/>
      <c r="G1508" s="253"/>
      <c r="H1508" s="249">
        <v>12</v>
      </c>
    </row>
    <row r="1509" spans="2:8" ht="13.8" x14ac:dyDescent="0.25">
      <c r="B1509" s="248">
        <v>13133</v>
      </c>
      <c r="C1509" s="243" t="s">
        <v>3045</v>
      </c>
      <c r="D1509" s="253"/>
      <c r="E1509" s="253"/>
      <c r="F1509" s="253"/>
      <c r="G1509" s="253"/>
      <c r="H1509" s="249">
        <v>13</v>
      </c>
    </row>
    <row r="1510" spans="2:8" ht="13.8" x14ac:dyDescent="0.25">
      <c r="B1510" s="248">
        <v>13134</v>
      </c>
      <c r="C1510" s="243" t="s">
        <v>3046</v>
      </c>
      <c r="D1510" s="253"/>
      <c r="E1510" s="253"/>
      <c r="F1510" s="253"/>
      <c r="G1510" s="253"/>
      <c r="H1510" s="249">
        <v>12</v>
      </c>
    </row>
    <row r="1511" spans="2:8" ht="13.8" x14ac:dyDescent="0.25">
      <c r="B1511" s="248">
        <v>13135</v>
      </c>
      <c r="C1511" s="243" t="s">
        <v>3047</v>
      </c>
      <c r="D1511" s="253"/>
      <c r="E1511" s="253"/>
      <c r="F1511" s="253"/>
      <c r="G1511" s="253"/>
      <c r="H1511" s="249">
        <v>23</v>
      </c>
    </row>
    <row r="1512" spans="2:8" ht="13.8" x14ac:dyDescent="0.25">
      <c r="B1512" s="248">
        <v>13136</v>
      </c>
      <c r="C1512" s="243" t="s">
        <v>3048</v>
      </c>
      <c r="D1512" s="253"/>
      <c r="E1512" s="253"/>
      <c r="F1512" s="253"/>
      <c r="G1512" s="253"/>
      <c r="H1512" s="249">
        <v>12</v>
      </c>
    </row>
    <row r="1513" spans="2:8" ht="14.4" thickBot="1" x14ac:dyDescent="0.3">
      <c r="B1513" s="248">
        <v>13137</v>
      </c>
      <c r="C1513" s="243" t="s">
        <v>3049</v>
      </c>
      <c r="D1513" s="253"/>
      <c r="E1513" s="253"/>
      <c r="F1513" s="253"/>
      <c r="G1513" s="253"/>
      <c r="H1513" s="249">
        <v>12</v>
      </c>
    </row>
    <row r="1514" spans="2:8" ht="13.8" x14ac:dyDescent="0.25">
      <c r="B1514" s="396" t="s">
        <v>3050</v>
      </c>
      <c r="C1514" s="397"/>
      <c r="D1514" s="397"/>
      <c r="E1514" s="397"/>
      <c r="F1514" s="397"/>
      <c r="G1514" s="397"/>
      <c r="H1514" s="398"/>
    </row>
    <row r="1515" spans="2:8" ht="13.8" x14ac:dyDescent="0.25">
      <c r="B1515" s="248">
        <v>13138</v>
      </c>
      <c r="C1515" s="243" t="s">
        <v>3051</v>
      </c>
      <c r="D1515" s="253"/>
      <c r="E1515" s="253"/>
      <c r="F1515" s="253"/>
      <c r="G1515" s="253"/>
      <c r="H1515" s="249">
        <v>13</v>
      </c>
    </row>
    <row r="1516" spans="2:8" ht="13.8" x14ac:dyDescent="0.25">
      <c r="B1516" s="248">
        <v>13139</v>
      </c>
      <c r="C1516" s="243" t="s">
        <v>3052</v>
      </c>
      <c r="D1516" s="253"/>
      <c r="E1516" s="253"/>
      <c r="F1516" s="253"/>
      <c r="G1516" s="253"/>
      <c r="H1516" s="249">
        <v>12</v>
      </c>
    </row>
    <row r="1517" spans="2:8" ht="13.8" x14ac:dyDescent="0.25">
      <c r="B1517" s="248">
        <v>13140</v>
      </c>
      <c r="C1517" s="243" t="s">
        <v>3053</v>
      </c>
      <c r="D1517" s="253"/>
      <c r="E1517" s="253"/>
      <c r="F1517" s="253"/>
      <c r="G1517" s="253"/>
      <c r="H1517" s="249">
        <v>12</v>
      </c>
    </row>
    <row r="1518" spans="2:8" ht="13.8" x14ac:dyDescent="0.25">
      <c r="B1518" s="248">
        <v>13141</v>
      </c>
      <c r="C1518" s="243" t="s">
        <v>3054</v>
      </c>
      <c r="D1518" s="253"/>
      <c r="E1518" s="253"/>
      <c r="F1518" s="253"/>
      <c r="G1518" s="253"/>
      <c r="H1518" s="249">
        <v>10</v>
      </c>
    </row>
    <row r="1519" spans="2:8" ht="13.8" x14ac:dyDescent="0.25">
      <c r="B1519" s="248">
        <v>13142</v>
      </c>
      <c r="C1519" s="243" t="s">
        <v>3055</v>
      </c>
      <c r="D1519" s="253"/>
      <c r="E1519" s="253"/>
      <c r="F1519" s="253"/>
      <c r="G1519" s="253"/>
      <c r="H1519" s="249">
        <v>10</v>
      </c>
    </row>
    <row r="1520" spans="2:8" ht="14.4" thickBot="1" x14ac:dyDescent="0.3">
      <c r="B1520" s="250">
        <v>13143</v>
      </c>
      <c r="C1520" s="251" t="s">
        <v>3056</v>
      </c>
      <c r="D1520" s="265"/>
      <c r="E1520" s="265"/>
      <c r="F1520" s="265"/>
      <c r="G1520" s="265"/>
      <c r="H1520" s="252">
        <v>12</v>
      </c>
    </row>
    <row r="1521" spans="2:8" ht="13.8" thickBot="1" x14ac:dyDescent="0.3"/>
    <row r="1522" spans="2:8" ht="14.4" thickBot="1" x14ac:dyDescent="0.3">
      <c r="B1522" s="375" t="s">
        <v>3057</v>
      </c>
      <c r="C1522" s="376"/>
      <c r="D1522" s="376"/>
      <c r="E1522" s="376"/>
      <c r="F1522" s="376"/>
      <c r="G1522" s="376"/>
      <c r="H1522" s="377"/>
    </row>
    <row r="1523" spans="2:8" ht="14.4" thickBot="1" x14ac:dyDescent="0.3">
      <c r="B1523" s="396" t="s">
        <v>3058</v>
      </c>
      <c r="C1523" s="397"/>
      <c r="D1523" s="397"/>
      <c r="E1523" s="397"/>
      <c r="F1523" s="397"/>
      <c r="G1523" s="397"/>
      <c r="H1523" s="398"/>
    </row>
    <row r="1524" spans="2:8" ht="13.8" x14ac:dyDescent="0.25">
      <c r="B1524" s="245">
        <v>14101</v>
      </c>
      <c r="C1524" s="246" t="s">
        <v>3059</v>
      </c>
      <c r="D1524" s="266"/>
      <c r="E1524" s="266"/>
      <c r="F1524" s="266"/>
      <c r="G1524" s="266"/>
      <c r="H1524" s="247">
        <v>20</v>
      </c>
    </row>
    <row r="1525" spans="2:8" ht="13.8" x14ac:dyDescent="0.25">
      <c r="B1525" s="248">
        <v>14102</v>
      </c>
      <c r="C1525" s="243" t="s">
        <v>3060</v>
      </c>
      <c r="D1525" s="253"/>
      <c r="E1525" s="253"/>
      <c r="F1525" s="253"/>
      <c r="G1525" s="253"/>
      <c r="H1525" s="249">
        <v>12</v>
      </c>
    </row>
    <row r="1526" spans="2:8" ht="13.8" x14ac:dyDescent="0.25">
      <c r="B1526" s="248">
        <v>14103</v>
      </c>
      <c r="C1526" s="243" t="s">
        <v>3061</v>
      </c>
      <c r="D1526" s="253"/>
      <c r="E1526" s="253"/>
      <c r="F1526" s="253"/>
      <c r="G1526" s="253"/>
      <c r="H1526" s="249">
        <v>10</v>
      </c>
    </row>
    <row r="1527" spans="2:8" ht="13.8" x14ac:dyDescent="0.25">
      <c r="B1527" s="248">
        <v>14104</v>
      </c>
      <c r="C1527" s="243" t="s">
        <v>3062</v>
      </c>
      <c r="D1527" s="253"/>
      <c r="E1527" s="253"/>
      <c r="F1527" s="253"/>
      <c r="G1527" s="253"/>
      <c r="H1527" s="249">
        <v>12</v>
      </c>
    </row>
    <row r="1528" spans="2:8" ht="13.8" x14ac:dyDescent="0.25">
      <c r="B1528" s="248">
        <v>14105</v>
      </c>
      <c r="C1528" s="243" t="s">
        <v>3063</v>
      </c>
      <c r="D1528" s="253"/>
      <c r="E1528" s="253"/>
      <c r="F1528" s="253"/>
      <c r="G1528" s="253"/>
      <c r="H1528" s="249">
        <v>10</v>
      </c>
    </row>
    <row r="1529" spans="2:8" ht="13.8" x14ac:dyDescent="0.25">
      <c r="B1529" s="248">
        <v>14106</v>
      </c>
      <c r="C1529" s="243" t="s">
        <v>3064</v>
      </c>
      <c r="D1529" s="253"/>
      <c r="E1529" s="253"/>
      <c r="F1529" s="253"/>
      <c r="G1529" s="253"/>
      <c r="H1529" s="249">
        <v>13</v>
      </c>
    </row>
    <row r="1530" spans="2:8" ht="13.8" x14ac:dyDescent="0.25">
      <c r="B1530" s="248">
        <v>14107</v>
      </c>
      <c r="C1530" s="243" t="s">
        <v>3065</v>
      </c>
      <c r="D1530" s="253"/>
      <c r="E1530" s="253"/>
      <c r="F1530" s="253"/>
      <c r="G1530" s="253"/>
      <c r="H1530" s="249">
        <v>20</v>
      </c>
    </row>
    <row r="1531" spans="2:8" ht="13.8" x14ac:dyDescent="0.25">
      <c r="B1531" s="248">
        <v>14108</v>
      </c>
      <c r="C1531" s="243" t="s">
        <v>3066</v>
      </c>
      <c r="D1531" s="253"/>
      <c r="E1531" s="253"/>
      <c r="F1531" s="253"/>
      <c r="G1531" s="253"/>
      <c r="H1531" s="249">
        <v>13</v>
      </c>
    </row>
    <row r="1532" spans="2:8" ht="13.8" x14ac:dyDescent="0.25">
      <c r="B1532" s="248">
        <v>14109</v>
      </c>
      <c r="C1532" s="243" t="s">
        <v>3067</v>
      </c>
      <c r="D1532" s="253"/>
      <c r="E1532" s="253"/>
      <c r="F1532" s="253"/>
      <c r="G1532" s="253"/>
      <c r="H1532" s="249">
        <v>10</v>
      </c>
    </row>
    <row r="1533" spans="2:8" ht="13.8" x14ac:dyDescent="0.25">
      <c r="B1533" s="248">
        <v>14110</v>
      </c>
      <c r="C1533" s="243" t="s">
        <v>3068</v>
      </c>
      <c r="D1533" s="253"/>
      <c r="E1533" s="253"/>
      <c r="F1533" s="253"/>
      <c r="G1533" s="253"/>
      <c r="H1533" s="249">
        <v>13</v>
      </c>
    </row>
    <row r="1534" spans="2:8" ht="13.8" x14ac:dyDescent="0.25">
      <c r="B1534" s="248">
        <v>14111</v>
      </c>
      <c r="C1534" s="243" t="s">
        <v>3069</v>
      </c>
      <c r="D1534" s="253"/>
      <c r="E1534" s="253"/>
      <c r="F1534" s="253"/>
      <c r="G1534" s="253"/>
      <c r="H1534" s="249">
        <v>12</v>
      </c>
    </row>
    <row r="1535" spans="2:8" ht="13.8" x14ac:dyDescent="0.25">
      <c r="B1535" s="248">
        <v>14112</v>
      </c>
      <c r="C1535" s="243" t="s">
        <v>3070</v>
      </c>
      <c r="D1535" s="253"/>
      <c r="E1535" s="253"/>
      <c r="F1535" s="253"/>
      <c r="G1535" s="253"/>
      <c r="H1535" s="249">
        <v>8</v>
      </c>
    </row>
    <row r="1536" spans="2:8" ht="13.8" x14ac:dyDescent="0.25">
      <c r="B1536" s="248">
        <v>14113</v>
      </c>
      <c r="C1536" s="243" t="s">
        <v>3071</v>
      </c>
      <c r="D1536" s="253"/>
      <c r="E1536" s="253"/>
      <c r="F1536" s="253"/>
      <c r="G1536" s="253"/>
      <c r="H1536" s="249">
        <v>12</v>
      </c>
    </row>
    <row r="1537" spans="2:8" ht="13.8" x14ac:dyDescent="0.25">
      <c r="B1537" s="248">
        <v>14114</v>
      </c>
      <c r="C1537" s="243" t="s">
        <v>3072</v>
      </c>
      <c r="D1537" s="253"/>
      <c r="E1537" s="253"/>
      <c r="F1537" s="253"/>
      <c r="G1537" s="253"/>
      <c r="H1537" s="249">
        <v>22</v>
      </c>
    </row>
    <row r="1538" spans="2:8" ht="14.4" thickBot="1" x14ac:dyDescent="0.3">
      <c r="B1538" s="248">
        <v>14115</v>
      </c>
      <c r="C1538" s="243" t="s">
        <v>3073</v>
      </c>
      <c r="D1538" s="253"/>
      <c r="E1538" s="253"/>
      <c r="F1538" s="253"/>
      <c r="G1538" s="253"/>
      <c r="H1538" s="249">
        <v>8</v>
      </c>
    </row>
    <row r="1539" spans="2:8" ht="14.4" thickBot="1" x14ac:dyDescent="0.3">
      <c r="B1539" s="375" t="s">
        <v>3074</v>
      </c>
      <c r="C1539" s="376"/>
      <c r="D1539" s="376"/>
      <c r="E1539" s="376"/>
      <c r="F1539" s="376"/>
      <c r="G1539" s="376"/>
      <c r="H1539" s="377"/>
    </row>
    <row r="1540" spans="2:8" ht="13.8" x14ac:dyDescent="0.25">
      <c r="B1540" s="287" t="s">
        <v>1605</v>
      </c>
      <c r="C1540" s="244" t="s">
        <v>1625</v>
      </c>
      <c r="D1540" s="259"/>
      <c r="E1540" s="259"/>
      <c r="F1540" s="259"/>
      <c r="G1540" s="259"/>
      <c r="H1540" s="285" t="s">
        <v>1626</v>
      </c>
    </row>
    <row r="1541" spans="2:8" ht="13.8" x14ac:dyDescent="0.25">
      <c r="B1541" s="248">
        <v>14116</v>
      </c>
      <c r="C1541" s="243" t="s">
        <v>3075</v>
      </c>
      <c r="D1541" s="253"/>
      <c r="E1541" s="253"/>
      <c r="F1541" s="253"/>
      <c r="G1541" s="253"/>
      <c r="H1541" s="249">
        <v>8</v>
      </c>
    </row>
    <row r="1542" spans="2:8" ht="13.8" x14ac:dyDescent="0.25">
      <c r="B1542" s="248">
        <v>14117</v>
      </c>
      <c r="C1542" s="243" t="s">
        <v>3076</v>
      </c>
      <c r="D1542" s="253"/>
      <c r="E1542" s="253"/>
      <c r="F1542" s="253"/>
      <c r="G1542" s="253"/>
      <c r="H1542" s="249">
        <v>10</v>
      </c>
    </row>
    <row r="1543" spans="2:8" ht="13.8" x14ac:dyDescent="0.25">
      <c r="B1543" s="248">
        <v>14118</v>
      </c>
      <c r="C1543" s="243" t="s">
        <v>3077</v>
      </c>
      <c r="D1543" s="253"/>
      <c r="E1543" s="253"/>
      <c r="F1543" s="253"/>
      <c r="G1543" s="253"/>
      <c r="H1543" s="249">
        <v>13</v>
      </c>
    </row>
    <row r="1544" spans="2:8" ht="13.8" x14ac:dyDescent="0.25">
      <c r="B1544" s="248">
        <v>14119</v>
      </c>
      <c r="C1544" s="243" t="s">
        <v>3078</v>
      </c>
      <c r="D1544" s="253"/>
      <c r="E1544" s="253"/>
      <c r="F1544" s="253"/>
      <c r="G1544" s="253"/>
      <c r="H1544" s="249">
        <v>13</v>
      </c>
    </row>
    <row r="1545" spans="2:8" ht="13.8" x14ac:dyDescent="0.25">
      <c r="B1545" s="248">
        <v>14120</v>
      </c>
      <c r="C1545" s="243" t="s">
        <v>3079</v>
      </c>
      <c r="D1545" s="253"/>
      <c r="E1545" s="253"/>
      <c r="F1545" s="253"/>
      <c r="G1545" s="253"/>
      <c r="H1545" s="249">
        <v>20</v>
      </c>
    </row>
    <row r="1546" spans="2:8" ht="14.4" thickBot="1" x14ac:dyDescent="0.3">
      <c r="B1546" s="248">
        <v>14121</v>
      </c>
      <c r="C1546" s="243" t="s">
        <v>3080</v>
      </c>
      <c r="D1546" s="253"/>
      <c r="E1546" s="253"/>
      <c r="F1546" s="253"/>
      <c r="G1546" s="253"/>
      <c r="H1546" s="249">
        <v>22</v>
      </c>
    </row>
    <row r="1547" spans="2:8" ht="14.4" thickBot="1" x14ac:dyDescent="0.3">
      <c r="B1547" s="375" t="s">
        <v>3081</v>
      </c>
      <c r="C1547" s="376"/>
      <c r="D1547" s="376"/>
      <c r="E1547" s="376"/>
      <c r="F1547" s="376"/>
      <c r="G1547" s="376"/>
      <c r="H1547" s="377"/>
    </row>
    <row r="1548" spans="2:8" ht="13.8" x14ac:dyDescent="0.25">
      <c r="B1548" s="248">
        <v>14122</v>
      </c>
      <c r="C1548" s="243" t="s">
        <v>3082</v>
      </c>
      <c r="D1548" s="253"/>
      <c r="E1548" s="253"/>
      <c r="F1548" s="253"/>
      <c r="G1548" s="253"/>
      <c r="H1548" s="249">
        <v>8</v>
      </c>
    </row>
    <row r="1549" spans="2:8" ht="13.8" x14ac:dyDescent="0.25">
      <c r="B1549" s="248">
        <v>14123</v>
      </c>
      <c r="C1549" s="243" t="s">
        <v>3083</v>
      </c>
      <c r="D1549" s="253"/>
      <c r="E1549" s="253"/>
      <c r="F1549" s="253"/>
      <c r="G1549" s="253"/>
      <c r="H1549" s="249">
        <v>10</v>
      </c>
    </row>
    <row r="1550" spans="2:8" ht="13.8" x14ac:dyDescent="0.25">
      <c r="B1550" s="248">
        <v>14124</v>
      </c>
      <c r="C1550" s="243" t="s">
        <v>3084</v>
      </c>
      <c r="D1550" s="253"/>
      <c r="E1550" s="253"/>
      <c r="F1550" s="253"/>
      <c r="G1550" s="253"/>
      <c r="H1550" s="249">
        <v>12</v>
      </c>
    </row>
    <row r="1551" spans="2:8" ht="13.8" x14ac:dyDescent="0.25">
      <c r="B1551" s="248">
        <v>14125</v>
      </c>
      <c r="C1551" s="243" t="s">
        <v>3085</v>
      </c>
      <c r="D1551" s="253"/>
      <c r="E1551" s="253"/>
      <c r="F1551" s="253"/>
      <c r="G1551" s="253"/>
      <c r="H1551" s="249">
        <v>10</v>
      </c>
    </row>
    <row r="1552" spans="2:8" ht="13.8" x14ac:dyDescent="0.25">
      <c r="B1552" s="248">
        <v>14126</v>
      </c>
      <c r="C1552" s="243" t="s">
        <v>3086</v>
      </c>
      <c r="D1552" s="253"/>
      <c r="E1552" s="253"/>
      <c r="F1552" s="253"/>
      <c r="G1552" s="253"/>
      <c r="H1552" s="249">
        <v>8</v>
      </c>
    </row>
    <row r="1553" spans="2:8" ht="13.8" x14ac:dyDescent="0.25">
      <c r="B1553" s="248">
        <v>14127</v>
      </c>
      <c r="C1553" s="243" t="s">
        <v>3087</v>
      </c>
      <c r="D1553" s="253"/>
      <c r="E1553" s="253"/>
      <c r="F1553" s="253"/>
      <c r="G1553" s="253"/>
      <c r="H1553" s="249">
        <v>8</v>
      </c>
    </row>
    <row r="1554" spans="2:8" ht="13.8" x14ac:dyDescent="0.25">
      <c r="B1554" s="248">
        <v>14128</v>
      </c>
      <c r="C1554" s="243" t="s">
        <v>3088</v>
      </c>
      <c r="D1554" s="253"/>
      <c r="E1554" s="253"/>
      <c r="F1554" s="253"/>
      <c r="G1554" s="253"/>
      <c r="H1554" s="249">
        <v>8</v>
      </c>
    </row>
    <row r="1555" spans="2:8" ht="14.4" thickBot="1" x14ac:dyDescent="0.3">
      <c r="B1555" s="248">
        <v>14129</v>
      </c>
      <c r="C1555" s="243" t="s">
        <v>3089</v>
      </c>
      <c r="D1555" s="253"/>
      <c r="E1555" s="253"/>
      <c r="F1555" s="253"/>
      <c r="G1555" s="253"/>
      <c r="H1555" s="249">
        <v>10</v>
      </c>
    </row>
    <row r="1556" spans="2:8" ht="14.4" thickBot="1" x14ac:dyDescent="0.3">
      <c r="B1556" s="375" t="s">
        <v>3090</v>
      </c>
      <c r="C1556" s="376"/>
      <c r="D1556" s="376"/>
      <c r="E1556" s="376"/>
      <c r="F1556" s="376"/>
      <c r="G1556" s="376"/>
      <c r="H1556" s="377"/>
    </row>
    <row r="1557" spans="2:8" ht="13.8" x14ac:dyDescent="0.25">
      <c r="B1557" s="245">
        <v>14130</v>
      </c>
      <c r="C1557" s="246" t="s">
        <v>3091</v>
      </c>
      <c r="D1557" s="266"/>
      <c r="E1557" s="266"/>
      <c r="F1557" s="266"/>
      <c r="G1557" s="266"/>
      <c r="H1557" s="247">
        <v>8</v>
      </c>
    </row>
    <row r="1558" spans="2:8" ht="13.8" x14ac:dyDescent="0.25">
      <c r="B1558" s="248">
        <v>14131</v>
      </c>
      <c r="C1558" s="243" t="s">
        <v>3092</v>
      </c>
      <c r="D1558" s="253"/>
      <c r="E1558" s="253"/>
      <c r="F1558" s="253"/>
      <c r="G1558" s="253"/>
      <c r="H1558" s="249">
        <v>10</v>
      </c>
    </row>
    <row r="1559" spans="2:8" ht="13.8" x14ac:dyDescent="0.25">
      <c r="B1559" s="248">
        <v>14132</v>
      </c>
      <c r="C1559" s="243" t="s">
        <v>3093</v>
      </c>
      <c r="D1559" s="253"/>
      <c r="E1559" s="253"/>
      <c r="F1559" s="253"/>
      <c r="G1559" s="253"/>
      <c r="H1559" s="249">
        <v>8</v>
      </c>
    </row>
    <row r="1560" spans="2:8" ht="13.8" x14ac:dyDescent="0.25">
      <c r="B1560" s="248">
        <v>14133</v>
      </c>
      <c r="C1560" s="243" t="s">
        <v>3094</v>
      </c>
      <c r="D1560" s="253"/>
      <c r="E1560" s="253"/>
      <c r="F1560" s="253"/>
      <c r="G1560" s="253"/>
      <c r="H1560" s="249">
        <v>10</v>
      </c>
    </row>
    <row r="1561" spans="2:8" ht="13.8" x14ac:dyDescent="0.25">
      <c r="B1561" s="248">
        <v>14134</v>
      </c>
      <c r="C1561" s="243" t="s">
        <v>3095</v>
      </c>
      <c r="D1561" s="253"/>
      <c r="E1561" s="253"/>
      <c r="F1561" s="253"/>
      <c r="G1561" s="253"/>
      <c r="H1561" s="249">
        <v>10</v>
      </c>
    </row>
    <row r="1562" spans="2:8" ht="13.8" x14ac:dyDescent="0.25">
      <c r="B1562" s="248">
        <v>14135</v>
      </c>
      <c r="C1562" s="243" t="s">
        <v>3096</v>
      </c>
      <c r="D1562" s="253"/>
      <c r="E1562" s="253"/>
      <c r="F1562" s="253"/>
      <c r="G1562" s="253"/>
      <c r="H1562" s="249">
        <v>8</v>
      </c>
    </row>
    <row r="1563" spans="2:8" ht="13.8" x14ac:dyDescent="0.25">
      <c r="B1563" s="248">
        <v>14136</v>
      </c>
      <c r="C1563" s="243" t="s">
        <v>3097</v>
      </c>
      <c r="D1563" s="253"/>
      <c r="E1563" s="253"/>
      <c r="F1563" s="253"/>
      <c r="G1563" s="253"/>
      <c r="H1563" s="249">
        <v>8</v>
      </c>
    </row>
    <row r="1564" spans="2:8" ht="14.4" thickBot="1" x14ac:dyDescent="0.3">
      <c r="B1564" s="250">
        <v>14137</v>
      </c>
      <c r="C1564" s="251" t="s">
        <v>3098</v>
      </c>
      <c r="D1564" s="265"/>
      <c r="E1564" s="265"/>
      <c r="F1564" s="265"/>
      <c r="G1564" s="265"/>
      <c r="H1564" s="252">
        <v>12</v>
      </c>
    </row>
    <row r="1565" spans="2:8" ht="14.4" thickBot="1" x14ac:dyDescent="0.3">
      <c r="B1565" s="1"/>
      <c r="C1565" s="1"/>
      <c r="D1565" s="1"/>
    </row>
    <row r="1566" spans="2:8" ht="14.4" thickBot="1" x14ac:dyDescent="0.3">
      <c r="B1566" s="375" t="s">
        <v>3099</v>
      </c>
      <c r="C1566" s="376"/>
      <c r="D1566" s="376"/>
      <c r="E1566" s="376"/>
      <c r="F1566" s="376"/>
      <c r="G1566" s="376"/>
      <c r="H1566" s="377"/>
    </row>
    <row r="1567" spans="2:8" ht="13.2" customHeight="1" x14ac:dyDescent="0.25">
      <c r="B1567" s="369" t="s">
        <v>3100</v>
      </c>
      <c r="C1567" s="372"/>
      <c r="D1567" s="372"/>
      <c r="E1567" s="372"/>
      <c r="F1567" s="372"/>
      <c r="G1567" s="372"/>
      <c r="H1567" s="393"/>
    </row>
    <row r="1568" spans="2:8" ht="13.8" customHeight="1" x14ac:dyDescent="0.25">
      <c r="B1568" s="370"/>
      <c r="C1568" s="373"/>
      <c r="D1568" s="373"/>
      <c r="E1568" s="373"/>
      <c r="F1568" s="373"/>
      <c r="G1568" s="373"/>
      <c r="H1568" s="394"/>
    </row>
    <row r="1569" spans="2:8" ht="13.8" customHeight="1" thickBot="1" x14ac:dyDescent="0.3">
      <c r="B1569" s="371"/>
      <c r="C1569" s="374"/>
      <c r="D1569" s="374"/>
      <c r="E1569" s="374"/>
      <c r="F1569" s="374"/>
      <c r="G1569" s="374"/>
      <c r="H1569" s="395"/>
    </row>
    <row r="1570" spans="2:8" ht="13.8" thickBot="1" x14ac:dyDescent="0.3"/>
    <row r="1571" spans="2:8" ht="14.4" thickBot="1" x14ac:dyDescent="0.3">
      <c r="B1571" s="305" t="s">
        <v>1605</v>
      </c>
      <c r="C1571" s="306" t="s">
        <v>3101</v>
      </c>
      <c r="D1571" s="307"/>
      <c r="E1571" s="307"/>
      <c r="F1571" s="307"/>
      <c r="G1571" s="307"/>
      <c r="H1571" s="308" t="s">
        <v>3102</v>
      </c>
    </row>
    <row r="1572" spans="2:8" ht="13.8" x14ac:dyDescent="0.25">
      <c r="B1572" s="287">
        <v>15101</v>
      </c>
      <c r="C1572" s="244" t="s">
        <v>3103</v>
      </c>
      <c r="D1572" s="259"/>
      <c r="E1572" s="259"/>
      <c r="F1572" s="259"/>
      <c r="G1572" s="259"/>
      <c r="H1572" s="285">
        <v>6</v>
      </c>
    </row>
    <row r="1573" spans="2:8" ht="13.8" x14ac:dyDescent="0.25">
      <c r="B1573" s="248">
        <v>15102</v>
      </c>
      <c r="C1573" s="243" t="s">
        <v>3104</v>
      </c>
      <c r="D1573" s="253"/>
      <c r="E1573" s="253"/>
      <c r="F1573" s="253"/>
      <c r="G1573" s="253"/>
      <c r="H1573" s="249">
        <v>8</v>
      </c>
    </row>
    <row r="1574" spans="2:8" ht="13.8" x14ac:dyDescent="0.25">
      <c r="B1574" s="248">
        <v>15103</v>
      </c>
      <c r="C1574" s="243" t="s">
        <v>3105</v>
      </c>
      <c r="D1574" s="253"/>
      <c r="E1574" s="253"/>
      <c r="F1574" s="253"/>
      <c r="G1574" s="253"/>
      <c r="H1574" s="249">
        <v>10</v>
      </c>
    </row>
    <row r="1575" spans="2:8" ht="13.8" x14ac:dyDescent="0.25">
      <c r="B1575" s="248">
        <v>15104</v>
      </c>
      <c r="C1575" s="243" t="s">
        <v>3106</v>
      </c>
      <c r="D1575" s="253"/>
      <c r="E1575" s="253"/>
      <c r="F1575" s="253"/>
      <c r="G1575" s="253"/>
      <c r="H1575" s="249">
        <v>12</v>
      </c>
    </row>
    <row r="1576" spans="2:8" ht="13.8" x14ac:dyDescent="0.25">
      <c r="B1576" s="248">
        <v>15105</v>
      </c>
      <c r="C1576" s="243" t="s">
        <v>3107</v>
      </c>
      <c r="D1576" s="253"/>
      <c r="E1576" s="253"/>
      <c r="F1576" s="253"/>
      <c r="G1576" s="253"/>
      <c r="H1576" s="249">
        <v>14</v>
      </c>
    </row>
    <row r="1577" spans="2:8" ht="13.8" x14ac:dyDescent="0.25">
      <c r="B1577" s="248">
        <v>15106</v>
      </c>
      <c r="C1577" s="243" t="s">
        <v>3108</v>
      </c>
      <c r="D1577" s="253"/>
      <c r="E1577" s="253"/>
      <c r="F1577" s="253"/>
      <c r="G1577" s="253"/>
      <c r="H1577" s="249">
        <v>16</v>
      </c>
    </row>
    <row r="1578" spans="2:8" ht="13.8" x14ac:dyDescent="0.25">
      <c r="B1578" s="248">
        <v>15107</v>
      </c>
      <c r="C1578" s="243" t="s">
        <v>3109</v>
      </c>
      <c r="D1578" s="253"/>
      <c r="E1578" s="253"/>
      <c r="F1578" s="253"/>
      <c r="G1578" s="253"/>
      <c r="H1578" s="249">
        <v>18</v>
      </c>
    </row>
    <row r="1579" spans="2:8" ht="13.8" x14ac:dyDescent="0.25">
      <c r="B1579" s="248">
        <v>15108</v>
      </c>
      <c r="C1579" s="243" t="s">
        <v>3110</v>
      </c>
      <c r="D1579" s="253"/>
      <c r="E1579" s="253"/>
      <c r="F1579" s="253"/>
      <c r="G1579" s="253"/>
      <c r="H1579" s="249">
        <v>20</v>
      </c>
    </row>
    <row r="1580" spans="2:8" ht="13.8" x14ac:dyDescent="0.25">
      <c r="B1580" s="248">
        <v>15109</v>
      </c>
      <c r="C1580" s="243" t="s">
        <v>3111</v>
      </c>
      <c r="D1580" s="253"/>
      <c r="E1580" s="253"/>
      <c r="F1580" s="253"/>
      <c r="G1580" s="253"/>
      <c r="H1580" s="249">
        <v>23</v>
      </c>
    </row>
    <row r="1581" spans="2:8" ht="13.8" x14ac:dyDescent="0.25">
      <c r="B1581" s="248">
        <v>15110</v>
      </c>
      <c r="C1581" s="243" t="s">
        <v>3112</v>
      </c>
      <c r="D1581" s="253"/>
      <c r="E1581" s="253"/>
      <c r="F1581" s="253"/>
      <c r="G1581" s="253"/>
      <c r="H1581" s="249" t="s">
        <v>3113</v>
      </c>
    </row>
    <row r="1582" spans="2:8" ht="13.8" x14ac:dyDescent="0.25">
      <c r="B1582" s="248">
        <v>15111</v>
      </c>
      <c r="C1582" s="243" t="s">
        <v>3114</v>
      </c>
      <c r="D1582" s="253"/>
      <c r="E1582" s="253"/>
      <c r="F1582" s="253"/>
      <c r="G1582" s="253"/>
      <c r="H1582" s="249" t="s">
        <v>3115</v>
      </c>
    </row>
    <row r="1583" spans="2:8" ht="13.8" x14ac:dyDescent="0.25">
      <c r="B1583" s="248">
        <v>15112</v>
      </c>
      <c r="C1583" s="243" t="s">
        <v>3116</v>
      </c>
      <c r="D1583" s="253"/>
      <c r="E1583" s="253"/>
      <c r="F1583" s="253"/>
      <c r="G1583" s="253"/>
      <c r="H1583" s="249">
        <v>6</v>
      </c>
    </row>
    <row r="1584" spans="2:8" ht="13.8" x14ac:dyDescent="0.25">
      <c r="B1584" s="248">
        <v>15113</v>
      </c>
      <c r="C1584" s="243" t="s">
        <v>3117</v>
      </c>
      <c r="D1584" s="253"/>
      <c r="E1584" s="253"/>
      <c r="F1584" s="253"/>
      <c r="G1584" s="253"/>
      <c r="H1584" s="249" t="s">
        <v>3118</v>
      </c>
    </row>
    <row r="1585" spans="2:8" ht="14.4" thickBot="1" x14ac:dyDescent="0.3">
      <c r="B1585" s="250">
        <v>15114</v>
      </c>
      <c r="C1585" s="251" t="s">
        <v>3119</v>
      </c>
      <c r="D1585" s="265"/>
      <c r="E1585" s="265"/>
      <c r="F1585" s="265"/>
      <c r="G1585" s="265"/>
      <c r="H1585" s="252" t="s">
        <v>3120</v>
      </c>
    </row>
    <row r="1586" spans="2:8" ht="14.4" thickBot="1" x14ac:dyDescent="0.3">
      <c r="B1586" s="1"/>
      <c r="C1586" s="1"/>
      <c r="D1586" s="1"/>
    </row>
    <row r="1587" spans="2:8" x14ac:dyDescent="0.25">
      <c r="B1587" s="369" t="s">
        <v>3121</v>
      </c>
      <c r="C1587" s="372"/>
      <c r="D1587" s="372"/>
      <c r="E1587" s="372"/>
      <c r="F1587" s="372"/>
      <c r="G1587" s="372"/>
      <c r="H1587" s="393"/>
    </row>
    <row r="1588" spans="2:8" x14ac:dyDescent="0.25">
      <c r="B1588" s="370"/>
      <c r="C1588" s="373"/>
      <c r="D1588" s="373"/>
      <c r="E1588" s="373"/>
      <c r="F1588" s="373"/>
      <c r="G1588" s="373"/>
      <c r="H1588" s="394"/>
    </row>
    <row r="1589" spans="2:8" ht="13.8" thickBot="1" x14ac:dyDescent="0.3">
      <c r="B1589" s="371"/>
      <c r="C1589" s="374"/>
      <c r="D1589" s="374"/>
      <c r="E1589" s="374"/>
      <c r="F1589" s="374"/>
      <c r="G1589" s="374"/>
      <c r="H1589" s="395"/>
    </row>
    <row r="1590" spans="2:8" x14ac:dyDescent="0.25">
      <c r="B1590" s="369" t="s">
        <v>3122</v>
      </c>
      <c r="C1590" s="372"/>
      <c r="D1590" s="372"/>
      <c r="E1590" s="372"/>
      <c r="F1590" s="372"/>
      <c r="G1590" s="372"/>
      <c r="H1590" s="393"/>
    </row>
    <row r="1591" spans="2:8" x14ac:dyDescent="0.25">
      <c r="B1591" s="370"/>
      <c r="C1591" s="373"/>
      <c r="D1591" s="373"/>
      <c r="E1591" s="373"/>
      <c r="F1591" s="373"/>
      <c r="G1591" s="373"/>
      <c r="H1591" s="394"/>
    </row>
    <row r="1592" spans="2:8" ht="13.8" thickBot="1" x14ac:dyDescent="0.3">
      <c r="B1592" s="371"/>
      <c r="C1592" s="374"/>
      <c r="D1592" s="374"/>
      <c r="E1592" s="374"/>
      <c r="F1592" s="374"/>
      <c r="G1592" s="374"/>
      <c r="H1592" s="395"/>
    </row>
    <row r="1593" spans="2:8" x14ac:dyDescent="0.25">
      <c r="B1593" s="369" t="s">
        <v>3123</v>
      </c>
      <c r="C1593" s="372"/>
      <c r="D1593" s="372"/>
      <c r="E1593" s="372"/>
      <c r="F1593" s="372"/>
      <c r="G1593" s="372"/>
      <c r="H1593" s="393"/>
    </row>
    <row r="1594" spans="2:8" x14ac:dyDescent="0.25">
      <c r="B1594" s="370"/>
      <c r="C1594" s="373"/>
      <c r="D1594" s="373"/>
      <c r="E1594" s="373"/>
      <c r="F1594" s="373"/>
      <c r="G1594" s="373"/>
      <c r="H1594" s="394"/>
    </row>
    <row r="1595" spans="2:8" ht="13.8" thickBot="1" x14ac:dyDescent="0.3">
      <c r="B1595" s="371"/>
      <c r="C1595" s="374"/>
      <c r="D1595" s="374"/>
      <c r="E1595" s="374"/>
      <c r="F1595" s="374"/>
      <c r="G1595" s="374"/>
      <c r="H1595" s="395"/>
    </row>
    <row r="1596" spans="2:8" x14ac:dyDescent="0.25">
      <c r="B1596" s="369" t="s">
        <v>3124</v>
      </c>
      <c r="C1596" s="372"/>
      <c r="D1596" s="372"/>
      <c r="E1596" s="372"/>
      <c r="F1596" s="372"/>
      <c r="G1596" s="372"/>
      <c r="H1596" s="393"/>
    </row>
    <row r="1597" spans="2:8" x14ac:dyDescent="0.25">
      <c r="B1597" s="370"/>
      <c r="C1597" s="373"/>
      <c r="D1597" s="373"/>
      <c r="E1597" s="373"/>
      <c r="F1597" s="373"/>
      <c r="G1597" s="373"/>
      <c r="H1597" s="394"/>
    </row>
    <row r="1598" spans="2:8" ht="13.8" thickBot="1" x14ac:dyDescent="0.3">
      <c r="B1598" s="371"/>
      <c r="C1598" s="374"/>
      <c r="D1598" s="374"/>
      <c r="E1598" s="374"/>
      <c r="F1598" s="374"/>
      <c r="G1598" s="374"/>
      <c r="H1598" s="395"/>
    </row>
    <row r="1599" spans="2:8" ht="13.8" thickBot="1" x14ac:dyDescent="0.3"/>
    <row r="1600" spans="2:8" ht="14.4" thickBot="1" x14ac:dyDescent="0.3">
      <c r="B1600" s="375" t="s">
        <v>3125</v>
      </c>
      <c r="C1600" s="376"/>
      <c r="D1600" s="376"/>
      <c r="E1600" s="376"/>
      <c r="F1600" s="376"/>
      <c r="G1600" s="376"/>
      <c r="H1600" s="377"/>
    </row>
    <row r="1601" spans="2:8" x14ac:dyDescent="0.25">
      <c r="B1601" s="369" t="s">
        <v>3154</v>
      </c>
      <c r="C1601" s="372"/>
      <c r="D1601" s="372"/>
      <c r="E1601" s="372"/>
      <c r="F1601" s="372"/>
      <c r="G1601" s="372"/>
      <c r="H1601" s="393"/>
    </row>
    <row r="1602" spans="2:8" x14ac:dyDescent="0.25">
      <c r="B1602" s="370"/>
      <c r="C1602" s="373"/>
      <c r="D1602" s="373"/>
      <c r="E1602" s="373"/>
      <c r="F1602" s="373"/>
      <c r="G1602" s="373"/>
      <c r="H1602" s="394"/>
    </row>
    <row r="1603" spans="2:8" ht="13.8" thickBot="1" x14ac:dyDescent="0.3">
      <c r="B1603" s="371"/>
      <c r="C1603" s="374"/>
      <c r="D1603" s="374"/>
      <c r="E1603" s="374"/>
      <c r="F1603" s="374"/>
      <c r="G1603" s="374"/>
      <c r="H1603" s="395"/>
    </row>
    <row r="1604" spans="2:8" ht="13.8" thickBot="1" x14ac:dyDescent="0.3"/>
    <row r="1605" spans="2:8" ht="14.4" thickBot="1" x14ac:dyDescent="0.3">
      <c r="B1605" s="375" t="s">
        <v>3126</v>
      </c>
      <c r="C1605" s="376"/>
      <c r="D1605" s="376"/>
      <c r="E1605" s="376"/>
      <c r="F1605" s="376"/>
      <c r="G1605" s="376"/>
      <c r="H1605" s="377"/>
    </row>
    <row r="1606" spans="2:8" ht="14.4" thickBot="1" x14ac:dyDescent="0.3">
      <c r="B1606" s="310" t="s">
        <v>1605</v>
      </c>
      <c r="C1606" s="21" t="s">
        <v>1625</v>
      </c>
      <c r="D1606" s="261"/>
      <c r="E1606" s="261"/>
      <c r="F1606" s="261"/>
      <c r="G1606" s="261"/>
      <c r="H1606" s="309" t="s">
        <v>1626</v>
      </c>
    </row>
    <row r="1607" spans="2:8" ht="13.8" x14ac:dyDescent="0.25">
      <c r="B1607" s="244">
        <v>16101</v>
      </c>
      <c r="C1607" s="244" t="s">
        <v>3127</v>
      </c>
      <c r="D1607" s="259"/>
      <c r="E1607" s="259"/>
      <c r="F1607" s="259"/>
      <c r="G1607" s="259"/>
      <c r="H1607" s="244">
        <v>4</v>
      </c>
    </row>
    <row r="1608" spans="2:8" ht="13.8" x14ac:dyDescent="0.25">
      <c r="B1608" s="243">
        <v>16102</v>
      </c>
      <c r="C1608" s="243" t="s">
        <v>3128</v>
      </c>
      <c r="D1608" s="253"/>
      <c r="E1608" s="253"/>
      <c r="F1608" s="253"/>
      <c r="G1608" s="253"/>
      <c r="H1608" s="243">
        <v>6</v>
      </c>
    </row>
    <row r="1609" spans="2:8" ht="13.8" x14ac:dyDescent="0.25">
      <c r="B1609" s="243">
        <v>16103</v>
      </c>
      <c r="C1609" s="243" t="s">
        <v>3129</v>
      </c>
      <c r="D1609" s="253"/>
      <c r="E1609" s="253"/>
      <c r="F1609" s="253"/>
      <c r="G1609" s="253"/>
      <c r="H1609" s="243">
        <v>8</v>
      </c>
    </row>
    <row r="1610" spans="2:8" ht="13.8" x14ac:dyDescent="0.25">
      <c r="B1610" s="243">
        <v>16104</v>
      </c>
      <c r="C1610" s="243" t="s">
        <v>3130</v>
      </c>
      <c r="D1610" s="253"/>
      <c r="E1610" s="253"/>
      <c r="F1610" s="253"/>
      <c r="G1610" s="253"/>
      <c r="H1610" s="243">
        <v>4</v>
      </c>
    </row>
    <row r="1611" spans="2:8" ht="13.8" x14ac:dyDescent="0.25">
      <c r="B1611" s="243">
        <v>16105</v>
      </c>
      <c r="C1611" s="243" t="s">
        <v>3131</v>
      </c>
      <c r="D1611" s="253"/>
      <c r="E1611" s="253"/>
      <c r="F1611" s="253"/>
      <c r="G1611" s="253"/>
      <c r="H1611" s="243">
        <v>4</v>
      </c>
    </row>
    <row r="1612" spans="2:8" ht="13.8" x14ac:dyDescent="0.25">
      <c r="B1612" s="243">
        <v>16106</v>
      </c>
      <c r="C1612" s="243" t="s">
        <v>3132</v>
      </c>
      <c r="D1612" s="253"/>
      <c r="E1612" s="253"/>
      <c r="F1612" s="253"/>
      <c r="G1612" s="253"/>
      <c r="H1612" s="243">
        <v>6</v>
      </c>
    </row>
    <row r="1613" spans="2:8" ht="13.8" x14ac:dyDescent="0.25">
      <c r="B1613" s="243">
        <v>16107</v>
      </c>
      <c r="C1613" s="243" t="s">
        <v>3133</v>
      </c>
      <c r="D1613" s="253"/>
      <c r="E1613" s="253"/>
      <c r="F1613" s="253"/>
      <c r="G1613" s="253"/>
      <c r="H1613" s="243">
        <v>8</v>
      </c>
    </row>
    <row r="1614" spans="2:8" ht="13.8" x14ac:dyDescent="0.25">
      <c r="B1614" s="243">
        <v>16108</v>
      </c>
      <c r="C1614" s="243" t="s">
        <v>3134</v>
      </c>
      <c r="D1614" s="253"/>
      <c r="E1614" s="253"/>
      <c r="F1614" s="253"/>
      <c r="G1614" s="253"/>
      <c r="H1614" s="243">
        <v>10</v>
      </c>
    </row>
    <row r="1615" spans="2:8" ht="13.8" x14ac:dyDescent="0.25">
      <c r="B1615" s="243">
        <v>16109</v>
      </c>
      <c r="C1615" s="243" t="s">
        <v>3135</v>
      </c>
      <c r="D1615" s="253"/>
      <c r="E1615" s="253"/>
      <c r="F1615" s="253"/>
      <c r="G1615" s="253"/>
      <c r="H1615" s="243">
        <v>12</v>
      </c>
    </row>
    <row r="1616" spans="2:8" ht="13.8" x14ac:dyDescent="0.25">
      <c r="B1616" s="243">
        <v>16110</v>
      </c>
      <c r="C1616" s="243" t="s">
        <v>3136</v>
      </c>
      <c r="D1616" s="253"/>
      <c r="E1616" s="253"/>
      <c r="F1616" s="253"/>
      <c r="G1616" s="253"/>
      <c r="H1616" s="243">
        <v>8</v>
      </c>
    </row>
    <row r="1617" spans="2:8" ht="13.8" x14ac:dyDescent="0.25">
      <c r="B1617" s="243">
        <v>16111</v>
      </c>
      <c r="C1617" s="243" t="s">
        <v>3137</v>
      </c>
      <c r="D1617" s="253"/>
      <c r="E1617" s="253"/>
      <c r="F1617" s="253"/>
      <c r="G1617" s="253"/>
      <c r="H1617" s="243">
        <v>20</v>
      </c>
    </row>
    <row r="1618" spans="2:8" ht="13.8" x14ac:dyDescent="0.25">
      <c r="B1618" s="243">
        <v>16112</v>
      </c>
      <c r="C1618" s="243" t="s">
        <v>3138</v>
      </c>
      <c r="D1618" s="253"/>
      <c r="E1618" s="253"/>
      <c r="F1618" s="253"/>
      <c r="G1618" s="253"/>
      <c r="H1618" s="243">
        <v>13</v>
      </c>
    </row>
    <row r="1619" spans="2:8" ht="13.8" x14ac:dyDescent="0.25">
      <c r="B1619" s="243">
        <v>16113</v>
      </c>
      <c r="C1619" s="243" t="s">
        <v>3139</v>
      </c>
      <c r="D1619" s="253"/>
      <c r="E1619" s="253"/>
      <c r="F1619" s="253"/>
      <c r="G1619" s="253"/>
      <c r="H1619" s="243">
        <v>8</v>
      </c>
    </row>
    <row r="1620" spans="2:8" ht="13.8" x14ac:dyDescent="0.25">
      <c r="B1620" s="243">
        <v>16114</v>
      </c>
      <c r="C1620" s="243" t="s">
        <v>3140</v>
      </c>
      <c r="D1620" s="253"/>
      <c r="E1620" s="253"/>
      <c r="F1620" s="253"/>
      <c r="G1620" s="253"/>
      <c r="H1620" s="243">
        <v>6</v>
      </c>
    </row>
    <row r="1621" spans="2:8" ht="13.8" x14ac:dyDescent="0.25">
      <c r="B1621" s="243">
        <v>16115</v>
      </c>
      <c r="C1621" s="243" t="s">
        <v>3141</v>
      </c>
      <c r="D1621" s="253"/>
      <c r="E1621" s="253"/>
      <c r="F1621" s="253"/>
      <c r="G1621" s="253"/>
      <c r="H1621" s="243">
        <v>10</v>
      </c>
    </row>
    <row r="1622" spans="2:8" ht="13.8" x14ac:dyDescent="0.25">
      <c r="B1622" s="243">
        <v>16116</v>
      </c>
      <c r="C1622" s="243" t="s">
        <v>3142</v>
      </c>
      <c r="D1622" s="253"/>
      <c r="E1622" s="253"/>
      <c r="F1622" s="253"/>
      <c r="G1622" s="253"/>
      <c r="H1622" s="243">
        <v>4</v>
      </c>
    </row>
    <row r="1623" spans="2:8" ht="13.8" x14ac:dyDescent="0.25">
      <c r="B1623" s="243">
        <v>16117</v>
      </c>
      <c r="C1623" s="243" t="s">
        <v>3143</v>
      </c>
      <c r="D1623" s="253"/>
      <c r="E1623" s="253"/>
      <c r="F1623" s="253"/>
      <c r="G1623" s="253"/>
      <c r="H1623" s="243">
        <v>4</v>
      </c>
    </row>
    <row r="1624" spans="2:8" ht="13.8" x14ac:dyDescent="0.25">
      <c r="B1624" s="243">
        <v>16118</v>
      </c>
      <c r="C1624" s="243" t="s">
        <v>3144</v>
      </c>
      <c r="D1624" s="253"/>
      <c r="E1624" s="253"/>
      <c r="F1624" s="253"/>
      <c r="G1624" s="253"/>
      <c r="H1624" s="243">
        <v>4</v>
      </c>
    </row>
    <row r="1625" spans="2:8" ht="13.8" x14ac:dyDescent="0.25">
      <c r="B1625" s="243">
        <v>16119</v>
      </c>
      <c r="C1625" s="243" t="s">
        <v>3145</v>
      </c>
      <c r="D1625" s="253"/>
      <c r="E1625" s="253"/>
      <c r="F1625" s="253"/>
      <c r="G1625" s="253"/>
      <c r="H1625" s="243">
        <v>10</v>
      </c>
    </row>
    <row r="1626" spans="2:8" ht="13.8" x14ac:dyDescent="0.25">
      <c r="B1626" s="243">
        <v>16120</v>
      </c>
      <c r="C1626" s="243" t="s">
        <v>3146</v>
      </c>
      <c r="D1626" s="253"/>
      <c r="E1626" s="253"/>
      <c r="F1626" s="253"/>
      <c r="G1626" s="253"/>
      <c r="H1626" s="243">
        <v>12</v>
      </c>
    </row>
    <row r="1627" spans="2:8" ht="13.8" x14ac:dyDescent="0.25">
      <c r="B1627" s="243">
        <v>16121</v>
      </c>
      <c r="C1627" s="243" t="s">
        <v>3147</v>
      </c>
      <c r="D1627" s="253"/>
      <c r="E1627" s="253"/>
      <c r="F1627" s="253"/>
      <c r="G1627" s="253"/>
      <c r="H1627" s="243">
        <v>10</v>
      </c>
    </row>
    <row r="1628" spans="2:8" ht="13.8" x14ac:dyDescent="0.25">
      <c r="B1628" s="243">
        <v>16122</v>
      </c>
      <c r="C1628" s="243" t="s">
        <v>3148</v>
      </c>
      <c r="D1628" s="253"/>
      <c r="E1628" s="253"/>
      <c r="F1628" s="253"/>
      <c r="G1628" s="253"/>
      <c r="H1628" s="243">
        <v>8</v>
      </c>
    </row>
    <row r="1629" spans="2:8" ht="13.8" x14ac:dyDescent="0.25">
      <c r="B1629" s="243">
        <v>16123</v>
      </c>
      <c r="C1629" s="243" t="s">
        <v>3149</v>
      </c>
      <c r="D1629" s="253"/>
      <c r="E1629" s="253"/>
      <c r="F1629" s="253"/>
      <c r="G1629" s="253"/>
      <c r="H1629" s="243">
        <v>8</v>
      </c>
    </row>
    <row r="1630" spans="2:8" ht="13.8" x14ac:dyDescent="0.25">
      <c r="B1630" s="243">
        <v>16124</v>
      </c>
      <c r="C1630" s="243" t="s">
        <v>3150</v>
      </c>
      <c r="D1630" s="253"/>
      <c r="E1630" s="253"/>
      <c r="F1630" s="253"/>
      <c r="G1630" s="253"/>
      <c r="H1630" s="243" t="s">
        <v>3151</v>
      </c>
    </row>
    <row r="1631" spans="2:8" ht="14.4" thickBot="1" x14ac:dyDescent="0.3">
      <c r="B1631" s="1"/>
      <c r="C1631" s="1"/>
      <c r="D1631" s="1"/>
    </row>
    <row r="1632" spans="2:8" ht="14.4" thickBot="1" x14ac:dyDescent="0.3">
      <c r="B1632" s="375" t="s">
        <v>3152</v>
      </c>
      <c r="C1632" s="376"/>
      <c r="D1632" s="376"/>
      <c r="E1632" s="376"/>
      <c r="F1632" s="376"/>
      <c r="G1632" s="376"/>
      <c r="H1632" s="377"/>
    </row>
    <row r="1633" spans="2:8" ht="13.8" thickBot="1" x14ac:dyDescent="0.3"/>
    <row r="1634" spans="2:8" ht="13.2" customHeight="1" x14ac:dyDescent="0.25">
      <c r="B1634" s="369" t="s">
        <v>3153</v>
      </c>
      <c r="C1634" s="372"/>
      <c r="D1634" s="372"/>
      <c r="E1634" s="372"/>
      <c r="F1634" s="372"/>
      <c r="G1634" s="372"/>
      <c r="H1634" s="393"/>
    </row>
    <row r="1635" spans="2:8" ht="13.2" customHeight="1" x14ac:dyDescent="0.25">
      <c r="B1635" s="370"/>
      <c r="C1635" s="373"/>
      <c r="D1635" s="373"/>
      <c r="E1635" s="373"/>
      <c r="F1635" s="373"/>
      <c r="G1635" s="373"/>
      <c r="H1635" s="394"/>
    </row>
    <row r="1636" spans="2:8" ht="13.8" customHeight="1" x14ac:dyDescent="0.25">
      <c r="B1636" s="370"/>
      <c r="C1636" s="373"/>
      <c r="D1636" s="373"/>
      <c r="E1636" s="373"/>
      <c r="F1636" s="373"/>
      <c r="G1636" s="373"/>
      <c r="H1636" s="394"/>
    </row>
    <row r="1637" spans="2:8" ht="13.8" thickBot="1" x14ac:dyDescent="0.3">
      <c r="B1637" s="371"/>
      <c r="C1637" s="374"/>
      <c r="D1637" s="374"/>
      <c r="E1637" s="374"/>
      <c r="F1637" s="374"/>
      <c r="G1637" s="374"/>
      <c r="H1637" s="395"/>
    </row>
    <row r="1638" spans="2:8" x14ac:dyDescent="0.25">
      <c r="B1638" s="384" t="s">
        <v>3155</v>
      </c>
      <c r="C1638" s="385"/>
      <c r="D1638" s="385"/>
      <c r="E1638" s="385"/>
      <c r="F1638" s="385"/>
      <c r="G1638" s="385"/>
      <c r="H1638" s="386"/>
    </row>
    <row r="1639" spans="2:8" x14ac:dyDescent="0.25">
      <c r="B1639" s="387"/>
      <c r="C1639" s="388"/>
      <c r="D1639" s="388"/>
      <c r="E1639" s="388"/>
      <c r="F1639" s="388"/>
      <c r="G1639" s="388"/>
      <c r="H1639" s="389"/>
    </row>
    <row r="1640" spans="2:8" x14ac:dyDescent="0.25">
      <c r="B1640" s="387"/>
      <c r="C1640" s="388"/>
      <c r="D1640" s="388"/>
      <c r="E1640" s="388"/>
      <c r="F1640" s="388"/>
      <c r="G1640" s="388"/>
      <c r="H1640" s="389"/>
    </row>
    <row r="1641" spans="2:8" ht="13.8" thickBot="1" x14ac:dyDescent="0.3">
      <c r="B1641" s="390"/>
      <c r="C1641" s="391"/>
      <c r="D1641" s="391"/>
      <c r="E1641" s="391"/>
      <c r="F1641" s="391"/>
      <c r="G1641" s="391"/>
      <c r="H1641" s="392"/>
    </row>
    <row r="1642" spans="2:8" ht="13.8" thickBot="1" x14ac:dyDescent="0.3"/>
    <row r="1643" spans="2:8" ht="14.4" thickBot="1" x14ac:dyDescent="0.3">
      <c r="B1643" s="396" t="s">
        <v>3156</v>
      </c>
      <c r="C1643" s="397"/>
      <c r="D1643" s="397"/>
      <c r="E1643" s="397"/>
      <c r="F1643" s="397"/>
      <c r="G1643" s="397"/>
      <c r="H1643" s="398"/>
    </row>
    <row r="1644" spans="2:8" ht="14.4" thickBot="1" x14ac:dyDescent="0.3">
      <c r="B1644" s="51" t="s">
        <v>1605</v>
      </c>
      <c r="C1644" s="288" t="s">
        <v>1625</v>
      </c>
      <c r="D1644" s="312"/>
      <c r="E1644" s="311"/>
      <c r="F1644" s="311"/>
      <c r="G1644" s="311"/>
      <c r="H1644" s="286" t="s">
        <v>1626</v>
      </c>
    </row>
    <row r="1645" spans="2:8" ht="13.8" x14ac:dyDescent="0.25">
      <c r="B1645" s="287">
        <v>17101</v>
      </c>
      <c r="C1645" s="243" t="s">
        <v>3157</v>
      </c>
      <c r="D1645" s="253"/>
      <c r="E1645" s="259"/>
      <c r="F1645" s="259"/>
      <c r="G1645" s="259"/>
      <c r="H1645" s="285">
        <v>4</v>
      </c>
    </row>
    <row r="1646" spans="2:8" ht="13.8" x14ac:dyDescent="0.25">
      <c r="B1646" s="248">
        <v>17102</v>
      </c>
      <c r="C1646" s="243" t="s">
        <v>3158</v>
      </c>
      <c r="D1646" s="253"/>
      <c r="E1646" s="253"/>
      <c r="F1646" s="253"/>
      <c r="G1646" s="253"/>
      <c r="H1646" s="249">
        <v>4</v>
      </c>
    </row>
    <row r="1647" spans="2:8" ht="13.8" x14ac:dyDescent="0.25">
      <c r="B1647" s="248">
        <v>17103</v>
      </c>
      <c r="C1647" s="243" t="s">
        <v>3159</v>
      </c>
      <c r="D1647" s="253"/>
      <c r="E1647" s="253"/>
      <c r="F1647" s="253"/>
      <c r="G1647" s="253"/>
      <c r="H1647" s="249">
        <v>4</v>
      </c>
    </row>
    <row r="1648" spans="2:8" ht="13.8" x14ac:dyDescent="0.25">
      <c r="B1648" s="248">
        <v>17104</v>
      </c>
      <c r="C1648" s="243" t="s">
        <v>3160</v>
      </c>
      <c r="D1648" s="253"/>
      <c r="E1648" s="253"/>
      <c r="F1648" s="253"/>
      <c r="G1648" s="253"/>
      <c r="H1648" s="249">
        <v>4</v>
      </c>
    </row>
    <row r="1649" spans="2:8" ht="13.8" x14ac:dyDescent="0.25">
      <c r="B1649" s="248">
        <v>17105</v>
      </c>
      <c r="C1649" s="243" t="s">
        <v>3161</v>
      </c>
      <c r="D1649" s="253"/>
      <c r="E1649" s="253"/>
      <c r="F1649" s="253"/>
      <c r="G1649" s="253"/>
      <c r="H1649" s="249">
        <v>4</v>
      </c>
    </row>
    <row r="1650" spans="2:8" ht="13.8" x14ac:dyDescent="0.25">
      <c r="B1650" s="248">
        <v>17106</v>
      </c>
      <c r="C1650" s="243" t="s">
        <v>3162</v>
      </c>
      <c r="D1650" s="253"/>
      <c r="E1650" s="253"/>
      <c r="F1650" s="253"/>
      <c r="G1650" s="253"/>
      <c r="H1650" s="249">
        <v>4</v>
      </c>
    </row>
    <row r="1651" spans="2:8" ht="13.8" x14ac:dyDescent="0.25">
      <c r="B1651" s="248">
        <v>17107</v>
      </c>
      <c r="C1651" s="243" t="s">
        <v>3163</v>
      </c>
      <c r="D1651" s="253"/>
      <c r="E1651" s="253"/>
      <c r="F1651" s="253"/>
      <c r="G1651" s="253"/>
      <c r="H1651" s="249">
        <v>4</v>
      </c>
    </row>
    <row r="1652" spans="2:8" ht="13.8" x14ac:dyDescent="0.25">
      <c r="B1652" s="248">
        <v>17108</v>
      </c>
      <c r="C1652" s="243" t="s">
        <v>3164</v>
      </c>
      <c r="D1652" s="253"/>
      <c r="E1652" s="253"/>
      <c r="F1652" s="253"/>
      <c r="G1652" s="253"/>
      <c r="H1652" s="249">
        <v>6</v>
      </c>
    </row>
    <row r="1653" spans="2:8" ht="13.8" x14ac:dyDescent="0.25">
      <c r="B1653" s="248">
        <v>17109</v>
      </c>
      <c r="C1653" s="243" t="s">
        <v>3165</v>
      </c>
      <c r="D1653" s="253"/>
      <c r="E1653" s="253"/>
      <c r="F1653" s="253"/>
      <c r="G1653" s="253"/>
      <c r="H1653" s="249">
        <v>6</v>
      </c>
    </row>
    <row r="1654" spans="2:8" ht="13.8" x14ac:dyDescent="0.25">
      <c r="B1654" s="248">
        <v>17110</v>
      </c>
      <c r="C1654" s="243" t="s">
        <v>3166</v>
      </c>
      <c r="D1654" s="253"/>
      <c r="E1654" s="253"/>
      <c r="F1654" s="253"/>
      <c r="G1654" s="253"/>
      <c r="H1654" s="249">
        <v>6</v>
      </c>
    </row>
    <row r="1655" spans="2:8" ht="13.8" x14ac:dyDescent="0.25">
      <c r="B1655" s="248">
        <v>17111</v>
      </c>
      <c r="C1655" s="243" t="s">
        <v>3167</v>
      </c>
      <c r="D1655" s="253"/>
      <c r="E1655" s="253"/>
      <c r="F1655" s="253"/>
      <c r="G1655" s="253"/>
      <c r="H1655" s="249">
        <v>4</v>
      </c>
    </row>
    <row r="1656" spans="2:8" ht="13.8" x14ac:dyDescent="0.25">
      <c r="B1656" s="248">
        <v>17112</v>
      </c>
      <c r="C1656" s="243" t="s">
        <v>3168</v>
      </c>
      <c r="D1656" s="253"/>
      <c r="E1656" s="253"/>
      <c r="F1656" s="253"/>
      <c r="G1656" s="253"/>
      <c r="H1656" s="249">
        <v>4</v>
      </c>
    </row>
    <row r="1657" spans="2:8" ht="13.8" x14ac:dyDescent="0.25">
      <c r="B1657" s="248">
        <v>17113</v>
      </c>
      <c r="C1657" s="243" t="s">
        <v>3169</v>
      </c>
      <c r="D1657" s="253"/>
      <c r="E1657" s="253"/>
      <c r="F1657" s="253"/>
      <c r="G1657" s="253"/>
      <c r="H1657" s="249">
        <v>4</v>
      </c>
    </row>
    <row r="1658" spans="2:8" ht="13.8" x14ac:dyDescent="0.25">
      <c r="B1658" s="248">
        <v>17114</v>
      </c>
      <c r="C1658" s="243" t="s">
        <v>3170</v>
      </c>
      <c r="D1658" s="253"/>
      <c r="E1658" s="253"/>
      <c r="F1658" s="253"/>
      <c r="G1658" s="253"/>
      <c r="H1658" s="249">
        <v>4</v>
      </c>
    </row>
    <row r="1659" spans="2:8" ht="13.8" x14ac:dyDescent="0.25">
      <c r="B1659" s="248">
        <v>17115</v>
      </c>
      <c r="C1659" s="243" t="s">
        <v>3171</v>
      </c>
      <c r="D1659" s="253"/>
      <c r="E1659" s="253"/>
      <c r="F1659" s="253"/>
      <c r="G1659" s="253"/>
      <c r="H1659" s="249">
        <v>4</v>
      </c>
    </row>
    <row r="1660" spans="2:8" ht="13.8" x14ac:dyDescent="0.25">
      <c r="B1660" s="248">
        <v>17116</v>
      </c>
      <c r="C1660" s="243" t="s">
        <v>3172</v>
      </c>
      <c r="D1660" s="253"/>
      <c r="E1660" s="253"/>
      <c r="F1660" s="253"/>
      <c r="G1660" s="253"/>
      <c r="H1660" s="249">
        <v>4</v>
      </c>
    </row>
    <row r="1661" spans="2:8" ht="13.8" x14ac:dyDescent="0.25">
      <c r="B1661" s="248">
        <v>17117</v>
      </c>
      <c r="C1661" s="243" t="s">
        <v>3173</v>
      </c>
      <c r="D1661" s="253"/>
      <c r="E1661" s="253"/>
      <c r="F1661" s="253"/>
      <c r="G1661" s="253"/>
      <c r="H1661" s="249">
        <v>4</v>
      </c>
    </row>
    <row r="1662" spans="2:8" ht="13.8" x14ac:dyDescent="0.25">
      <c r="B1662" s="248">
        <v>17118</v>
      </c>
      <c r="C1662" s="243" t="s">
        <v>3174</v>
      </c>
      <c r="D1662" s="253"/>
      <c r="E1662" s="253"/>
      <c r="F1662" s="253"/>
      <c r="G1662" s="253"/>
      <c r="H1662" s="249">
        <v>4</v>
      </c>
    </row>
    <row r="1663" spans="2:8" ht="13.8" x14ac:dyDescent="0.25">
      <c r="B1663" s="248">
        <v>17119</v>
      </c>
      <c r="C1663" s="243" t="s">
        <v>3175</v>
      </c>
      <c r="D1663" s="253"/>
      <c r="E1663" s="253"/>
      <c r="F1663" s="253"/>
      <c r="G1663" s="253"/>
      <c r="H1663" s="249">
        <v>4</v>
      </c>
    </row>
    <row r="1664" spans="2:8" ht="13.8" x14ac:dyDescent="0.25">
      <c r="B1664" s="248">
        <v>17120</v>
      </c>
      <c r="C1664" s="243" t="s">
        <v>3176</v>
      </c>
      <c r="D1664" s="253"/>
      <c r="E1664" s="253"/>
      <c r="F1664" s="253"/>
      <c r="G1664" s="253"/>
      <c r="H1664" s="249">
        <v>4</v>
      </c>
    </row>
    <row r="1665" spans="2:8" ht="13.8" x14ac:dyDescent="0.25">
      <c r="B1665" s="248">
        <v>17121</v>
      </c>
      <c r="C1665" s="243" t="s">
        <v>3177</v>
      </c>
      <c r="D1665" s="253"/>
      <c r="E1665" s="253"/>
      <c r="F1665" s="253"/>
      <c r="G1665" s="253"/>
      <c r="H1665" s="249">
        <v>4</v>
      </c>
    </row>
    <row r="1666" spans="2:8" ht="13.8" x14ac:dyDescent="0.25">
      <c r="B1666" s="248">
        <v>17122</v>
      </c>
      <c r="C1666" s="243" t="s">
        <v>3178</v>
      </c>
      <c r="D1666" s="253"/>
      <c r="E1666" s="253"/>
      <c r="F1666" s="253"/>
      <c r="G1666" s="253"/>
      <c r="H1666" s="249">
        <v>4</v>
      </c>
    </row>
    <row r="1667" spans="2:8" ht="13.8" x14ac:dyDescent="0.25">
      <c r="B1667" s="248">
        <v>17123</v>
      </c>
      <c r="C1667" s="243" t="s">
        <v>3179</v>
      </c>
      <c r="D1667" s="253"/>
      <c r="E1667" s="253"/>
      <c r="F1667" s="253"/>
      <c r="G1667" s="253"/>
      <c r="H1667" s="249">
        <v>4</v>
      </c>
    </row>
    <row r="1668" spans="2:8" ht="13.8" x14ac:dyDescent="0.25">
      <c r="B1668" s="248">
        <v>17124</v>
      </c>
      <c r="C1668" s="243" t="s">
        <v>3180</v>
      </c>
      <c r="D1668" s="253"/>
      <c r="E1668" s="253"/>
      <c r="F1668" s="253"/>
      <c r="G1668" s="253"/>
      <c r="H1668" s="249">
        <v>4</v>
      </c>
    </row>
    <row r="1669" spans="2:8" ht="13.8" x14ac:dyDescent="0.25">
      <c r="B1669" s="248">
        <v>17125</v>
      </c>
      <c r="C1669" s="243" t="s">
        <v>3181</v>
      </c>
      <c r="D1669" s="253"/>
      <c r="E1669" s="253"/>
      <c r="F1669" s="253"/>
      <c r="G1669" s="253"/>
      <c r="H1669" s="249">
        <v>4</v>
      </c>
    </row>
    <row r="1670" spans="2:8" ht="13.8" x14ac:dyDescent="0.25">
      <c r="B1670" s="248">
        <v>17126</v>
      </c>
      <c r="C1670" s="243" t="s">
        <v>3182</v>
      </c>
      <c r="D1670" s="253"/>
      <c r="E1670" s="253"/>
      <c r="F1670" s="253"/>
      <c r="G1670" s="253"/>
      <c r="H1670" s="249">
        <v>4</v>
      </c>
    </row>
    <row r="1671" spans="2:8" ht="13.8" x14ac:dyDescent="0.25">
      <c r="B1671" s="248">
        <v>17127</v>
      </c>
      <c r="C1671" s="243" t="s">
        <v>3183</v>
      </c>
      <c r="D1671" s="253"/>
      <c r="E1671" s="253"/>
      <c r="F1671" s="253"/>
      <c r="G1671" s="253"/>
      <c r="H1671" s="249">
        <v>4</v>
      </c>
    </row>
    <row r="1672" spans="2:8" ht="13.8" x14ac:dyDescent="0.25">
      <c r="B1672" s="248">
        <v>17128</v>
      </c>
      <c r="C1672" s="243" t="s">
        <v>3184</v>
      </c>
      <c r="D1672" s="253"/>
      <c r="E1672" s="253"/>
      <c r="F1672" s="253"/>
      <c r="G1672" s="253"/>
      <c r="H1672" s="249">
        <v>4</v>
      </c>
    </row>
    <row r="1673" spans="2:8" ht="13.8" x14ac:dyDescent="0.25">
      <c r="B1673" s="248">
        <v>17129</v>
      </c>
      <c r="C1673" s="243" t="s">
        <v>3185</v>
      </c>
      <c r="D1673" s="253"/>
      <c r="E1673" s="253"/>
      <c r="F1673" s="253"/>
      <c r="G1673" s="253"/>
      <c r="H1673" s="249">
        <v>4</v>
      </c>
    </row>
    <row r="1674" spans="2:8" ht="13.8" x14ac:dyDescent="0.25">
      <c r="B1674" s="248">
        <v>17130</v>
      </c>
      <c r="C1674" s="243" t="s">
        <v>3186</v>
      </c>
      <c r="D1674" s="253"/>
      <c r="E1674" s="253"/>
      <c r="F1674" s="253"/>
      <c r="G1674" s="253"/>
      <c r="H1674" s="249">
        <v>8</v>
      </c>
    </row>
    <row r="1675" spans="2:8" ht="13.8" x14ac:dyDescent="0.25">
      <c r="B1675" s="248">
        <v>17131</v>
      </c>
      <c r="C1675" s="243" t="s">
        <v>3187</v>
      </c>
      <c r="D1675" s="253"/>
      <c r="E1675" s="253"/>
      <c r="F1675" s="253"/>
      <c r="G1675" s="253"/>
      <c r="H1675" s="249">
        <v>6</v>
      </c>
    </row>
    <row r="1676" spans="2:8" ht="13.8" x14ac:dyDescent="0.25">
      <c r="B1676" s="248">
        <v>17132</v>
      </c>
      <c r="C1676" s="243" t="s">
        <v>3188</v>
      </c>
      <c r="D1676" s="253"/>
      <c r="E1676" s="253"/>
      <c r="F1676" s="253"/>
      <c r="G1676" s="253"/>
      <c r="H1676" s="249">
        <v>6</v>
      </c>
    </row>
    <row r="1677" spans="2:8" ht="13.8" x14ac:dyDescent="0.25">
      <c r="B1677" s="248">
        <v>17133</v>
      </c>
      <c r="C1677" s="243" t="s">
        <v>3189</v>
      </c>
      <c r="D1677" s="253"/>
      <c r="E1677" s="253"/>
      <c r="F1677" s="253"/>
      <c r="G1677" s="253"/>
      <c r="H1677" s="249">
        <v>4</v>
      </c>
    </row>
    <row r="1678" spans="2:8" ht="13.8" x14ac:dyDescent="0.25">
      <c r="B1678" s="248">
        <v>17134</v>
      </c>
      <c r="C1678" s="243" t="s">
        <v>3190</v>
      </c>
      <c r="D1678" s="253"/>
      <c r="E1678" s="253"/>
      <c r="F1678" s="253"/>
      <c r="G1678" s="253"/>
      <c r="H1678" s="249">
        <v>8</v>
      </c>
    </row>
    <row r="1679" spans="2:8" ht="13.8" x14ac:dyDescent="0.25">
      <c r="B1679" s="248">
        <v>17135</v>
      </c>
      <c r="C1679" s="243" t="s">
        <v>3191</v>
      </c>
      <c r="D1679" s="253"/>
      <c r="E1679" s="253"/>
      <c r="F1679" s="253"/>
      <c r="G1679" s="253"/>
      <c r="H1679" s="249">
        <v>8</v>
      </c>
    </row>
    <row r="1680" spans="2:8" ht="13.8" x14ac:dyDescent="0.25">
      <c r="B1680" s="248">
        <v>17136</v>
      </c>
      <c r="C1680" s="243" t="s">
        <v>3192</v>
      </c>
      <c r="D1680" s="253"/>
      <c r="E1680" s="253"/>
      <c r="F1680" s="253"/>
      <c r="G1680" s="253"/>
      <c r="H1680" s="249">
        <v>8</v>
      </c>
    </row>
    <row r="1681" spans="2:8" ht="13.8" x14ac:dyDescent="0.25">
      <c r="B1681" s="248">
        <v>17137</v>
      </c>
      <c r="C1681" s="243" t="s">
        <v>3193</v>
      </c>
      <c r="D1681" s="253"/>
      <c r="E1681" s="253"/>
      <c r="F1681" s="253"/>
      <c r="G1681" s="253"/>
      <c r="H1681" s="249">
        <v>10</v>
      </c>
    </row>
    <row r="1682" spans="2:8" ht="13.8" x14ac:dyDescent="0.25">
      <c r="B1682" s="248">
        <v>17138</v>
      </c>
      <c r="C1682" s="243" t="s">
        <v>3194</v>
      </c>
      <c r="D1682" s="253"/>
      <c r="E1682" s="253"/>
      <c r="F1682" s="253"/>
      <c r="G1682" s="253"/>
      <c r="H1682" s="249">
        <v>8</v>
      </c>
    </row>
    <row r="1683" spans="2:8" ht="13.8" x14ac:dyDescent="0.25">
      <c r="B1683" s="248">
        <v>17139</v>
      </c>
      <c r="C1683" s="243" t="s">
        <v>3195</v>
      </c>
      <c r="D1683" s="253"/>
      <c r="E1683" s="253"/>
      <c r="F1683" s="253"/>
      <c r="G1683" s="253"/>
      <c r="H1683" s="249">
        <v>8</v>
      </c>
    </row>
    <row r="1684" spans="2:8" ht="13.8" x14ac:dyDescent="0.25">
      <c r="B1684" s="248">
        <v>17140</v>
      </c>
      <c r="C1684" s="243" t="s">
        <v>3196</v>
      </c>
      <c r="D1684" s="253"/>
      <c r="E1684" s="253"/>
      <c r="F1684" s="253"/>
      <c r="G1684" s="253"/>
      <c r="H1684" s="249">
        <v>8</v>
      </c>
    </row>
    <row r="1685" spans="2:8" ht="13.8" x14ac:dyDescent="0.25">
      <c r="B1685" s="248">
        <v>17141</v>
      </c>
      <c r="C1685" s="243" t="s">
        <v>3197</v>
      </c>
      <c r="D1685" s="253"/>
      <c r="E1685" s="253"/>
      <c r="F1685" s="253"/>
      <c r="G1685" s="253"/>
      <c r="H1685" s="249">
        <v>10</v>
      </c>
    </row>
    <row r="1686" spans="2:8" ht="13.8" x14ac:dyDescent="0.25">
      <c r="B1686" s="248">
        <v>17142</v>
      </c>
      <c r="C1686" s="243" t="s">
        <v>3198</v>
      </c>
      <c r="D1686" s="253"/>
      <c r="E1686" s="253"/>
      <c r="F1686" s="253"/>
      <c r="G1686" s="253"/>
      <c r="H1686" s="249">
        <v>8</v>
      </c>
    </row>
    <row r="1687" spans="2:8" ht="13.8" x14ac:dyDescent="0.25">
      <c r="B1687" s="248">
        <v>17143</v>
      </c>
      <c r="C1687" s="243" t="s">
        <v>3199</v>
      </c>
      <c r="D1687" s="253"/>
      <c r="E1687" s="253"/>
      <c r="F1687" s="253"/>
      <c r="G1687" s="253"/>
      <c r="H1687" s="249">
        <v>8</v>
      </c>
    </row>
    <row r="1688" spans="2:8" ht="13.8" x14ac:dyDescent="0.25">
      <c r="B1688" s="248">
        <v>17144</v>
      </c>
      <c r="C1688" s="243" t="s">
        <v>3200</v>
      </c>
      <c r="D1688" s="253"/>
      <c r="E1688" s="253"/>
      <c r="F1688" s="253"/>
      <c r="G1688" s="253"/>
      <c r="H1688" s="249">
        <v>8</v>
      </c>
    </row>
    <row r="1689" spans="2:8" ht="13.8" x14ac:dyDescent="0.25">
      <c r="B1689" s="248">
        <v>17145</v>
      </c>
      <c r="C1689" s="243" t="s">
        <v>3201</v>
      </c>
      <c r="D1689" s="253"/>
      <c r="E1689" s="253"/>
      <c r="F1689" s="253"/>
      <c r="G1689" s="253"/>
      <c r="H1689" s="249">
        <v>12</v>
      </c>
    </row>
    <row r="1690" spans="2:8" ht="13.8" x14ac:dyDescent="0.25">
      <c r="B1690" s="248">
        <v>17146</v>
      </c>
      <c r="C1690" s="243" t="s">
        <v>3202</v>
      </c>
      <c r="D1690" s="253"/>
      <c r="E1690" s="253"/>
      <c r="F1690" s="253"/>
      <c r="G1690" s="253"/>
      <c r="H1690" s="249">
        <v>10</v>
      </c>
    </row>
    <row r="1691" spans="2:8" ht="13.8" x14ac:dyDescent="0.25">
      <c r="B1691" s="248">
        <v>17147</v>
      </c>
      <c r="C1691" s="243" t="s">
        <v>3203</v>
      </c>
      <c r="D1691" s="253"/>
      <c r="E1691" s="253"/>
      <c r="F1691" s="253"/>
      <c r="G1691" s="253"/>
      <c r="H1691" s="249">
        <v>8</v>
      </c>
    </row>
    <row r="1692" spans="2:8" ht="13.8" x14ac:dyDescent="0.25">
      <c r="B1692" s="248">
        <v>17148</v>
      </c>
      <c r="C1692" s="243" t="s">
        <v>3204</v>
      </c>
      <c r="D1692" s="253"/>
      <c r="E1692" s="253"/>
      <c r="F1692" s="253"/>
      <c r="G1692" s="253"/>
      <c r="H1692" s="249">
        <v>12</v>
      </c>
    </row>
    <row r="1693" spans="2:8" ht="13.8" x14ac:dyDescent="0.25">
      <c r="B1693" s="248">
        <v>17149</v>
      </c>
      <c r="C1693" s="243" t="s">
        <v>3205</v>
      </c>
      <c r="D1693" s="253"/>
      <c r="E1693" s="253"/>
      <c r="F1693" s="253"/>
      <c r="G1693" s="253"/>
      <c r="H1693" s="249">
        <v>13</v>
      </c>
    </row>
    <row r="1694" spans="2:8" ht="13.8" x14ac:dyDescent="0.25">
      <c r="B1694" s="248">
        <v>17150</v>
      </c>
      <c r="C1694" s="243" t="s">
        <v>3206</v>
      </c>
      <c r="D1694" s="253"/>
      <c r="E1694" s="253"/>
      <c r="F1694" s="253"/>
      <c r="G1694" s="253"/>
      <c r="H1694" s="249">
        <v>13</v>
      </c>
    </row>
    <row r="1695" spans="2:8" ht="13.8" x14ac:dyDescent="0.25">
      <c r="B1695" s="248">
        <v>17151</v>
      </c>
      <c r="C1695" s="243" t="s">
        <v>3207</v>
      </c>
      <c r="D1695" s="253"/>
      <c r="E1695" s="253"/>
      <c r="F1695" s="253"/>
      <c r="G1695" s="253"/>
      <c r="H1695" s="249">
        <v>13</v>
      </c>
    </row>
    <row r="1696" spans="2:8" ht="14.4" thickBot="1" x14ac:dyDescent="0.3">
      <c r="B1696" s="248">
        <v>17152</v>
      </c>
      <c r="C1696" s="243" t="s">
        <v>3208</v>
      </c>
      <c r="D1696" s="253"/>
      <c r="E1696" s="253"/>
      <c r="F1696" s="253"/>
      <c r="G1696" s="253"/>
      <c r="H1696" s="249">
        <v>20</v>
      </c>
    </row>
    <row r="1697" spans="2:8" ht="14.4" thickBot="1" x14ac:dyDescent="0.3">
      <c r="B1697" s="375" t="s">
        <v>3209</v>
      </c>
      <c r="C1697" s="376"/>
      <c r="D1697" s="376"/>
      <c r="E1697" s="376"/>
      <c r="F1697" s="376"/>
      <c r="G1697" s="376"/>
      <c r="H1697" s="377"/>
    </row>
    <row r="1698" spans="2:8" ht="13.8" x14ac:dyDescent="0.25">
      <c r="B1698" s="287">
        <v>17153</v>
      </c>
      <c r="C1698" s="244" t="s">
        <v>3210</v>
      </c>
      <c r="D1698" s="259"/>
      <c r="E1698" s="259"/>
      <c r="F1698" s="259"/>
      <c r="G1698" s="259"/>
      <c r="H1698" s="285">
        <v>8</v>
      </c>
    </row>
    <row r="1699" spans="2:8" ht="13.8" x14ac:dyDescent="0.25">
      <c r="B1699" s="248">
        <v>17154</v>
      </c>
      <c r="C1699" s="243" t="s">
        <v>3211</v>
      </c>
      <c r="D1699" s="253"/>
      <c r="E1699" s="253"/>
      <c r="F1699" s="253"/>
      <c r="G1699" s="253"/>
      <c r="H1699" s="249">
        <v>8</v>
      </c>
    </row>
    <row r="1700" spans="2:8" ht="13.8" x14ac:dyDescent="0.25">
      <c r="B1700" s="248">
        <v>17155</v>
      </c>
      <c r="C1700" s="243" t="s">
        <v>3212</v>
      </c>
      <c r="D1700" s="253"/>
      <c r="E1700" s="253"/>
      <c r="F1700" s="253"/>
      <c r="G1700" s="253"/>
      <c r="H1700" s="249">
        <v>8</v>
      </c>
    </row>
    <row r="1701" spans="2:8" ht="13.8" x14ac:dyDescent="0.25">
      <c r="B1701" s="248">
        <v>17156</v>
      </c>
      <c r="C1701" s="243" t="s">
        <v>3213</v>
      </c>
      <c r="D1701" s="253"/>
      <c r="E1701" s="253"/>
      <c r="F1701" s="253"/>
      <c r="G1701" s="253"/>
      <c r="H1701" s="249">
        <v>8</v>
      </c>
    </row>
    <row r="1702" spans="2:8" ht="13.8" x14ac:dyDescent="0.25">
      <c r="B1702" s="248">
        <v>17157</v>
      </c>
      <c r="C1702" s="243" t="s">
        <v>3214</v>
      </c>
      <c r="D1702" s="253"/>
      <c r="E1702" s="253"/>
      <c r="F1702" s="253"/>
      <c r="G1702" s="253"/>
      <c r="H1702" s="249">
        <v>8</v>
      </c>
    </row>
    <row r="1703" spans="2:8" ht="13.8" x14ac:dyDescent="0.25">
      <c r="B1703" s="248">
        <v>17158</v>
      </c>
      <c r="C1703" s="243" t="s">
        <v>3215</v>
      </c>
      <c r="D1703" s="253"/>
      <c r="E1703" s="253"/>
      <c r="F1703" s="253"/>
      <c r="G1703" s="253"/>
      <c r="H1703" s="249">
        <v>8</v>
      </c>
    </row>
    <row r="1704" spans="2:8" ht="13.8" x14ac:dyDescent="0.25">
      <c r="B1704" s="248">
        <v>17159</v>
      </c>
      <c r="C1704" s="243" t="s">
        <v>3216</v>
      </c>
      <c r="D1704" s="253"/>
      <c r="E1704" s="253"/>
      <c r="F1704" s="253"/>
      <c r="G1704" s="253"/>
      <c r="H1704" s="249">
        <v>8</v>
      </c>
    </row>
    <row r="1705" spans="2:8" ht="13.8" x14ac:dyDescent="0.25">
      <c r="B1705" s="248">
        <v>17160</v>
      </c>
      <c r="C1705" s="243" t="s">
        <v>3217</v>
      </c>
      <c r="D1705" s="253"/>
      <c r="E1705" s="253"/>
      <c r="F1705" s="253"/>
      <c r="G1705" s="253"/>
      <c r="H1705" s="249">
        <v>8</v>
      </c>
    </row>
    <row r="1706" spans="2:8" ht="13.8" x14ac:dyDescent="0.25">
      <c r="B1706" s="248">
        <v>17161</v>
      </c>
      <c r="C1706" s="243" t="s">
        <v>3218</v>
      </c>
      <c r="D1706" s="253"/>
      <c r="E1706" s="253"/>
      <c r="F1706" s="253"/>
      <c r="G1706" s="253"/>
      <c r="H1706" s="249">
        <v>8</v>
      </c>
    </row>
    <row r="1707" spans="2:8" ht="13.8" x14ac:dyDescent="0.25">
      <c r="B1707" s="248">
        <v>17162</v>
      </c>
      <c r="C1707" s="243" t="s">
        <v>3219</v>
      </c>
      <c r="D1707" s="253"/>
      <c r="E1707" s="253"/>
      <c r="F1707" s="253"/>
      <c r="G1707" s="253"/>
      <c r="H1707" s="249">
        <v>8</v>
      </c>
    </row>
    <row r="1708" spans="2:8" ht="13.8" x14ac:dyDescent="0.25">
      <c r="B1708" s="248">
        <v>17163</v>
      </c>
      <c r="C1708" s="243" t="s">
        <v>3220</v>
      </c>
      <c r="D1708" s="253"/>
      <c r="E1708" s="253"/>
      <c r="F1708" s="253"/>
      <c r="G1708" s="253"/>
      <c r="H1708" s="249">
        <v>8</v>
      </c>
    </row>
    <row r="1709" spans="2:8" ht="13.8" x14ac:dyDescent="0.25">
      <c r="B1709" s="248">
        <v>17164</v>
      </c>
      <c r="C1709" s="243" t="s">
        <v>3221</v>
      </c>
      <c r="D1709" s="253"/>
      <c r="E1709" s="253"/>
      <c r="F1709" s="253"/>
      <c r="G1709" s="253"/>
      <c r="H1709" s="249">
        <v>8</v>
      </c>
    </row>
    <row r="1710" spans="2:8" ht="13.8" x14ac:dyDescent="0.25">
      <c r="B1710" s="248">
        <v>17165</v>
      </c>
      <c r="C1710" s="243" t="s">
        <v>3222</v>
      </c>
      <c r="D1710" s="253"/>
      <c r="E1710" s="253"/>
      <c r="F1710" s="253"/>
      <c r="G1710" s="253"/>
      <c r="H1710" s="249">
        <v>10</v>
      </c>
    </row>
    <row r="1711" spans="2:8" ht="13.8" x14ac:dyDescent="0.25">
      <c r="B1711" s="248">
        <v>17166</v>
      </c>
      <c r="C1711" s="243" t="s">
        <v>3223</v>
      </c>
      <c r="D1711" s="253"/>
      <c r="E1711" s="253"/>
      <c r="F1711" s="253"/>
      <c r="G1711" s="253"/>
      <c r="H1711" s="249">
        <v>10</v>
      </c>
    </row>
    <row r="1712" spans="2:8" ht="13.8" x14ac:dyDescent="0.25">
      <c r="B1712" s="248">
        <v>17167</v>
      </c>
      <c r="C1712" s="243" t="s">
        <v>3224</v>
      </c>
      <c r="D1712" s="253"/>
      <c r="E1712" s="253"/>
      <c r="F1712" s="253"/>
      <c r="G1712" s="253"/>
      <c r="H1712" s="249">
        <v>8</v>
      </c>
    </row>
    <row r="1713" spans="2:8" ht="13.8" x14ac:dyDescent="0.25">
      <c r="B1713" s="248">
        <v>17168</v>
      </c>
      <c r="C1713" s="243" t="s">
        <v>3225</v>
      </c>
      <c r="D1713" s="253"/>
      <c r="E1713" s="253"/>
      <c r="F1713" s="253"/>
      <c r="G1713" s="253"/>
      <c r="H1713" s="249">
        <v>8</v>
      </c>
    </row>
    <row r="1714" spans="2:8" ht="13.8" x14ac:dyDescent="0.25">
      <c r="B1714" s="248">
        <v>17169</v>
      </c>
      <c r="C1714" s="243" t="s">
        <v>3226</v>
      </c>
      <c r="D1714" s="253"/>
      <c r="E1714" s="253"/>
      <c r="F1714" s="253"/>
      <c r="G1714" s="253"/>
      <c r="H1714" s="249">
        <v>8</v>
      </c>
    </row>
    <row r="1715" spans="2:8" ht="13.8" x14ac:dyDescent="0.25">
      <c r="B1715" s="248">
        <v>17170</v>
      </c>
      <c r="C1715" s="243" t="s">
        <v>3227</v>
      </c>
      <c r="D1715" s="253"/>
      <c r="E1715" s="253"/>
      <c r="F1715" s="253"/>
      <c r="G1715" s="253"/>
      <c r="H1715" s="249">
        <v>10</v>
      </c>
    </row>
    <row r="1716" spans="2:8" ht="13.8" x14ac:dyDescent="0.25">
      <c r="B1716" s="248">
        <v>17171</v>
      </c>
      <c r="C1716" s="243" t="s">
        <v>3228</v>
      </c>
      <c r="D1716" s="253"/>
      <c r="E1716" s="253"/>
      <c r="F1716" s="253"/>
      <c r="G1716" s="253"/>
      <c r="H1716" s="249">
        <v>12</v>
      </c>
    </row>
    <row r="1717" spans="2:8" ht="14.4" thickBot="1" x14ac:dyDescent="0.3">
      <c r="B1717" s="250">
        <v>17172</v>
      </c>
      <c r="C1717" s="251" t="s">
        <v>3229</v>
      </c>
      <c r="D1717" s="265"/>
      <c r="E1717" s="265"/>
      <c r="F1717" s="265"/>
      <c r="G1717" s="265"/>
      <c r="H1717" s="252">
        <v>10</v>
      </c>
    </row>
    <row r="1718" spans="2:8" ht="14.4" thickBot="1" x14ac:dyDescent="0.3">
      <c r="B1718" s="375" t="s">
        <v>3230</v>
      </c>
      <c r="C1718" s="376"/>
      <c r="D1718" s="376"/>
      <c r="E1718" s="376"/>
      <c r="F1718" s="376"/>
      <c r="G1718" s="376"/>
      <c r="H1718" s="377"/>
    </row>
    <row r="1719" spans="2:8" ht="13.8" x14ac:dyDescent="0.25">
      <c r="B1719" s="294">
        <v>17173</v>
      </c>
      <c r="C1719" s="289" t="s">
        <v>3231</v>
      </c>
      <c r="D1719" s="253"/>
      <c r="E1719" s="253"/>
      <c r="F1719" s="253"/>
      <c r="G1719" s="253"/>
      <c r="H1719" s="295">
        <v>10</v>
      </c>
    </row>
    <row r="1720" spans="2:8" ht="13.8" x14ac:dyDescent="0.25">
      <c r="B1720" s="294">
        <v>17174</v>
      </c>
      <c r="C1720" s="289" t="s">
        <v>3232</v>
      </c>
      <c r="D1720" s="253"/>
      <c r="E1720" s="253"/>
      <c r="F1720" s="253"/>
      <c r="G1720" s="253"/>
      <c r="H1720" s="295">
        <v>12</v>
      </c>
    </row>
    <row r="1721" spans="2:8" ht="13.8" x14ac:dyDescent="0.25">
      <c r="B1721" s="294">
        <v>17175</v>
      </c>
      <c r="C1721" s="289" t="s">
        <v>3233</v>
      </c>
      <c r="D1721" s="253"/>
      <c r="E1721" s="253"/>
      <c r="F1721" s="253"/>
      <c r="G1721" s="253"/>
      <c r="H1721" s="295">
        <v>10</v>
      </c>
    </row>
    <row r="1722" spans="2:8" ht="13.8" x14ac:dyDescent="0.25">
      <c r="B1722" s="294">
        <v>17176</v>
      </c>
      <c r="C1722" s="289" t="s">
        <v>3234</v>
      </c>
      <c r="D1722" s="253"/>
      <c r="E1722" s="253"/>
      <c r="F1722" s="253"/>
      <c r="G1722" s="253"/>
      <c r="H1722" s="295">
        <v>10</v>
      </c>
    </row>
    <row r="1723" spans="2:8" ht="13.8" x14ac:dyDescent="0.25">
      <c r="B1723" s="294">
        <v>17177</v>
      </c>
      <c r="C1723" s="289" t="s">
        <v>3235</v>
      </c>
      <c r="D1723" s="253"/>
      <c r="E1723" s="253"/>
      <c r="F1723" s="253"/>
      <c r="G1723" s="253"/>
      <c r="H1723" s="295">
        <v>10</v>
      </c>
    </row>
    <row r="1724" spans="2:8" ht="13.8" x14ac:dyDescent="0.25">
      <c r="B1724" s="294">
        <v>17178</v>
      </c>
      <c r="C1724" s="289" t="s">
        <v>3236</v>
      </c>
      <c r="D1724" s="253"/>
      <c r="E1724" s="253"/>
      <c r="F1724" s="253"/>
      <c r="G1724" s="253"/>
      <c r="H1724" s="295">
        <v>10</v>
      </c>
    </row>
    <row r="1725" spans="2:8" ht="13.8" x14ac:dyDescent="0.25">
      <c r="B1725" s="294">
        <v>17179</v>
      </c>
      <c r="C1725" s="289" t="s">
        <v>3237</v>
      </c>
      <c r="D1725" s="253"/>
      <c r="E1725" s="253"/>
      <c r="F1725" s="253"/>
      <c r="G1725" s="253"/>
      <c r="H1725" s="295">
        <v>12</v>
      </c>
    </row>
    <row r="1726" spans="2:8" ht="13.8" x14ac:dyDescent="0.25">
      <c r="B1726" s="294">
        <v>17180</v>
      </c>
      <c r="C1726" s="289" t="s">
        <v>3238</v>
      </c>
      <c r="D1726" s="253"/>
      <c r="E1726" s="253"/>
      <c r="F1726" s="253"/>
      <c r="G1726" s="253"/>
      <c r="H1726" s="295">
        <v>10</v>
      </c>
    </row>
    <row r="1727" spans="2:8" ht="13.8" x14ac:dyDescent="0.25">
      <c r="B1727" s="294">
        <v>17181</v>
      </c>
      <c r="C1727" s="289" t="s">
        <v>3239</v>
      </c>
      <c r="D1727" s="253"/>
      <c r="E1727" s="253"/>
      <c r="F1727" s="253"/>
      <c r="G1727" s="253"/>
      <c r="H1727" s="295">
        <v>12</v>
      </c>
    </row>
    <row r="1728" spans="2:8" ht="13.8" x14ac:dyDescent="0.25">
      <c r="B1728" s="294">
        <v>17182</v>
      </c>
      <c r="C1728" s="289" t="s">
        <v>3240</v>
      </c>
      <c r="D1728" s="253"/>
      <c r="E1728" s="253"/>
      <c r="F1728" s="253"/>
      <c r="G1728" s="253"/>
      <c r="H1728" s="295">
        <v>10</v>
      </c>
    </row>
    <row r="1729" spans="2:8" ht="13.8" x14ac:dyDescent="0.25">
      <c r="B1729" s="294">
        <v>17183</v>
      </c>
      <c r="C1729" s="289" t="s">
        <v>3241</v>
      </c>
      <c r="D1729" s="253"/>
      <c r="E1729" s="253"/>
      <c r="F1729" s="253"/>
      <c r="G1729" s="253"/>
      <c r="H1729" s="295">
        <v>12</v>
      </c>
    </row>
    <row r="1730" spans="2:8" ht="13.8" x14ac:dyDescent="0.25">
      <c r="B1730" s="294">
        <v>17184</v>
      </c>
      <c r="C1730" s="289" t="s">
        <v>3242</v>
      </c>
      <c r="D1730" s="253"/>
      <c r="E1730" s="253"/>
      <c r="F1730" s="253"/>
      <c r="G1730" s="253"/>
      <c r="H1730" s="295">
        <v>10</v>
      </c>
    </row>
    <row r="1731" spans="2:8" ht="13.8" x14ac:dyDescent="0.25">
      <c r="B1731" s="294">
        <v>17185</v>
      </c>
      <c r="C1731" s="289" t="s">
        <v>3243</v>
      </c>
      <c r="D1731" s="253"/>
      <c r="E1731" s="253"/>
      <c r="F1731" s="253"/>
      <c r="G1731" s="253"/>
      <c r="H1731" s="295">
        <v>12</v>
      </c>
    </row>
    <row r="1732" spans="2:8" ht="13.8" x14ac:dyDescent="0.25">
      <c r="B1732" s="294">
        <v>17186</v>
      </c>
      <c r="C1732" s="289" t="s">
        <v>3244</v>
      </c>
      <c r="D1732" s="253"/>
      <c r="E1732" s="253"/>
      <c r="F1732" s="253"/>
      <c r="G1732" s="253"/>
      <c r="H1732" s="295">
        <v>10</v>
      </c>
    </row>
    <row r="1733" spans="2:8" ht="13.8" x14ac:dyDescent="0.25">
      <c r="B1733" s="294">
        <v>17187</v>
      </c>
      <c r="C1733" s="289" t="s">
        <v>3245</v>
      </c>
      <c r="D1733" s="253"/>
      <c r="E1733" s="253"/>
      <c r="F1733" s="253"/>
      <c r="G1733" s="253"/>
      <c r="H1733" s="295">
        <v>10</v>
      </c>
    </row>
    <row r="1734" spans="2:8" ht="13.8" x14ac:dyDescent="0.25">
      <c r="B1734" s="294">
        <v>17188</v>
      </c>
      <c r="C1734" s="289" t="s">
        <v>3246</v>
      </c>
      <c r="D1734" s="253"/>
      <c r="E1734" s="253"/>
      <c r="F1734" s="253"/>
      <c r="G1734" s="253"/>
      <c r="H1734" s="295">
        <v>10</v>
      </c>
    </row>
    <row r="1735" spans="2:8" ht="27.6" x14ac:dyDescent="0.25">
      <c r="B1735" s="294">
        <v>17189</v>
      </c>
      <c r="C1735" s="289" t="s">
        <v>3247</v>
      </c>
      <c r="D1735" s="253"/>
      <c r="E1735" s="253"/>
      <c r="F1735" s="253"/>
      <c r="G1735" s="253"/>
      <c r="H1735" s="295">
        <v>10</v>
      </c>
    </row>
    <row r="1736" spans="2:8" ht="27.6" x14ac:dyDescent="0.25">
      <c r="B1736" s="294">
        <v>17190</v>
      </c>
      <c r="C1736" s="289" t="s">
        <v>3248</v>
      </c>
      <c r="D1736" s="253"/>
      <c r="E1736" s="253"/>
      <c r="F1736" s="253"/>
      <c r="G1736" s="253"/>
      <c r="H1736" s="295">
        <v>13</v>
      </c>
    </row>
    <row r="1737" spans="2:8" ht="27.6" x14ac:dyDescent="0.25">
      <c r="B1737" s="294">
        <v>17191</v>
      </c>
      <c r="C1737" s="289" t="s">
        <v>3249</v>
      </c>
      <c r="D1737" s="253"/>
      <c r="E1737" s="253"/>
      <c r="F1737" s="253"/>
      <c r="G1737" s="253"/>
      <c r="H1737" s="295" t="s">
        <v>3250</v>
      </c>
    </row>
    <row r="1738" spans="2:8" ht="14.4" thickBot="1" x14ac:dyDescent="0.3">
      <c r="B1738" s="294">
        <v>17192</v>
      </c>
      <c r="C1738" s="289" t="s">
        <v>3251</v>
      </c>
      <c r="D1738" s="253"/>
      <c r="E1738" s="253"/>
      <c r="F1738" s="253"/>
      <c r="G1738" s="253"/>
      <c r="H1738" s="295">
        <v>12</v>
      </c>
    </row>
    <row r="1739" spans="2:8" ht="14.4" thickBot="1" x14ac:dyDescent="0.3">
      <c r="B1739" s="375" t="s">
        <v>3252</v>
      </c>
      <c r="C1739" s="376"/>
      <c r="D1739" s="376"/>
      <c r="E1739" s="376"/>
      <c r="F1739" s="376"/>
      <c r="G1739" s="376"/>
      <c r="H1739" s="377"/>
    </row>
    <row r="1740" spans="2:8" ht="13.8" x14ac:dyDescent="0.25">
      <c r="B1740" s="294">
        <v>17193</v>
      </c>
      <c r="C1740" s="289" t="s">
        <v>3253</v>
      </c>
      <c r="D1740" s="253"/>
      <c r="E1740" s="253"/>
      <c r="F1740" s="253"/>
      <c r="G1740" s="253"/>
      <c r="H1740" s="295">
        <v>12</v>
      </c>
    </row>
    <row r="1741" spans="2:8" ht="13.8" x14ac:dyDescent="0.25">
      <c r="B1741" s="294">
        <v>17194</v>
      </c>
      <c r="C1741" s="289" t="s">
        <v>3254</v>
      </c>
      <c r="D1741" s="253"/>
      <c r="E1741" s="253"/>
      <c r="F1741" s="253"/>
      <c r="G1741" s="253"/>
      <c r="H1741" s="295">
        <v>13</v>
      </c>
    </row>
    <row r="1742" spans="2:8" ht="13.8" x14ac:dyDescent="0.25">
      <c r="B1742" s="294">
        <v>17195</v>
      </c>
      <c r="C1742" s="289" t="s">
        <v>3255</v>
      </c>
      <c r="D1742" s="253"/>
      <c r="E1742" s="253"/>
      <c r="F1742" s="253"/>
      <c r="G1742" s="253"/>
      <c r="H1742" s="295">
        <v>12</v>
      </c>
    </row>
    <row r="1743" spans="2:8" ht="13.8" x14ac:dyDescent="0.25">
      <c r="B1743" s="294">
        <v>17196</v>
      </c>
      <c r="C1743" s="289" t="s">
        <v>3256</v>
      </c>
      <c r="D1743" s="253"/>
      <c r="E1743" s="253"/>
      <c r="F1743" s="253"/>
      <c r="G1743" s="253"/>
      <c r="H1743" s="295">
        <v>12</v>
      </c>
    </row>
    <row r="1744" spans="2:8" ht="13.8" x14ac:dyDescent="0.25">
      <c r="B1744" s="294">
        <v>17197</v>
      </c>
      <c r="C1744" s="289" t="s">
        <v>3257</v>
      </c>
      <c r="D1744" s="253"/>
      <c r="E1744" s="253"/>
      <c r="F1744" s="253"/>
      <c r="G1744" s="253"/>
      <c r="H1744" s="295">
        <v>12</v>
      </c>
    </row>
    <row r="1745" spans="2:8" ht="27.6" x14ac:dyDescent="0.25">
      <c r="B1745" s="294">
        <v>17198</v>
      </c>
      <c r="C1745" s="289" t="s">
        <v>3283</v>
      </c>
      <c r="D1745" s="253"/>
      <c r="E1745" s="253"/>
      <c r="F1745" s="253"/>
      <c r="G1745" s="253"/>
      <c r="H1745" s="295">
        <v>12</v>
      </c>
    </row>
    <row r="1746" spans="2:8" ht="13.8" x14ac:dyDescent="0.25">
      <c r="B1746" s="294">
        <v>17199</v>
      </c>
      <c r="C1746" s="289" t="s">
        <v>3258</v>
      </c>
      <c r="D1746" s="253"/>
      <c r="E1746" s="253"/>
      <c r="F1746" s="253"/>
      <c r="G1746" s="253"/>
      <c r="H1746" s="295">
        <v>13</v>
      </c>
    </row>
    <row r="1747" spans="2:8" ht="13.8" x14ac:dyDescent="0.25">
      <c r="B1747" s="294">
        <v>17200</v>
      </c>
      <c r="C1747" s="289" t="s">
        <v>3259</v>
      </c>
      <c r="D1747" s="253"/>
      <c r="E1747" s="253"/>
      <c r="F1747" s="253"/>
      <c r="G1747" s="253"/>
      <c r="H1747" s="295">
        <v>13</v>
      </c>
    </row>
    <row r="1748" spans="2:8" ht="13.8" x14ac:dyDescent="0.25">
      <c r="B1748" s="294">
        <v>17201</v>
      </c>
      <c r="C1748" s="289" t="s">
        <v>3260</v>
      </c>
      <c r="D1748" s="253"/>
      <c r="E1748" s="253"/>
      <c r="F1748" s="253"/>
      <c r="G1748" s="253"/>
      <c r="H1748" s="295">
        <v>13</v>
      </c>
    </row>
    <row r="1749" spans="2:8" ht="13.8" x14ac:dyDescent="0.25">
      <c r="B1749" s="294">
        <v>17202</v>
      </c>
      <c r="C1749" s="289" t="s">
        <v>3261</v>
      </c>
      <c r="D1749" s="253"/>
      <c r="E1749" s="253"/>
      <c r="F1749" s="253"/>
      <c r="G1749" s="253"/>
      <c r="H1749" s="295">
        <v>13</v>
      </c>
    </row>
    <row r="1750" spans="2:8" ht="13.8" x14ac:dyDescent="0.25">
      <c r="B1750" s="294">
        <v>17203</v>
      </c>
      <c r="C1750" s="289" t="s">
        <v>3262</v>
      </c>
      <c r="D1750" s="253"/>
      <c r="E1750" s="253"/>
      <c r="F1750" s="253"/>
      <c r="G1750" s="253"/>
      <c r="H1750" s="295">
        <v>13</v>
      </c>
    </row>
    <row r="1751" spans="2:8" ht="14.4" thickBot="1" x14ac:dyDescent="0.3">
      <c r="B1751" s="294">
        <v>17204</v>
      </c>
      <c r="C1751" s="289" t="s">
        <v>3263</v>
      </c>
      <c r="D1751" s="253"/>
      <c r="E1751" s="253"/>
      <c r="F1751" s="253"/>
      <c r="G1751" s="253"/>
      <c r="H1751" s="295">
        <v>13</v>
      </c>
    </row>
    <row r="1752" spans="2:8" ht="14.4" thickBot="1" x14ac:dyDescent="0.3">
      <c r="B1752" s="375" t="s">
        <v>3264</v>
      </c>
      <c r="C1752" s="376"/>
      <c r="D1752" s="376"/>
      <c r="E1752" s="376"/>
      <c r="F1752" s="376"/>
      <c r="G1752" s="376"/>
      <c r="H1752" s="377"/>
    </row>
    <row r="1753" spans="2:8" ht="13.8" x14ac:dyDescent="0.25">
      <c r="B1753" s="294">
        <v>17205</v>
      </c>
      <c r="C1753" s="289" t="s">
        <v>3265</v>
      </c>
      <c r="D1753" s="253"/>
      <c r="E1753" s="253"/>
      <c r="F1753" s="253"/>
      <c r="G1753" s="253"/>
      <c r="H1753" s="295">
        <v>6</v>
      </c>
    </row>
    <row r="1754" spans="2:8" ht="13.8" x14ac:dyDescent="0.25">
      <c r="B1754" s="294">
        <v>17206</v>
      </c>
      <c r="C1754" s="289" t="s">
        <v>3266</v>
      </c>
      <c r="D1754" s="253"/>
      <c r="E1754" s="253"/>
      <c r="F1754" s="253"/>
      <c r="G1754" s="253"/>
      <c r="H1754" s="295">
        <v>8</v>
      </c>
    </row>
    <row r="1755" spans="2:8" ht="27.6" x14ac:dyDescent="0.25">
      <c r="B1755" s="294">
        <v>17207</v>
      </c>
      <c r="C1755" s="289" t="s">
        <v>3267</v>
      </c>
      <c r="D1755" s="253"/>
      <c r="E1755" s="253"/>
      <c r="F1755" s="253"/>
      <c r="G1755" s="253"/>
      <c r="H1755" s="295">
        <v>8</v>
      </c>
    </row>
    <row r="1756" spans="2:8" ht="13.8" x14ac:dyDescent="0.25">
      <c r="B1756" s="294">
        <v>17208</v>
      </c>
      <c r="C1756" s="289" t="s">
        <v>3268</v>
      </c>
      <c r="D1756" s="253"/>
      <c r="E1756" s="253"/>
      <c r="F1756" s="253"/>
      <c r="G1756" s="253"/>
      <c r="H1756" s="295">
        <v>8</v>
      </c>
    </row>
    <row r="1757" spans="2:8" ht="13.8" x14ac:dyDescent="0.25">
      <c r="B1757" s="294">
        <v>17209</v>
      </c>
      <c r="C1757" s="289" t="s">
        <v>3269</v>
      </c>
      <c r="D1757" s="253"/>
      <c r="E1757" s="253"/>
      <c r="F1757" s="253"/>
      <c r="G1757" s="253"/>
      <c r="H1757" s="295">
        <v>8</v>
      </c>
    </row>
    <row r="1758" spans="2:8" ht="28.2" thickBot="1" x14ac:dyDescent="0.3">
      <c r="B1758" s="294">
        <v>17210</v>
      </c>
      <c r="C1758" s="289" t="s">
        <v>3270</v>
      </c>
      <c r="D1758" s="253"/>
      <c r="E1758" s="253"/>
      <c r="F1758" s="253"/>
      <c r="G1758" s="253"/>
      <c r="H1758" s="295">
        <v>10</v>
      </c>
    </row>
    <row r="1759" spans="2:8" ht="14.4" thickBot="1" x14ac:dyDescent="0.3">
      <c r="B1759" s="375" t="s">
        <v>3271</v>
      </c>
      <c r="C1759" s="376"/>
      <c r="D1759" s="376"/>
      <c r="E1759" s="376"/>
      <c r="F1759" s="376"/>
      <c r="G1759" s="376"/>
      <c r="H1759" s="377"/>
    </row>
    <row r="1760" spans="2:8" ht="13.8" x14ac:dyDescent="0.25">
      <c r="B1760" s="294">
        <v>17211</v>
      </c>
      <c r="C1760" s="289" t="s">
        <v>3272</v>
      </c>
      <c r="D1760" s="253"/>
      <c r="E1760" s="253"/>
      <c r="F1760" s="253"/>
      <c r="G1760" s="253"/>
      <c r="H1760" s="295">
        <v>13</v>
      </c>
    </row>
    <row r="1761" spans="2:8" ht="27.6" x14ac:dyDescent="0.25">
      <c r="B1761" s="294">
        <v>17212</v>
      </c>
      <c r="C1761" s="289" t="s">
        <v>3273</v>
      </c>
      <c r="D1761" s="253"/>
      <c r="E1761" s="253"/>
      <c r="F1761" s="253"/>
      <c r="G1761" s="253"/>
      <c r="H1761" s="295">
        <v>20</v>
      </c>
    </row>
    <row r="1762" spans="2:8" ht="13.8" x14ac:dyDescent="0.25">
      <c r="B1762" s="294">
        <v>17213</v>
      </c>
      <c r="C1762" s="289" t="s">
        <v>3274</v>
      </c>
      <c r="D1762" s="253"/>
      <c r="E1762" s="253"/>
      <c r="F1762" s="253"/>
      <c r="G1762" s="253"/>
      <c r="H1762" s="295">
        <v>13</v>
      </c>
    </row>
    <row r="1763" spans="2:8" ht="13.8" x14ac:dyDescent="0.25">
      <c r="B1763" s="294">
        <v>17214</v>
      </c>
      <c r="C1763" s="289" t="s">
        <v>2376</v>
      </c>
      <c r="D1763" s="253"/>
      <c r="E1763" s="253"/>
      <c r="F1763" s="253"/>
      <c r="G1763" s="253"/>
      <c r="H1763" s="295">
        <v>12</v>
      </c>
    </row>
    <row r="1764" spans="2:8" ht="13.8" x14ac:dyDescent="0.25">
      <c r="B1764" s="294">
        <v>17215</v>
      </c>
      <c r="C1764" s="289" t="s">
        <v>3275</v>
      </c>
      <c r="D1764" s="253"/>
      <c r="E1764" s="253"/>
      <c r="F1764" s="253"/>
      <c r="G1764" s="253"/>
      <c r="H1764" s="295">
        <v>12</v>
      </c>
    </row>
    <row r="1765" spans="2:8" ht="13.8" x14ac:dyDescent="0.25">
      <c r="B1765" s="294">
        <v>17216</v>
      </c>
      <c r="C1765" s="289" t="s">
        <v>3276</v>
      </c>
      <c r="D1765" s="253"/>
      <c r="E1765" s="253"/>
      <c r="F1765" s="253"/>
      <c r="G1765" s="253"/>
      <c r="H1765" s="295">
        <v>10</v>
      </c>
    </row>
    <row r="1766" spans="2:8" ht="13.8" x14ac:dyDescent="0.25">
      <c r="B1766" s="294">
        <v>17217</v>
      </c>
      <c r="C1766" s="289" t="s">
        <v>3277</v>
      </c>
      <c r="D1766" s="253"/>
      <c r="E1766" s="253"/>
      <c r="F1766" s="253"/>
      <c r="G1766" s="253"/>
      <c r="H1766" s="295">
        <v>10</v>
      </c>
    </row>
    <row r="1767" spans="2:8" ht="13.8" x14ac:dyDescent="0.25">
      <c r="B1767" s="294">
        <v>17218</v>
      </c>
      <c r="C1767" s="289" t="s">
        <v>3278</v>
      </c>
      <c r="D1767" s="253"/>
      <c r="E1767" s="253"/>
      <c r="F1767" s="253"/>
      <c r="G1767" s="253"/>
      <c r="H1767" s="295">
        <v>13</v>
      </c>
    </row>
    <row r="1768" spans="2:8" ht="27.6" x14ac:dyDescent="0.25">
      <c r="B1768" s="294">
        <v>17219</v>
      </c>
      <c r="C1768" s="289" t="s">
        <v>3279</v>
      </c>
      <c r="D1768" s="253"/>
      <c r="E1768" s="253"/>
      <c r="F1768" s="253"/>
      <c r="G1768" s="253"/>
      <c r="H1768" s="295">
        <v>20</v>
      </c>
    </row>
    <row r="1769" spans="2:8" ht="13.8" x14ac:dyDescent="0.25">
      <c r="B1769" s="294">
        <v>17220</v>
      </c>
      <c r="C1769" s="289" t="s">
        <v>3280</v>
      </c>
      <c r="D1769" s="253"/>
      <c r="E1769" s="253"/>
      <c r="F1769" s="253"/>
      <c r="G1769" s="253"/>
      <c r="H1769" s="295">
        <v>20</v>
      </c>
    </row>
    <row r="1770" spans="2:8" ht="27.6" x14ac:dyDescent="0.25">
      <c r="B1770" s="294">
        <v>17221</v>
      </c>
      <c r="C1770" s="289" t="s">
        <v>3281</v>
      </c>
      <c r="D1770" s="253"/>
      <c r="E1770" s="253"/>
      <c r="F1770" s="253"/>
      <c r="G1770" s="253"/>
      <c r="H1770" s="295">
        <v>10</v>
      </c>
    </row>
    <row r="1771" spans="2:8" ht="28.2" thickBot="1" x14ac:dyDescent="0.3">
      <c r="B1771" s="298">
        <v>17222</v>
      </c>
      <c r="C1771" s="299" t="s">
        <v>3282</v>
      </c>
      <c r="D1771" s="265"/>
      <c r="E1771" s="265"/>
      <c r="F1771" s="265"/>
      <c r="G1771" s="265"/>
      <c r="H1771" s="300">
        <v>10</v>
      </c>
    </row>
    <row r="1772" spans="2:8" ht="14.4" thickBot="1" x14ac:dyDescent="0.3">
      <c r="B1772" s="1"/>
      <c r="C1772" s="1"/>
      <c r="D1772" s="1"/>
    </row>
    <row r="1773" spans="2:8" ht="14.4" thickBot="1" x14ac:dyDescent="0.3">
      <c r="B1773" s="375" t="s">
        <v>3284</v>
      </c>
      <c r="C1773" s="376"/>
      <c r="D1773" s="376"/>
      <c r="E1773" s="376"/>
      <c r="F1773" s="376"/>
      <c r="G1773" s="376"/>
      <c r="H1773" s="377"/>
    </row>
    <row r="1774" spans="2:8" x14ac:dyDescent="0.25">
      <c r="B1774" s="384" t="s">
        <v>3285</v>
      </c>
      <c r="C1774" s="385"/>
      <c r="D1774" s="385"/>
      <c r="E1774" s="385"/>
      <c r="F1774" s="385"/>
      <c r="G1774" s="385"/>
      <c r="H1774" s="386"/>
    </row>
    <row r="1775" spans="2:8" x14ac:dyDescent="0.25">
      <c r="B1775" s="387"/>
      <c r="C1775" s="388"/>
      <c r="D1775" s="388"/>
      <c r="E1775" s="388"/>
      <c r="F1775" s="388"/>
      <c r="G1775" s="388"/>
      <c r="H1775" s="389"/>
    </row>
    <row r="1776" spans="2:8" x14ac:dyDescent="0.25">
      <c r="B1776" s="387"/>
      <c r="C1776" s="388"/>
      <c r="D1776" s="388"/>
      <c r="E1776" s="388"/>
      <c r="F1776" s="388"/>
      <c r="G1776" s="388"/>
      <c r="H1776" s="389"/>
    </row>
    <row r="1777" spans="2:8" ht="13.8" thickBot="1" x14ac:dyDescent="0.3">
      <c r="B1777" s="390"/>
      <c r="C1777" s="391"/>
      <c r="D1777" s="391"/>
      <c r="E1777" s="391"/>
      <c r="F1777" s="391"/>
      <c r="G1777" s="391"/>
      <c r="H1777" s="392"/>
    </row>
    <row r="1778" spans="2:8" ht="13.8" thickBot="1" x14ac:dyDescent="0.3"/>
    <row r="1779" spans="2:8" ht="14.4" thickBot="1" x14ac:dyDescent="0.3">
      <c r="B1779" s="375" t="s">
        <v>3286</v>
      </c>
      <c r="C1779" s="376"/>
      <c r="D1779" s="376"/>
      <c r="E1779" s="376"/>
      <c r="F1779" s="376"/>
      <c r="G1779" s="376"/>
      <c r="H1779" s="377"/>
    </row>
    <row r="1780" spans="2:8" ht="14.4" thickBot="1" x14ac:dyDescent="0.3">
      <c r="B1780" s="305" t="s">
        <v>1605</v>
      </c>
      <c r="C1780" s="306" t="s">
        <v>1625</v>
      </c>
      <c r="D1780" s="307"/>
      <c r="E1780" s="307"/>
      <c r="F1780" s="307"/>
      <c r="G1780" s="307"/>
      <c r="H1780" s="308" t="s">
        <v>1626</v>
      </c>
    </row>
    <row r="1781" spans="2:8" ht="13.8" x14ac:dyDescent="0.25">
      <c r="B1781" s="287">
        <v>18101</v>
      </c>
      <c r="C1781" s="244" t="s">
        <v>3287</v>
      </c>
      <c r="D1781" s="259"/>
      <c r="E1781" s="259"/>
      <c r="F1781" s="259"/>
      <c r="G1781" s="259"/>
      <c r="H1781" s="285">
        <v>10</v>
      </c>
    </row>
    <row r="1782" spans="2:8" ht="13.8" x14ac:dyDescent="0.25">
      <c r="B1782" s="248">
        <v>18102</v>
      </c>
      <c r="C1782" s="243" t="s">
        <v>3288</v>
      </c>
      <c r="D1782" s="253"/>
      <c r="E1782" s="253"/>
      <c r="F1782" s="253"/>
      <c r="G1782" s="253"/>
      <c r="H1782" s="249">
        <v>10</v>
      </c>
    </row>
    <row r="1783" spans="2:8" ht="13.8" x14ac:dyDescent="0.25">
      <c r="B1783" s="248">
        <v>18103</v>
      </c>
      <c r="C1783" s="243" t="s">
        <v>3289</v>
      </c>
      <c r="D1783" s="253"/>
      <c r="E1783" s="253"/>
      <c r="F1783" s="253"/>
      <c r="G1783" s="253"/>
      <c r="H1783" s="249">
        <v>8</v>
      </c>
    </row>
    <row r="1784" spans="2:8" ht="13.8" x14ac:dyDescent="0.25">
      <c r="B1784" s="248">
        <v>18104</v>
      </c>
      <c r="C1784" s="243" t="s">
        <v>3290</v>
      </c>
      <c r="D1784" s="253"/>
      <c r="E1784" s="253"/>
      <c r="F1784" s="253"/>
      <c r="G1784" s="253"/>
      <c r="H1784" s="249">
        <v>10</v>
      </c>
    </row>
    <row r="1785" spans="2:8" ht="13.8" x14ac:dyDescent="0.25">
      <c r="B1785" s="248">
        <v>18105</v>
      </c>
      <c r="C1785" s="243" t="s">
        <v>3291</v>
      </c>
      <c r="D1785" s="253"/>
      <c r="E1785" s="253"/>
      <c r="F1785" s="253"/>
      <c r="G1785" s="253"/>
      <c r="H1785" s="249">
        <v>10</v>
      </c>
    </row>
    <row r="1786" spans="2:8" ht="13.8" x14ac:dyDescent="0.25">
      <c r="B1786" s="248">
        <v>18106</v>
      </c>
      <c r="C1786" s="243" t="s">
        <v>3292</v>
      </c>
      <c r="D1786" s="253"/>
      <c r="E1786" s="253"/>
      <c r="F1786" s="253"/>
      <c r="G1786" s="253"/>
      <c r="H1786" s="249">
        <v>8</v>
      </c>
    </row>
    <row r="1787" spans="2:8" ht="13.8" x14ac:dyDescent="0.25">
      <c r="B1787" s="248">
        <v>18107</v>
      </c>
      <c r="C1787" s="243" t="s">
        <v>3293</v>
      </c>
      <c r="D1787" s="253"/>
      <c r="E1787" s="253"/>
      <c r="F1787" s="253"/>
      <c r="G1787" s="253"/>
      <c r="H1787" s="249">
        <v>10</v>
      </c>
    </row>
    <row r="1788" spans="2:8" ht="13.8" x14ac:dyDescent="0.25">
      <c r="B1788" s="248">
        <v>18108</v>
      </c>
      <c r="C1788" s="243" t="s">
        <v>3294</v>
      </c>
      <c r="D1788" s="253"/>
      <c r="E1788" s="253"/>
      <c r="F1788" s="253"/>
      <c r="G1788" s="253"/>
      <c r="H1788" s="249">
        <v>10</v>
      </c>
    </row>
    <row r="1789" spans="2:8" ht="13.8" x14ac:dyDescent="0.25">
      <c r="B1789" s="248">
        <v>18109</v>
      </c>
      <c r="C1789" s="243" t="s">
        <v>3295</v>
      </c>
      <c r="D1789" s="253"/>
      <c r="E1789" s="253"/>
      <c r="F1789" s="253"/>
      <c r="G1789" s="253"/>
      <c r="H1789" s="249">
        <v>12</v>
      </c>
    </row>
    <row r="1790" spans="2:8" ht="13.8" x14ac:dyDescent="0.25">
      <c r="B1790" s="248">
        <v>18110</v>
      </c>
      <c r="C1790" s="243" t="s">
        <v>3296</v>
      </c>
      <c r="D1790" s="253"/>
      <c r="E1790" s="253"/>
      <c r="F1790" s="253"/>
      <c r="G1790" s="253"/>
      <c r="H1790" s="249">
        <v>12</v>
      </c>
    </row>
    <row r="1791" spans="2:8" ht="13.8" x14ac:dyDescent="0.25">
      <c r="B1791" s="248">
        <v>18111</v>
      </c>
      <c r="C1791" s="243" t="s">
        <v>3297</v>
      </c>
      <c r="D1791" s="253"/>
      <c r="E1791" s="253"/>
      <c r="F1791" s="253"/>
      <c r="G1791" s="253"/>
      <c r="H1791" s="249">
        <v>12</v>
      </c>
    </row>
    <row r="1792" spans="2:8" ht="13.8" x14ac:dyDescent="0.25">
      <c r="B1792" s="248">
        <v>18112</v>
      </c>
      <c r="C1792" s="243" t="s">
        <v>3298</v>
      </c>
      <c r="D1792" s="253"/>
      <c r="E1792" s="253"/>
      <c r="F1792" s="253"/>
      <c r="G1792" s="253"/>
      <c r="H1792" s="249">
        <v>10</v>
      </c>
    </row>
    <row r="1793" spans="2:8" ht="13.8" x14ac:dyDescent="0.25">
      <c r="B1793" s="248">
        <v>18113</v>
      </c>
      <c r="C1793" s="243" t="s">
        <v>3299</v>
      </c>
      <c r="D1793" s="253"/>
      <c r="E1793" s="253"/>
      <c r="F1793" s="253"/>
      <c r="G1793" s="253"/>
      <c r="H1793" s="249">
        <v>10</v>
      </c>
    </row>
    <row r="1794" spans="2:8" ht="13.8" x14ac:dyDescent="0.25">
      <c r="B1794" s="248">
        <v>18114</v>
      </c>
      <c r="C1794" s="243" t="s">
        <v>3300</v>
      </c>
      <c r="D1794" s="253"/>
      <c r="E1794" s="253"/>
      <c r="F1794" s="253"/>
      <c r="G1794" s="253"/>
      <c r="H1794" s="249">
        <v>10</v>
      </c>
    </row>
    <row r="1795" spans="2:8" ht="13.8" x14ac:dyDescent="0.25">
      <c r="B1795" s="248">
        <v>18115</v>
      </c>
      <c r="C1795" s="243" t="s">
        <v>3301</v>
      </c>
      <c r="D1795" s="253"/>
      <c r="E1795" s="253"/>
      <c r="F1795" s="253"/>
      <c r="G1795" s="253"/>
      <c r="H1795" s="249">
        <v>12</v>
      </c>
    </row>
    <row r="1796" spans="2:8" ht="13.8" x14ac:dyDescent="0.25">
      <c r="B1796" s="248">
        <v>18116</v>
      </c>
      <c r="C1796" s="243" t="s">
        <v>3302</v>
      </c>
      <c r="D1796" s="253"/>
      <c r="E1796" s="253"/>
      <c r="F1796" s="253"/>
      <c r="G1796" s="253"/>
      <c r="H1796" s="249">
        <v>12</v>
      </c>
    </row>
    <row r="1797" spans="2:8" ht="13.8" x14ac:dyDescent="0.25">
      <c r="B1797" s="248">
        <v>18117</v>
      </c>
      <c r="C1797" s="243" t="s">
        <v>3303</v>
      </c>
      <c r="D1797" s="253"/>
      <c r="E1797" s="253"/>
      <c r="F1797" s="253"/>
      <c r="G1797" s="253"/>
      <c r="H1797" s="249">
        <v>12</v>
      </c>
    </row>
    <row r="1798" spans="2:8" ht="13.8" x14ac:dyDescent="0.25">
      <c r="B1798" s="248">
        <v>18118</v>
      </c>
      <c r="C1798" s="243" t="s">
        <v>3304</v>
      </c>
      <c r="D1798" s="253"/>
      <c r="E1798" s="253"/>
      <c r="F1798" s="253"/>
      <c r="G1798" s="253"/>
      <c r="H1798" s="249">
        <v>8</v>
      </c>
    </row>
    <row r="1799" spans="2:8" ht="13.8" x14ac:dyDescent="0.25">
      <c r="B1799" s="248">
        <v>18119</v>
      </c>
      <c r="C1799" s="243" t="s">
        <v>3305</v>
      </c>
      <c r="D1799" s="253"/>
      <c r="E1799" s="253"/>
      <c r="F1799" s="253"/>
      <c r="G1799" s="253"/>
      <c r="H1799" s="249">
        <v>10</v>
      </c>
    </row>
    <row r="1800" spans="2:8" ht="13.8" x14ac:dyDescent="0.25">
      <c r="B1800" s="248">
        <v>18120</v>
      </c>
      <c r="C1800" s="243" t="s">
        <v>3306</v>
      </c>
      <c r="D1800" s="253"/>
      <c r="E1800" s="253"/>
      <c r="F1800" s="253"/>
      <c r="G1800" s="253"/>
      <c r="H1800" s="249">
        <v>8</v>
      </c>
    </row>
    <row r="1801" spans="2:8" ht="13.8" x14ac:dyDescent="0.25">
      <c r="B1801" s="248">
        <v>18121</v>
      </c>
      <c r="C1801" s="243" t="s">
        <v>3307</v>
      </c>
      <c r="D1801" s="253"/>
      <c r="E1801" s="253"/>
      <c r="F1801" s="253"/>
      <c r="G1801" s="253"/>
      <c r="H1801" s="249">
        <v>10</v>
      </c>
    </row>
    <row r="1802" spans="2:8" ht="13.8" x14ac:dyDescent="0.25">
      <c r="B1802" s="248">
        <v>18122</v>
      </c>
      <c r="C1802" s="243" t="s">
        <v>3308</v>
      </c>
      <c r="D1802" s="253"/>
      <c r="E1802" s="253"/>
      <c r="F1802" s="253"/>
      <c r="G1802" s="253"/>
      <c r="H1802" s="249">
        <v>12</v>
      </c>
    </row>
    <row r="1803" spans="2:8" ht="13.8" x14ac:dyDescent="0.25">
      <c r="B1803" s="248">
        <v>18123</v>
      </c>
      <c r="C1803" s="243" t="s">
        <v>3309</v>
      </c>
      <c r="D1803" s="253"/>
      <c r="E1803" s="253"/>
      <c r="F1803" s="253"/>
      <c r="G1803" s="253"/>
      <c r="H1803" s="249">
        <v>13</v>
      </c>
    </row>
    <row r="1804" spans="2:8" ht="13.8" x14ac:dyDescent="0.25">
      <c r="B1804" s="248">
        <v>18124</v>
      </c>
      <c r="C1804" s="243" t="s">
        <v>3310</v>
      </c>
      <c r="D1804" s="253"/>
      <c r="E1804" s="253"/>
      <c r="F1804" s="253"/>
      <c r="G1804" s="253"/>
      <c r="H1804" s="249">
        <v>13</v>
      </c>
    </row>
    <row r="1805" spans="2:8" ht="13.8" x14ac:dyDescent="0.25">
      <c r="B1805" s="248">
        <v>18125</v>
      </c>
      <c r="C1805" s="243" t="s">
        <v>3311</v>
      </c>
      <c r="D1805" s="253"/>
      <c r="E1805" s="253"/>
      <c r="F1805" s="253"/>
      <c r="G1805" s="253"/>
      <c r="H1805" s="249">
        <v>12</v>
      </c>
    </row>
    <row r="1806" spans="2:8" ht="13.8" x14ac:dyDescent="0.25">
      <c r="B1806" s="248">
        <v>18126</v>
      </c>
      <c r="C1806" s="243" t="s">
        <v>3312</v>
      </c>
      <c r="D1806" s="253"/>
      <c r="E1806" s="253"/>
      <c r="F1806" s="253"/>
      <c r="G1806" s="253"/>
      <c r="H1806" s="249">
        <v>12</v>
      </c>
    </row>
    <row r="1807" spans="2:8" ht="14.4" thickBot="1" x14ac:dyDescent="0.3">
      <c r="B1807" s="248">
        <v>18127</v>
      </c>
      <c r="C1807" s="243" t="s">
        <v>3313</v>
      </c>
      <c r="D1807" s="253"/>
      <c r="E1807" s="253"/>
      <c r="F1807" s="253"/>
      <c r="G1807" s="253"/>
      <c r="H1807" s="249">
        <v>8</v>
      </c>
    </row>
    <row r="1808" spans="2:8" ht="14.4" thickBot="1" x14ac:dyDescent="0.3">
      <c r="B1808" s="375" t="s">
        <v>3314</v>
      </c>
      <c r="C1808" s="376"/>
      <c r="D1808" s="376"/>
      <c r="E1808" s="376"/>
      <c r="F1808" s="376"/>
      <c r="G1808" s="376"/>
      <c r="H1808" s="377"/>
    </row>
    <row r="1809" spans="2:8" ht="13.8" x14ac:dyDescent="0.25">
      <c r="B1809" s="248">
        <v>18128</v>
      </c>
      <c r="C1809" s="243" t="s">
        <v>3315</v>
      </c>
      <c r="D1809" s="253"/>
      <c r="E1809" s="253"/>
      <c r="F1809" s="253"/>
      <c r="G1809" s="253"/>
      <c r="H1809" s="249">
        <v>20</v>
      </c>
    </row>
    <row r="1810" spans="2:8" ht="13.8" x14ac:dyDescent="0.25">
      <c r="B1810" s="248">
        <v>18129</v>
      </c>
      <c r="C1810" s="243" t="s">
        <v>3316</v>
      </c>
      <c r="D1810" s="253"/>
      <c r="E1810" s="253"/>
      <c r="F1810" s="253"/>
      <c r="G1810" s="253"/>
      <c r="H1810" s="249">
        <v>20</v>
      </c>
    </row>
    <row r="1811" spans="2:8" ht="13.8" x14ac:dyDescent="0.25">
      <c r="B1811" s="248">
        <v>18130</v>
      </c>
      <c r="C1811" s="243" t="s">
        <v>3317</v>
      </c>
      <c r="D1811" s="253"/>
      <c r="E1811" s="253"/>
      <c r="F1811" s="253"/>
      <c r="G1811" s="253"/>
      <c r="H1811" s="249">
        <v>20</v>
      </c>
    </row>
    <row r="1812" spans="2:8" ht="14.4" thickBot="1" x14ac:dyDescent="0.3">
      <c r="B1812" s="248">
        <v>18131</v>
      </c>
      <c r="C1812" s="243" t="s">
        <v>3318</v>
      </c>
      <c r="D1812" s="253"/>
      <c r="E1812" s="253"/>
      <c r="F1812" s="253"/>
      <c r="G1812" s="253"/>
      <c r="H1812" s="249">
        <v>20</v>
      </c>
    </row>
    <row r="1813" spans="2:8" ht="14.4" thickBot="1" x14ac:dyDescent="0.3">
      <c r="B1813" s="375" t="s">
        <v>3319</v>
      </c>
      <c r="C1813" s="376"/>
      <c r="D1813" s="376"/>
      <c r="E1813" s="376"/>
      <c r="F1813" s="376"/>
      <c r="G1813" s="376"/>
      <c r="H1813" s="377"/>
    </row>
    <row r="1814" spans="2:8" ht="13.8" x14ac:dyDescent="0.25">
      <c r="B1814" s="248">
        <v>18132</v>
      </c>
      <c r="C1814" s="243" t="s">
        <v>3320</v>
      </c>
      <c r="D1814" s="253"/>
      <c r="E1814" s="253"/>
      <c r="F1814" s="253"/>
      <c r="G1814" s="253"/>
      <c r="H1814" s="249">
        <v>10</v>
      </c>
    </row>
    <row r="1815" spans="2:8" ht="13.8" x14ac:dyDescent="0.25">
      <c r="B1815" s="248">
        <v>18133</v>
      </c>
      <c r="C1815" s="243" t="s">
        <v>3321</v>
      </c>
      <c r="D1815" s="253"/>
      <c r="E1815" s="253"/>
      <c r="F1815" s="253"/>
      <c r="G1815" s="253"/>
      <c r="H1815" s="249">
        <v>13</v>
      </c>
    </row>
    <row r="1816" spans="2:8" ht="13.8" x14ac:dyDescent="0.25">
      <c r="B1816" s="248">
        <v>18134</v>
      </c>
      <c r="C1816" s="243" t="s">
        <v>3322</v>
      </c>
      <c r="D1816" s="253"/>
      <c r="E1816" s="253"/>
      <c r="F1816" s="253"/>
      <c r="G1816" s="253"/>
      <c r="H1816" s="249">
        <v>12</v>
      </c>
    </row>
    <row r="1817" spans="2:8" ht="13.8" x14ac:dyDescent="0.25">
      <c r="B1817" s="248">
        <v>18135</v>
      </c>
      <c r="C1817" s="243" t="s">
        <v>3323</v>
      </c>
      <c r="D1817" s="253"/>
      <c r="E1817" s="253"/>
      <c r="F1817" s="253"/>
      <c r="G1817" s="253"/>
      <c r="H1817" s="249">
        <v>13</v>
      </c>
    </row>
    <row r="1818" spans="2:8" ht="13.8" x14ac:dyDescent="0.25">
      <c r="B1818" s="248">
        <v>18136</v>
      </c>
      <c r="C1818" s="243" t="s">
        <v>3324</v>
      </c>
      <c r="D1818" s="253"/>
      <c r="E1818" s="253"/>
      <c r="F1818" s="253"/>
      <c r="G1818" s="253"/>
      <c r="H1818" s="249">
        <v>10</v>
      </c>
    </row>
    <row r="1819" spans="2:8" ht="14.4" thickBot="1" x14ac:dyDescent="0.3">
      <c r="B1819" s="250">
        <v>18137</v>
      </c>
      <c r="C1819" s="251" t="s">
        <v>3325</v>
      </c>
      <c r="D1819" s="265"/>
      <c r="E1819" s="265"/>
      <c r="F1819" s="265"/>
      <c r="G1819" s="265"/>
      <c r="H1819" s="252">
        <v>13</v>
      </c>
    </row>
    <row r="1820" spans="2:8" ht="14.4" thickBot="1" x14ac:dyDescent="0.3">
      <c r="B1820" s="1"/>
      <c r="C1820" s="1"/>
      <c r="D1820" s="1"/>
    </row>
    <row r="1821" spans="2:8" ht="14.4" thickBot="1" x14ac:dyDescent="0.3">
      <c r="B1821" s="375" t="s">
        <v>3326</v>
      </c>
      <c r="C1821" s="376"/>
      <c r="D1821" s="376"/>
      <c r="E1821" s="376"/>
      <c r="F1821" s="376"/>
      <c r="G1821" s="376"/>
      <c r="H1821" s="377"/>
    </row>
    <row r="1822" spans="2:8" ht="13.8" thickBot="1" x14ac:dyDescent="0.3"/>
    <row r="1823" spans="2:8" x14ac:dyDescent="0.25">
      <c r="B1823" s="384" t="s">
        <v>3327</v>
      </c>
      <c r="C1823" s="385"/>
      <c r="D1823" s="385"/>
      <c r="E1823" s="385"/>
      <c r="F1823" s="385"/>
      <c r="G1823" s="385"/>
      <c r="H1823" s="386"/>
    </row>
    <row r="1824" spans="2:8" x14ac:dyDescent="0.25">
      <c r="B1824" s="387"/>
      <c r="C1824" s="388"/>
      <c r="D1824" s="388"/>
      <c r="E1824" s="388"/>
      <c r="F1824" s="388"/>
      <c r="G1824" s="388"/>
      <c r="H1824" s="389"/>
    </row>
    <row r="1825" spans="2:8" x14ac:dyDescent="0.25">
      <c r="B1825" s="387"/>
      <c r="C1825" s="388"/>
      <c r="D1825" s="388"/>
      <c r="E1825" s="388"/>
      <c r="F1825" s="388"/>
      <c r="G1825" s="388"/>
      <c r="H1825" s="389"/>
    </row>
    <row r="1826" spans="2:8" ht="13.8" thickBot="1" x14ac:dyDescent="0.3">
      <c r="B1826" s="390"/>
      <c r="C1826" s="391"/>
      <c r="D1826" s="391"/>
      <c r="E1826" s="391"/>
      <c r="F1826" s="391"/>
      <c r="G1826" s="391"/>
      <c r="H1826" s="392"/>
    </row>
    <row r="1827" spans="2:8" ht="13.8" thickBot="1" x14ac:dyDescent="0.3"/>
    <row r="1828" spans="2:8" ht="14.4" thickBot="1" x14ac:dyDescent="0.3">
      <c r="B1828" s="375" t="s">
        <v>3328</v>
      </c>
      <c r="C1828" s="376"/>
      <c r="D1828" s="376"/>
      <c r="E1828" s="376"/>
      <c r="F1828" s="376"/>
      <c r="G1828" s="376"/>
      <c r="H1828" s="377"/>
    </row>
    <row r="1829" spans="2:8" ht="13.8" x14ac:dyDescent="0.25">
      <c r="B1829" s="245" t="s">
        <v>1605</v>
      </c>
      <c r="C1829" s="246" t="s">
        <v>1625</v>
      </c>
      <c r="D1829" s="266"/>
      <c r="E1829" s="266"/>
      <c r="F1829" s="266"/>
      <c r="G1829" s="266"/>
      <c r="H1829" s="247" t="s">
        <v>1626</v>
      </c>
    </row>
    <row r="1830" spans="2:8" ht="13.8" x14ac:dyDescent="0.25">
      <c r="B1830" s="248">
        <v>19101</v>
      </c>
      <c r="C1830" s="243" t="s">
        <v>3329</v>
      </c>
      <c r="D1830" s="253"/>
      <c r="E1830" s="253"/>
      <c r="F1830" s="253"/>
      <c r="G1830" s="253"/>
      <c r="H1830" s="249">
        <v>6</v>
      </c>
    </row>
    <row r="1831" spans="2:8" ht="13.8" x14ac:dyDescent="0.25">
      <c r="B1831" s="248">
        <v>19102</v>
      </c>
      <c r="C1831" s="243" t="s">
        <v>3330</v>
      </c>
      <c r="D1831" s="253"/>
      <c r="E1831" s="253"/>
      <c r="F1831" s="253"/>
      <c r="G1831" s="253"/>
      <c r="H1831" s="249">
        <v>6</v>
      </c>
    </row>
    <row r="1832" spans="2:8" ht="13.8" x14ac:dyDescent="0.25">
      <c r="B1832" s="248">
        <v>19103</v>
      </c>
      <c r="C1832" s="243" t="s">
        <v>3331</v>
      </c>
      <c r="D1832" s="253"/>
      <c r="E1832" s="253"/>
      <c r="F1832" s="253"/>
      <c r="G1832" s="253"/>
      <c r="H1832" s="249">
        <v>6</v>
      </c>
    </row>
    <row r="1833" spans="2:8" ht="13.8" x14ac:dyDescent="0.25">
      <c r="B1833" s="248">
        <v>19104</v>
      </c>
      <c r="C1833" s="243" t="s">
        <v>3332</v>
      </c>
      <c r="D1833" s="253"/>
      <c r="E1833" s="253"/>
      <c r="F1833" s="253"/>
      <c r="G1833" s="253"/>
      <c r="H1833" s="249">
        <v>6</v>
      </c>
    </row>
    <row r="1834" spans="2:8" ht="13.8" x14ac:dyDescent="0.25">
      <c r="B1834" s="248">
        <v>19105</v>
      </c>
      <c r="C1834" s="243" t="s">
        <v>3333</v>
      </c>
      <c r="D1834" s="253"/>
      <c r="E1834" s="253"/>
      <c r="F1834" s="253"/>
      <c r="G1834" s="253"/>
      <c r="H1834" s="249">
        <v>6</v>
      </c>
    </row>
    <row r="1835" spans="2:8" ht="13.8" x14ac:dyDescent="0.25">
      <c r="B1835" s="248">
        <v>19106</v>
      </c>
      <c r="C1835" s="243" t="s">
        <v>3334</v>
      </c>
      <c r="D1835" s="253"/>
      <c r="E1835" s="253"/>
      <c r="F1835" s="253"/>
      <c r="G1835" s="253"/>
      <c r="H1835" s="249">
        <v>6</v>
      </c>
    </row>
    <row r="1836" spans="2:8" ht="13.8" x14ac:dyDescent="0.25">
      <c r="B1836" s="248">
        <v>19107</v>
      </c>
      <c r="C1836" s="243" t="s">
        <v>3335</v>
      </c>
      <c r="D1836" s="253"/>
      <c r="E1836" s="253"/>
      <c r="F1836" s="253"/>
      <c r="G1836" s="253"/>
      <c r="H1836" s="249">
        <v>6</v>
      </c>
    </row>
    <row r="1837" spans="2:8" ht="13.8" x14ac:dyDescent="0.25">
      <c r="B1837" s="248">
        <v>19108</v>
      </c>
      <c r="C1837" s="243" t="s">
        <v>3336</v>
      </c>
      <c r="D1837" s="253"/>
      <c r="E1837" s="253"/>
      <c r="F1837" s="253"/>
      <c r="G1837" s="253"/>
      <c r="H1837" s="249">
        <v>8</v>
      </c>
    </row>
    <row r="1838" spans="2:8" ht="13.8" x14ac:dyDescent="0.25">
      <c r="B1838" s="248">
        <v>19109</v>
      </c>
      <c r="C1838" s="243" t="s">
        <v>3337</v>
      </c>
      <c r="D1838" s="253"/>
      <c r="E1838" s="253"/>
      <c r="F1838" s="253"/>
      <c r="G1838" s="253"/>
      <c r="H1838" s="249">
        <v>8</v>
      </c>
    </row>
    <row r="1839" spans="2:8" ht="13.8" x14ac:dyDescent="0.25">
      <c r="B1839" s="248">
        <v>19110</v>
      </c>
      <c r="C1839" s="243" t="s">
        <v>3338</v>
      </c>
      <c r="D1839" s="253"/>
      <c r="E1839" s="253"/>
      <c r="F1839" s="253"/>
      <c r="G1839" s="253"/>
      <c r="H1839" s="249">
        <v>8</v>
      </c>
    </row>
    <row r="1840" spans="2:8" ht="13.8" x14ac:dyDescent="0.25">
      <c r="B1840" s="248">
        <v>19111</v>
      </c>
      <c r="C1840" s="243" t="s">
        <v>3339</v>
      </c>
      <c r="D1840" s="253"/>
      <c r="E1840" s="253"/>
      <c r="F1840" s="253"/>
      <c r="G1840" s="253"/>
      <c r="H1840" s="249">
        <v>6</v>
      </c>
    </row>
    <row r="1841" spans="2:8" ht="14.4" thickBot="1" x14ac:dyDescent="0.3">
      <c r="B1841" s="248">
        <v>19112</v>
      </c>
      <c r="C1841" s="243" t="s">
        <v>3340</v>
      </c>
      <c r="D1841" s="253"/>
      <c r="E1841" s="253"/>
      <c r="F1841" s="253"/>
      <c r="G1841" s="253"/>
      <c r="H1841" s="249">
        <v>8</v>
      </c>
    </row>
    <row r="1842" spans="2:8" ht="14.4" thickBot="1" x14ac:dyDescent="0.3">
      <c r="B1842" s="375" t="s">
        <v>3341</v>
      </c>
      <c r="C1842" s="376"/>
      <c r="D1842" s="376"/>
      <c r="E1842" s="376"/>
      <c r="F1842" s="376"/>
      <c r="G1842" s="376"/>
      <c r="H1842" s="377"/>
    </row>
    <row r="1843" spans="2:8" ht="13.8" x14ac:dyDescent="0.25">
      <c r="B1843" s="248">
        <v>19113</v>
      </c>
      <c r="C1843" s="243" t="s">
        <v>3342</v>
      </c>
      <c r="D1843" s="253"/>
      <c r="E1843" s="253"/>
      <c r="F1843" s="253"/>
      <c r="G1843" s="253"/>
      <c r="H1843" s="249">
        <v>6</v>
      </c>
    </row>
    <row r="1844" spans="2:8" ht="13.8" x14ac:dyDescent="0.25">
      <c r="B1844" s="248">
        <v>19114</v>
      </c>
      <c r="C1844" s="243" t="s">
        <v>3343</v>
      </c>
      <c r="D1844" s="253"/>
      <c r="E1844" s="253"/>
      <c r="F1844" s="253"/>
      <c r="G1844" s="253"/>
      <c r="H1844" s="249">
        <v>8</v>
      </c>
    </row>
    <row r="1845" spans="2:8" ht="13.8" x14ac:dyDescent="0.25">
      <c r="B1845" s="248">
        <v>19115</v>
      </c>
      <c r="C1845" s="243" t="s">
        <v>3344</v>
      </c>
      <c r="D1845" s="253"/>
      <c r="E1845" s="253"/>
      <c r="F1845" s="253"/>
      <c r="G1845" s="253"/>
      <c r="H1845" s="249">
        <v>8</v>
      </c>
    </row>
    <row r="1846" spans="2:8" ht="13.8" x14ac:dyDescent="0.25">
      <c r="B1846" s="248">
        <v>19116</v>
      </c>
      <c r="C1846" s="243" t="s">
        <v>3345</v>
      </c>
      <c r="D1846" s="253"/>
      <c r="E1846" s="253"/>
      <c r="F1846" s="253"/>
      <c r="G1846" s="253"/>
      <c r="H1846" s="249">
        <v>8</v>
      </c>
    </row>
    <row r="1847" spans="2:8" ht="13.8" x14ac:dyDescent="0.25">
      <c r="B1847" s="248">
        <v>19117</v>
      </c>
      <c r="C1847" s="243" t="s">
        <v>3346</v>
      </c>
      <c r="D1847" s="253"/>
      <c r="E1847" s="253"/>
      <c r="F1847" s="253"/>
      <c r="G1847" s="253"/>
      <c r="H1847" s="249">
        <v>6</v>
      </c>
    </row>
    <row r="1848" spans="2:8" ht="14.4" thickBot="1" x14ac:dyDescent="0.3">
      <c r="B1848" s="248">
        <v>19118</v>
      </c>
      <c r="C1848" s="243" t="s">
        <v>3347</v>
      </c>
      <c r="D1848" s="253"/>
      <c r="E1848" s="253"/>
      <c r="F1848" s="253"/>
      <c r="G1848" s="253"/>
      <c r="H1848" s="249">
        <v>8</v>
      </c>
    </row>
    <row r="1849" spans="2:8" ht="14.4" thickBot="1" x14ac:dyDescent="0.3">
      <c r="B1849" s="375" t="s">
        <v>3348</v>
      </c>
      <c r="C1849" s="376"/>
      <c r="D1849" s="376"/>
      <c r="E1849" s="376"/>
      <c r="F1849" s="376"/>
      <c r="G1849" s="376"/>
      <c r="H1849" s="377"/>
    </row>
    <row r="1850" spans="2:8" ht="13.8" x14ac:dyDescent="0.25">
      <c r="B1850" s="248">
        <v>19119</v>
      </c>
      <c r="C1850" s="243" t="s">
        <v>3349</v>
      </c>
      <c r="D1850" s="253"/>
      <c r="E1850" s="253"/>
      <c r="F1850" s="253"/>
      <c r="G1850" s="253"/>
      <c r="H1850" s="249">
        <v>6</v>
      </c>
    </row>
    <row r="1851" spans="2:8" ht="13.8" x14ac:dyDescent="0.25">
      <c r="B1851" s="248">
        <v>19120</v>
      </c>
      <c r="C1851" s="243" t="s">
        <v>3350</v>
      </c>
      <c r="D1851" s="253"/>
      <c r="E1851" s="253"/>
      <c r="F1851" s="253"/>
      <c r="G1851" s="253"/>
      <c r="H1851" s="249">
        <v>8</v>
      </c>
    </row>
    <row r="1852" spans="2:8" ht="13.8" x14ac:dyDescent="0.25">
      <c r="B1852" s="248">
        <v>19121</v>
      </c>
      <c r="C1852" s="243" t="s">
        <v>3351</v>
      </c>
      <c r="D1852" s="253"/>
      <c r="E1852" s="253"/>
      <c r="F1852" s="253"/>
      <c r="G1852" s="253"/>
      <c r="H1852" s="249">
        <v>6</v>
      </c>
    </row>
    <row r="1853" spans="2:8" ht="13.8" x14ac:dyDescent="0.25">
      <c r="B1853" s="248">
        <v>19122</v>
      </c>
      <c r="C1853" s="243" t="s">
        <v>3352</v>
      </c>
      <c r="D1853" s="253"/>
      <c r="E1853" s="253"/>
      <c r="F1853" s="253"/>
      <c r="G1853" s="253"/>
      <c r="H1853" s="249">
        <v>6</v>
      </c>
    </row>
    <row r="1854" spans="2:8" ht="13.8" x14ac:dyDescent="0.25">
      <c r="B1854" s="248">
        <v>19123</v>
      </c>
      <c r="C1854" s="243" t="s">
        <v>3353</v>
      </c>
      <c r="D1854" s="253"/>
      <c r="E1854" s="253"/>
      <c r="F1854" s="253"/>
      <c r="G1854" s="253"/>
      <c r="H1854" s="249">
        <v>6</v>
      </c>
    </row>
    <row r="1855" spans="2:8" ht="13.8" x14ac:dyDescent="0.25">
      <c r="B1855" s="248">
        <v>19124</v>
      </c>
      <c r="C1855" s="243" t="s">
        <v>3354</v>
      </c>
      <c r="D1855" s="253"/>
      <c r="E1855" s="253"/>
      <c r="F1855" s="253"/>
      <c r="G1855" s="253"/>
      <c r="H1855" s="249">
        <v>6</v>
      </c>
    </row>
    <row r="1856" spans="2:8" ht="14.4" thickBot="1" x14ac:dyDescent="0.3">
      <c r="B1856" s="248">
        <v>19125</v>
      </c>
      <c r="C1856" s="243" t="s">
        <v>3355</v>
      </c>
      <c r="D1856" s="253"/>
      <c r="E1856" s="253"/>
      <c r="F1856" s="253"/>
      <c r="G1856" s="253"/>
      <c r="H1856" s="249">
        <v>8</v>
      </c>
    </row>
    <row r="1857" spans="2:8" ht="14.4" thickBot="1" x14ac:dyDescent="0.3">
      <c r="B1857" s="375" t="s">
        <v>3356</v>
      </c>
      <c r="C1857" s="376"/>
      <c r="D1857" s="376"/>
      <c r="E1857" s="376"/>
      <c r="F1857" s="376"/>
      <c r="G1857" s="376"/>
      <c r="H1857" s="377"/>
    </row>
    <row r="1858" spans="2:8" ht="13.8" x14ac:dyDescent="0.25">
      <c r="B1858" s="248">
        <v>19126</v>
      </c>
      <c r="C1858" s="243" t="s">
        <v>3357</v>
      </c>
      <c r="D1858" s="253"/>
      <c r="E1858" s="253"/>
      <c r="F1858" s="253"/>
      <c r="G1858" s="253"/>
      <c r="H1858" s="249">
        <v>6</v>
      </c>
    </row>
    <row r="1859" spans="2:8" ht="13.8" x14ac:dyDescent="0.25">
      <c r="B1859" s="248">
        <v>19127</v>
      </c>
      <c r="C1859" s="243" t="s">
        <v>3358</v>
      </c>
      <c r="D1859" s="253"/>
      <c r="E1859" s="253"/>
      <c r="F1859" s="253"/>
      <c r="G1859" s="253"/>
      <c r="H1859" s="249">
        <v>8</v>
      </c>
    </row>
    <row r="1860" spans="2:8" ht="13.8" x14ac:dyDescent="0.25">
      <c r="B1860" s="248">
        <v>19128</v>
      </c>
      <c r="C1860" s="243" t="s">
        <v>3359</v>
      </c>
      <c r="D1860" s="253"/>
      <c r="E1860" s="253"/>
      <c r="F1860" s="253"/>
      <c r="G1860" s="253"/>
      <c r="H1860" s="249">
        <v>8</v>
      </c>
    </row>
    <row r="1861" spans="2:8" ht="13.8" x14ac:dyDescent="0.25">
      <c r="B1861" s="248">
        <v>19129</v>
      </c>
      <c r="C1861" s="243" t="s">
        <v>3360</v>
      </c>
      <c r="D1861" s="253"/>
      <c r="E1861" s="253"/>
      <c r="F1861" s="253"/>
      <c r="G1861" s="253"/>
      <c r="H1861" s="249">
        <v>8</v>
      </c>
    </row>
    <row r="1862" spans="2:8" ht="13.8" x14ac:dyDescent="0.25">
      <c r="B1862" s="248">
        <v>19130</v>
      </c>
      <c r="C1862" s="243" t="s">
        <v>3361</v>
      </c>
      <c r="D1862" s="253"/>
      <c r="E1862" s="253"/>
      <c r="F1862" s="253"/>
      <c r="G1862" s="253"/>
      <c r="H1862" s="249">
        <v>8</v>
      </c>
    </row>
    <row r="1863" spans="2:8" ht="13.8" x14ac:dyDescent="0.25">
      <c r="B1863" s="248">
        <v>19131</v>
      </c>
      <c r="C1863" s="243" t="s">
        <v>3362</v>
      </c>
      <c r="D1863" s="253"/>
      <c r="E1863" s="253"/>
      <c r="F1863" s="253"/>
      <c r="G1863" s="253"/>
      <c r="H1863" s="249">
        <v>8</v>
      </c>
    </row>
    <row r="1864" spans="2:8" ht="13.8" x14ac:dyDescent="0.25">
      <c r="B1864" s="248">
        <v>19132</v>
      </c>
      <c r="C1864" s="243" t="s">
        <v>3363</v>
      </c>
      <c r="D1864" s="253"/>
      <c r="E1864" s="253"/>
      <c r="F1864" s="253"/>
      <c r="G1864" s="253"/>
      <c r="H1864" s="249">
        <v>8</v>
      </c>
    </row>
    <row r="1865" spans="2:8" ht="13.8" x14ac:dyDescent="0.25">
      <c r="B1865" s="248">
        <v>19133</v>
      </c>
      <c r="C1865" s="243" t="s">
        <v>3364</v>
      </c>
      <c r="D1865" s="253"/>
      <c r="E1865" s="253"/>
      <c r="F1865" s="253"/>
      <c r="G1865" s="253"/>
      <c r="H1865" s="249">
        <v>10</v>
      </c>
    </row>
    <row r="1866" spans="2:8" ht="13.8" x14ac:dyDescent="0.25">
      <c r="B1866" s="248">
        <v>19134</v>
      </c>
      <c r="C1866" s="243" t="s">
        <v>3365</v>
      </c>
      <c r="D1866" s="253"/>
      <c r="E1866" s="253"/>
      <c r="F1866" s="253"/>
      <c r="G1866" s="253"/>
      <c r="H1866" s="249">
        <v>10</v>
      </c>
    </row>
    <row r="1867" spans="2:8" ht="14.4" thickBot="1" x14ac:dyDescent="0.3">
      <c r="B1867" s="250">
        <v>19135</v>
      </c>
      <c r="C1867" s="251" t="s">
        <v>3366</v>
      </c>
      <c r="D1867" s="265"/>
      <c r="E1867" s="265"/>
      <c r="F1867" s="265"/>
      <c r="G1867" s="265"/>
      <c r="H1867" s="252">
        <v>10</v>
      </c>
    </row>
    <row r="1868" spans="2:8" ht="13.8" thickBot="1" x14ac:dyDescent="0.3"/>
    <row r="1869" spans="2:8" x14ac:dyDescent="0.25">
      <c r="B1869" s="384" t="s">
        <v>3368</v>
      </c>
      <c r="C1869" s="385"/>
      <c r="D1869" s="385"/>
      <c r="E1869" s="385"/>
      <c r="F1869" s="385"/>
      <c r="G1869" s="385"/>
      <c r="H1869" s="386"/>
    </row>
    <row r="1870" spans="2:8" x14ac:dyDescent="0.25">
      <c r="B1870" s="387"/>
      <c r="C1870" s="388"/>
      <c r="D1870" s="388"/>
      <c r="E1870" s="388"/>
      <c r="F1870" s="388"/>
      <c r="G1870" s="388"/>
      <c r="H1870" s="389"/>
    </row>
    <row r="1871" spans="2:8" x14ac:dyDescent="0.25">
      <c r="B1871" s="387"/>
      <c r="C1871" s="388"/>
      <c r="D1871" s="388"/>
      <c r="E1871" s="388"/>
      <c r="F1871" s="388"/>
      <c r="G1871" s="388"/>
      <c r="H1871" s="389"/>
    </row>
    <row r="1872" spans="2:8" ht="13.8" thickBot="1" x14ac:dyDescent="0.3">
      <c r="B1872" s="390"/>
      <c r="C1872" s="391"/>
      <c r="D1872" s="391"/>
      <c r="E1872" s="391"/>
      <c r="F1872" s="391"/>
      <c r="G1872" s="391"/>
      <c r="H1872" s="392"/>
    </row>
    <row r="1873" spans="2:8" ht="13.8" thickBot="1" x14ac:dyDescent="0.3"/>
    <row r="1874" spans="2:8" ht="14.4" thickBot="1" x14ac:dyDescent="0.3">
      <c r="B1874" s="375" t="s">
        <v>3367</v>
      </c>
      <c r="C1874" s="376"/>
      <c r="D1874" s="376"/>
      <c r="E1874" s="376"/>
      <c r="F1874" s="376"/>
      <c r="G1874" s="376"/>
      <c r="H1874" s="377"/>
    </row>
    <row r="1875" spans="2:8" ht="13.8" x14ac:dyDescent="0.25">
      <c r="B1875" s="245" t="s">
        <v>1605</v>
      </c>
      <c r="C1875" s="246" t="s">
        <v>1625</v>
      </c>
      <c r="D1875" s="266"/>
      <c r="E1875" s="266"/>
      <c r="F1875" s="266"/>
      <c r="G1875" s="266"/>
      <c r="H1875" s="247" t="s">
        <v>1626</v>
      </c>
    </row>
    <row r="1876" spans="2:8" ht="13.8" x14ac:dyDescent="0.25">
      <c r="B1876" s="248">
        <v>20101</v>
      </c>
      <c r="C1876" s="243" t="s">
        <v>3369</v>
      </c>
      <c r="D1876" s="253"/>
      <c r="E1876" s="253"/>
      <c r="F1876" s="253"/>
      <c r="G1876" s="253"/>
      <c r="H1876" s="249">
        <v>8</v>
      </c>
    </row>
    <row r="1877" spans="2:8" ht="13.8" x14ac:dyDescent="0.25">
      <c r="B1877" s="248">
        <v>20102</v>
      </c>
      <c r="C1877" s="243" t="s">
        <v>3370</v>
      </c>
      <c r="D1877" s="253"/>
      <c r="E1877" s="253"/>
      <c r="F1877" s="253"/>
      <c r="G1877" s="253"/>
      <c r="H1877" s="249">
        <v>6</v>
      </c>
    </row>
    <row r="1878" spans="2:8" ht="13.8" x14ac:dyDescent="0.25">
      <c r="B1878" s="248">
        <v>20103</v>
      </c>
      <c r="C1878" s="243" t="s">
        <v>3371</v>
      </c>
      <c r="D1878" s="253"/>
      <c r="E1878" s="253"/>
      <c r="F1878" s="253"/>
      <c r="G1878" s="253"/>
      <c r="H1878" s="249">
        <v>8</v>
      </c>
    </row>
    <row r="1879" spans="2:8" ht="13.8" x14ac:dyDescent="0.25">
      <c r="B1879" s="248">
        <v>20104</v>
      </c>
      <c r="C1879" s="243" t="s">
        <v>3372</v>
      </c>
      <c r="D1879" s="253"/>
      <c r="E1879" s="253"/>
      <c r="F1879" s="253"/>
      <c r="G1879" s="253"/>
      <c r="H1879" s="249">
        <v>8</v>
      </c>
    </row>
    <row r="1880" spans="2:8" ht="13.8" x14ac:dyDescent="0.25">
      <c r="B1880" s="248">
        <v>20105</v>
      </c>
      <c r="C1880" s="243" t="s">
        <v>3373</v>
      </c>
      <c r="D1880" s="253"/>
      <c r="E1880" s="253"/>
      <c r="F1880" s="253"/>
      <c r="G1880" s="253"/>
      <c r="H1880" s="249">
        <v>8</v>
      </c>
    </row>
    <row r="1881" spans="2:8" ht="13.8" x14ac:dyDescent="0.25">
      <c r="B1881" s="248">
        <v>20106</v>
      </c>
      <c r="C1881" s="243" t="s">
        <v>3374</v>
      </c>
      <c r="D1881" s="253"/>
      <c r="E1881" s="253"/>
      <c r="F1881" s="253"/>
      <c r="G1881" s="253"/>
      <c r="H1881" s="249">
        <v>4</v>
      </c>
    </row>
    <row r="1882" spans="2:8" ht="13.8" x14ac:dyDescent="0.25">
      <c r="B1882" s="248">
        <v>20107</v>
      </c>
      <c r="C1882" s="243" t="s">
        <v>3375</v>
      </c>
      <c r="D1882" s="253"/>
      <c r="E1882" s="253"/>
      <c r="F1882" s="253"/>
      <c r="G1882" s="253"/>
      <c r="H1882" s="249">
        <v>6</v>
      </c>
    </row>
    <row r="1883" spans="2:8" ht="13.8" x14ac:dyDescent="0.25">
      <c r="B1883" s="248">
        <v>20108</v>
      </c>
      <c r="C1883" s="243" t="s">
        <v>3376</v>
      </c>
      <c r="D1883" s="253"/>
      <c r="E1883" s="253"/>
      <c r="F1883" s="253"/>
      <c r="G1883" s="253"/>
      <c r="H1883" s="249">
        <v>6</v>
      </c>
    </row>
    <row r="1884" spans="2:8" ht="14.4" thickBot="1" x14ac:dyDescent="0.3">
      <c r="B1884" s="248"/>
      <c r="C1884" s="243"/>
      <c r="D1884" s="253"/>
      <c r="E1884" s="253"/>
      <c r="F1884" s="253"/>
      <c r="G1884" s="253"/>
      <c r="H1884" s="249"/>
    </row>
    <row r="1885" spans="2:8" ht="14.4" thickBot="1" x14ac:dyDescent="0.3">
      <c r="B1885" s="375" t="s">
        <v>3377</v>
      </c>
      <c r="C1885" s="376"/>
      <c r="D1885" s="376"/>
      <c r="E1885" s="376"/>
      <c r="F1885" s="376"/>
      <c r="G1885" s="376"/>
      <c r="H1885" s="377"/>
    </row>
    <row r="1886" spans="2:8" ht="14.4" thickBot="1" x14ac:dyDescent="0.3">
      <c r="B1886" s="248"/>
      <c r="C1886" s="243"/>
      <c r="D1886" s="253"/>
      <c r="E1886" s="253"/>
      <c r="F1886" s="253"/>
      <c r="G1886" s="253"/>
      <c r="H1886" s="249"/>
    </row>
    <row r="1887" spans="2:8" x14ac:dyDescent="0.25">
      <c r="B1887" s="384" t="s">
        <v>3412</v>
      </c>
      <c r="C1887" s="385"/>
      <c r="D1887" s="385"/>
      <c r="E1887" s="385"/>
      <c r="F1887" s="385"/>
      <c r="G1887" s="385"/>
      <c r="H1887" s="386"/>
    </row>
    <row r="1888" spans="2:8" x14ac:dyDescent="0.25">
      <c r="B1888" s="387"/>
      <c r="C1888" s="388"/>
      <c r="D1888" s="388"/>
      <c r="E1888" s="388"/>
      <c r="F1888" s="388"/>
      <c r="G1888" s="388"/>
      <c r="H1888" s="389"/>
    </row>
    <row r="1889" spans="1:8" x14ac:dyDescent="0.25">
      <c r="B1889" s="387" t="s">
        <v>1605</v>
      </c>
      <c r="C1889" s="388" t="s">
        <v>1625</v>
      </c>
      <c r="D1889" s="388"/>
      <c r="E1889" s="388"/>
      <c r="F1889" s="388"/>
      <c r="G1889" s="388"/>
      <c r="H1889" s="389" t="s">
        <v>1626</v>
      </c>
    </row>
    <row r="1890" spans="1:8" ht="13.8" thickBot="1" x14ac:dyDescent="0.3">
      <c r="B1890" s="390">
        <v>21101</v>
      </c>
      <c r="C1890" s="391" t="s">
        <v>3378</v>
      </c>
      <c r="D1890" s="391"/>
      <c r="E1890" s="391"/>
      <c r="F1890" s="391"/>
      <c r="G1890" s="391"/>
      <c r="H1890" s="392">
        <v>8</v>
      </c>
    </row>
    <row r="1891" spans="1:8" ht="13.8" x14ac:dyDescent="0.25">
      <c r="B1891" s="245">
        <v>21101</v>
      </c>
      <c r="C1891" s="246" t="s">
        <v>3378</v>
      </c>
      <c r="D1891" s="266"/>
      <c r="E1891" s="266"/>
      <c r="F1891" s="266"/>
      <c r="G1891" s="266"/>
      <c r="H1891" s="247">
        <v>8</v>
      </c>
    </row>
    <row r="1892" spans="1:8" ht="13.8" x14ac:dyDescent="0.25">
      <c r="B1892" s="248">
        <v>21102</v>
      </c>
      <c r="C1892" s="243" t="s">
        <v>3379</v>
      </c>
      <c r="D1892" s="253"/>
      <c r="E1892" s="253"/>
      <c r="F1892" s="253"/>
      <c r="G1892" s="253"/>
      <c r="H1892" s="249">
        <v>10</v>
      </c>
    </row>
    <row r="1893" spans="1:8" ht="14.4" thickBot="1" x14ac:dyDescent="0.3">
      <c r="B1893" s="250"/>
      <c r="C1893" s="251"/>
      <c r="D1893" s="265"/>
      <c r="E1893" s="265"/>
      <c r="F1893" s="265"/>
      <c r="G1893" s="265"/>
      <c r="H1893" s="252"/>
    </row>
    <row r="1894" spans="1:8" ht="14.4" thickBot="1" x14ac:dyDescent="0.3">
      <c r="B1894" s="375" t="s">
        <v>3380</v>
      </c>
      <c r="C1894" s="376"/>
      <c r="D1894" s="376"/>
      <c r="E1894" s="376"/>
      <c r="F1894" s="376"/>
      <c r="G1894" s="376"/>
      <c r="H1894" s="377"/>
    </row>
    <row r="1895" spans="1:8" ht="14.4" thickBot="1" x14ac:dyDescent="0.3">
      <c r="B1895" s="248"/>
      <c r="C1895" s="243"/>
      <c r="D1895" s="253"/>
      <c r="E1895" s="253"/>
      <c r="F1895" s="253"/>
      <c r="G1895" s="253"/>
      <c r="H1895" s="249"/>
    </row>
    <row r="1896" spans="1:8" ht="14.4" thickBot="1" x14ac:dyDescent="0.3">
      <c r="A1896" s="313" t="s">
        <v>3414</v>
      </c>
      <c r="B1896" s="375" t="s">
        <v>3411</v>
      </c>
      <c r="C1896" s="376"/>
      <c r="D1896" s="376"/>
      <c r="E1896" s="376"/>
      <c r="F1896" s="376"/>
      <c r="G1896" s="376"/>
      <c r="H1896" s="377"/>
    </row>
    <row r="1897" spans="1:8" ht="14.4" thickBot="1" x14ac:dyDescent="0.3">
      <c r="B1897" s="248"/>
      <c r="C1897" s="243"/>
      <c r="D1897" s="253"/>
      <c r="E1897" s="253"/>
      <c r="F1897" s="253"/>
      <c r="G1897" s="253"/>
      <c r="H1897" s="249"/>
    </row>
    <row r="1898" spans="1:8" ht="13.2" customHeight="1" x14ac:dyDescent="0.25">
      <c r="B1898" s="384" t="s">
        <v>3413</v>
      </c>
      <c r="C1898" s="385"/>
      <c r="D1898" s="385"/>
      <c r="E1898" s="385"/>
      <c r="F1898" s="385"/>
      <c r="G1898" s="385"/>
      <c r="H1898" s="386"/>
    </row>
    <row r="1899" spans="1:8" ht="13.2" customHeight="1" x14ac:dyDescent="0.25">
      <c r="B1899" s="387"/>
      <c r="C1899" s="388"/>
      <c r="D1899" s="388"/>
      <c r="E1899" s="388"/>
      <c r="F1899" s="388"/>
      <c r="G1899" s="388"/>
      <c r="H1899" s="389"/>
    </row>
    <row r="1900" spans="1:8" ht="13.2" customHeight="1" x14ac:dyDescent="0.25">
      <c r="B1900" s="387"/>
      <c r="C1900" s="388"/>
      <c r="D1900" s="388"/>
      <c r="E1900" s="388"/>
      <c r="F1900" s="388"/>
      <c r="G1900" s="388"/>
      <c r="H1900" s="389"/>
    </row>
    <row r="1901" spans="1:8" ht="13.2" customHeight="1" thickBot="1" x14ac:dyDescent="0.3">
      <c r="B1901" s="390"/>
      <c r="C1901" s="391"/>
      <c r="D1901" s="391"/>
      <c r="E1901" s="391"/>
      <c r="F1901" s="391"/>
      <c r="G1901" s="391"/>
      <c r="H1901" s="392"/>
    </row>
    <row r="1902" spans="1:8" ht="13.2" customHeight="1" thickBot="1" x14ac:dyDescent="0.3">
      <c r="B1902" s="248"/>
      <c r="C1902" s="243"/>
      <c r="D1902" s="253"/>
      <c r="E1902" s="253"/>
      <c r="F1902" s="253"/>
      <c r="G1902" s="253"/>
      <c r="H1902" s="249"/>
    </row>
    <row r="1903" spans="1:8" ht="13.2" customHeight="1" thickBot="1" x14ac:dyDescent="0.3">
      <c r="B1903" s="375" t="s">
        <v>3381</v>
      </c>
      <c r="C1903" s="376"/>
      <c r="D1903" s="376"/>
      <c r="E1903" s="376"/>
      <c r="F1903" s="376"/>
      <c r="G1903" s="376"/>
      <c r="H1903" s="377"/>
    </row>
    <row r="1904" spans="1:8" ht="14.4" thickBot="1" x14ac:dyDescent="0.3">
      <c r="B1904" s="305" t="s">
        <v>1605</v>
      </c>
      <c r="C1904" s="306" t="s">
        <v>1625</v>
      </c>
      <c r="D1904" s="307"/>
      <c r="E1904" s="307"/>
      <c r="F1904" s="307"/>
      <c r="G1904" s="307"/>
      <c r="H1904" s="308" t="s">
        <v>1626</v>
      </c>
    </row>
    <row r="1905" spans="2:8" ht="13.8" x14ac:dyDescent="0.25">
      <c r="B1905" s="287">
        <v>22101</v>
      </c>
      <c r="C1905" s="244" t="s">
        <v>3382</v>
      </c>
      <c r="D1905" s="259"/>
      <c r="E1905" s="259"/>
      <c r="F1905" s="259"/>
      <c r="G1905" s="259"/>
      <c r="H1905" s="285">
        <v>8</v>
      </c>
    </row>
    <row r="1906" spans="2:8" ht="13.8" x14ac:dyDescent="0.25">
      <c r="B1906" s="248">
        <v>22102</v>
      </c>
      <c r="C1906" s="243" t="s">
        <v>3383</v>
      </c>
      <c r="D1906" s="253"/>
      <c r="E1906" s="253"/>
      <c r="F1906" s="253"/>
      <c r="G1906" s="253"/>
      <c r="H1906" s="249">
        <v>10</v>
      </c>
    </row>
    <row r="1907" spans="2:8" ht="13.8" x14ac:dyDescent="0.25">
      <c r="B1907" s="248">
        <v>22103</v>
      </c>
      <c r="C1907" s="243" t="s">
        <v>3384</v>
      </c>
      <c r="D1907" s="253"/>
      <c r="E1907" s="253"/>
      <c r="F1907" s="253"/>
      <c r="G1907" s="253"/>
      <c r="H1907" s="249">
        <v>15</v>
      </c>
    </row>
    <row r="1908" spans="2:8" ht="13.8" x14ac:dyDescent="0.25">
      <c r="B1908" s="248">
        <v>22104</v>
      </c>
      <c r="C1908" s="243" t="s">
        <v>3385</v>
      </c>
      <c r="D1908" s="253"/>
      <c r="E1908" s="253"/>
      <c r="F1908" s="253"/>
      <c r="G1908" s="253"/>
      <c r="H1908" s="249">
        <v>20</v>
      </c>
    </row>
    <row r="1909" spans="2:8" ht="13.8" x14ac:dyDescent="0.25">
      <c r="B1909" s="248">
        <v>22105</v>
      </c>
      <c r="C1909" s="243" t="s">
        <v>3386</v>
      </c>
      <c r="D1909" s="253"/>
      <c r="E1909" s="253"/>
      <c r="F1909" s="253"/>
      <c r="G1909" s="253"/>
      <c r="H1909" s="249">
        <v>6</v>
      </c>
    </row>
    <row r="1910" spans="2:8" ht="14.4" thickBot="1" x14ac:dyDescent="0.3">
      <c r="B1910" s="248">
        <v>22106</v>
      </c>
      <c r="C1910" s="243" t="s">
        <v>3387</v>
      </c>
      <c r="D1910" s="253"/>
      <c r="E1910" s="253"/>
      <c r="F1910" s="253"/>
      <c r="G1910" s="253"/>
      <c r="H1910" s="249">
        <v>4</v>
      </c>
    </row>
    <row r="1911" spans="2:8" ht="14.4" thickBot="1" x14ac:dyDescent="0.3">
      <c r="B1911" s="375" t="s">
        <v>3388</v>
      </c>
      <c r="C1911" s="376"/>
      <c r="D1911" s="376"/>
      <c r="E1911" s="376"/>
      <c r="F1911" s="376"/>
      <c r="G1911" s="376"/>
      <c r="H1911" s="377"/>
    </row>
    <row r="1912" spans="2:8" ht="13.8" x14ac:dyDescent="0.25">
      <c r="B1912" s="248">
        <v>22107</v>
      </c>
      <c r="C1912" s="243" t="s">
        <v>3389</v>
      </c>
      <c r="D1912" s="253"/>
      <c r="E1912" s="253"/>
      <c r="F1912" s="253"/>
      <c r="G1912" s="253"/>
      <c r="H1912" s="249">
        <v>8</v>
      </c>
    </row>
    <row r="1913" spans="2:8" ht="13.8" x14ac:dyDescent="0.25">
      <c r="B1913" s="248">
        <v>22108</v>
      </c>
      <c r="C1913" s="243" t="s">
        <v>3390</v>
      </c>
      <c r="D1913" s="253"/>
      <c r="E1913" s="253"/>
      <c r="F1913" s="253"/>
      <c r="G1913" s="253"/>
      <c r="H1913" s="249">
        <v>10</v>
      </c>
    </row>
    <row r="1914" spans="2:8" ht="13.8" x14ac:dyDescent="0.25">
      <c r="B1914" s="248">
        <v>22109</v>
      </c>
      <c r="C1914" s="243" t="s">
        <v>3391</v>
      </c>
      <c r="D1914" s="253"/>
      <c r="E1914" s="253"/>
      <c r="F1914" s="253"/>
      <c r="G1914" s="253"/>
      <c r="H1914" s="249">
        <v>12</v>
      </c>
    </row>
    <row r="1915" spans="2:8" ht="13.8" x14ac:dyDescent="0.25">
      <c r="B1915" s="248">
        <v>22110</v>
      </c>
      <c r="C1915" s="243" t="s">
        <v>3392</v>
      </c>
      <c r="D1915" s="253"/>
      <c r="E1915" s="253"/>
      <c r="F1915" s="253"/>
      <c r="G1915" s="253"/>
      <c r="H1915" s="249">
        <v>15</v>
      </c>
    </row>
    <row r="1916" spans="2:8" ht="13.8" x14ac:dyDescent="0.25">
      <c r="B1916" s="248">
        <v>22111</v>
      </c>
      <c r="C1916" s="243" t="s">
        <v>3393</v>
      </c>
      <c r="D1916" s="253"/>
      <c r="E1916" s="253"/>
      <c r="F1916" s="253"/>
      <c r="G1916" s="253"/>
      <c r="H1916" s="249">
        <v>18</v>
      </c>
    </row>
    <row r="1917" spans="2:8" ht="13.8" x14ac:dyDescent="0.25">
      <c r="B1917" s="248">
        <v>22112</v>
      </c>
      <c r="C1917" s="243" t="s">
        <v>3394</v>
      </c>
      <c r="D1917" s="253"/>
      <c r="E1917" s="253"/>
      <c r="F1917" s="253"/>
      <c r="G1917" s="253"/>
      <c r="H1917" s="249">
        <v>20</v>
      </c>
    </row>
    <row r="1918" spans="2:8" ht="13.8" x14ac:dyDescent="0.25">
      <c r="B1918" s="248">
        <v>22113</v>
      </c>
      <c r="C1918" s="243" t="s">
        <v>3395</v>
      </c>
      <c r="D1918" s="253"/>
      <c r="E1918" s="253"/>
      <c r="F1918" s="253"/>
      <c r="G1918" s="253"/>
      <c r="H1918" s="249">
        <v>22</v>
      </c>
    </row>
    <row r="1919" spans="2:8" ht="13.8" x14ac:dyDescent="0.25">
      <c r="B1919" s="248">
        <v>22114</v>
      </c>
      <c r="C1919" s="243" t="s">
        <v>3396</v>
      </c>
      <c r="D1919" s="253"/>
      <c r="E1919" s="253"/>
      <c r="F1919" s="253"/>
      <c r="G1919" s="253"/>
      <c r="H1919" s="249">
        <v>25</v>
      </c>
    </row>
    <row r="1920" spans="2:8" ht="13.8" x14ac:dyDescent="0.25">
      <c r="B1920" s="248">
        <v>22115</v>
      </c>
      <c r="C1920" s="243" t="s">
        <v>3397</v>
      </c>
      <c r="D1920" s="253"/>
      <c r="E1920" s="253"/>
      <c r="F1920" s="253"/>
      <c r="G1920" s="253"/>
      <c r="H1920" s="249">
        <v>28</v>
      </c>
    </row>
    <row r="1921" spans="1:8" ht="13.8" x14ac:dyDescent="0.25">
      <c r="B1921" s="248">
        <v>22116</v>
      </c>
      <c r="C1921" s="243" t="s">
        <v>3398</v>
      </c>
      <c r="D1921" s="253"/>
      <c r="E1921" s="253"/>
      <c r="F1921" s="253"/>
      <c r="G1921" s="253"/>
      <c r="H1921" s="249">
        <v>8</v>
      </c>
    </row>
    <row r="1922" spans="1:8" ht="13.8" x14ac:dyDescent="0.25">
      <c r="B1922" s="248">
        <v>22117</v>
      </c>
      <c r="C1922" s="243" t="s">
        <v>3399</v>
      </c>
      <c r="D1922" s="253"/>
      <c r="E1922" s="253"/>
      <c r="F1922" s="253"/>
      <c r="G1922" s="253"/>
      <c r="H1922" s="249">
        <v>10</v>
      </c>
    </row>
    <row r="1923" spans="1:8" ht="14.4" thickBot="1" x14ac:dyDescent="0.3">
      <c r="B1923" s="248"/>
      <c r="C1923" s="243"/>
      <c r="D1923" s="253"/>
      <c r="E1923" s="253"/>
      <c r="F1923" s="253"/>
      <c r="G1923" s="253"/>
      <c r="H1923" s="249"/>
    </row>
    <row r="1924" spans="1:8" ht="14.4" thickBot="1" x14ac:dyDescent="0.3">
      <c r="B1924" s="375" t="s">
        <v>3400</v>
      </c>
      <c r="C1924" s="376"/>
      <c r="D1924" s="376"/>
      <c r="E1924" s="376"/>
      <c r="F1924" s="376"/>
      <c r="G1924" s="376"/>
      <c r="H1924" s="377"/>
    </row>
    <row r="1925" spans="1:8" ht="14.4" thickBot="1" x14ac:dyDescent="0.3">
      <c r="B1925" s="248"/>
      <c r="C1925" s="243"/>
      <c r="D1925" s="253"/>
      <c r="E1925" s="253"/>
      <c r="F1925" s="253"/>
      <c r="G1925" s="253"/>
      <c r="H1925" s="249"/>
    </row>
    <row r="1926" spans="1:8" ht="14.4" thickBot="1" x14ac:dyDescent="0.3">
      <c r="A1926" s="313" t="s">
        <v>3416</v>
      </c>
      <c r="B1926" s="375" t="s">
        <v>3415</v>
      </c>
      <c r="C1926" s="376"/>
      <c r="D1926" s="376"/>
      <c r="E1926" s="376"/>
      <c r="F1926" s="376"/>
      <c r="G1926" s="376"/>
      <c r="H1926" s="377"/>
    </row>
    <row r="1927" spans="1:8" ht="14.4" thickBot="1" x14ac:dyDescent="0.3">
      <c r="B1927" s="248"/>
      <c r="C1927" s="243"/>
      <c r="D1927" s="253"/>
      <c r="E1927" s="253"/>
      <c r="F1927" s="253"/>
      <c r="G1927" s="253"/>
      <c r="H1927" s="249"/>
    </row>
    <row r="1928" spans="1:8" x14ac:dyDescent="0.25">
      <c r="B1928" s="384" t="s">
        <v>3417</v>
      </c>
      <c r="C1928" s="385"/>
      <c r="D1928" s="385"/>
      <c r="E1928" s="385"/>
      <c r="F1928" s="385"/>
      <c r="G1928" s="385"/>
      <c r="H1928" s="386"/>
    </row>
    <row r="1929" spans="1:8" x14ac:dyDescent="0.25">
      <c r="B1929" s="387"/>
      <c r="C1929" s="388"/>
      <c r="D1929" s="388"/>
      <c r="E1929" s="388"/>
      <c r="F1929" s="388"/>
      <c r="G1929" s="388"/>
      <c r="H1929" s="389"/>
    </row>
    <row r="1930" spans="1:8" x14ac:dyDescent="0.25">
      <c r="B1930" s="387"/>
      <c r="C1930" s="388"/>
      <c r="D1930" s="388"/>
      <c r="E1930" s="388"/>
      <c r="F1930" s="388"/>
      <c r="G1930" s="388"/>
      <c r="H1930" s="389"/>
    </row>
    <row r="1931" spans="1:8" ht="13.8" thickBot="1" x14ac:dyDescent="0.3">
      <c r="B1931" s="390"/>
      <c r="C1931" s="391"/>
      <c r="D1931" s="391"/>
      <c r="E1931" s="391"/>
      <c r="F1931" s="391"/>
      <c r="G1931" s="391"/>
      <c r="H1931" s="392"/>
    </row>
    <row r="1932" spans="1:8" ht="14.4" thickBot="1" x14ac:dyDescent="0.3">
      <c r="B1932" s="305" t="s">
        <v>1605</v>
      </c>
      <c r="C1932" s="306" t="s">
        <v>1625</v>
      </c>
      <c r="D1932" s="307"/>
      <c r="E1932" s="307"/>
      <c r="F1932" s="307"/>
      <c r="G1932" s="307"/>
      <c r="H1932" s="308" t="s">
        <v>1626</v>
      </c>
    </row>
    <row r="1933" spans="1:8" ht="13.8" x14ac:dyDescent="0.25">
      <c r="B1933" s="287">
        <v>23101</v>
      </c>
      <c r="C1933" s="244" t="s">
        <v>3401</v>
      </c>
      <c r="D1933" s="259"/>
      <c r="E1933" s="259"/>
      <c r="F1933" s="259"/>
      <c r="G1933" s="259"/>
      <c r="H1933" s="285" t="s">
        <v>3402</v>
      </c>
    </row>
    <row r="1934" spans="1:8" ht="13.8" x14ac:dyDescent="0.25">
      <c r="B1934" s="248">
        <v>23102</v>
      </c>
      <c r="C1934" s="243" t="s">
        <v>3403</v>
      </c>
      <c r="D1934" s="253"/>
      <c r="E1934" s="253"/>
      <c r="F1934" s="253"/>
      <c r="G1934" s="253"/>
      <c r="H1934" s="249" t="s">
        <v>3404</v>
      </c>
    </row>
    <row r="1935" spans="1:8" ht="13.8" x14ac:dyDescent="0.25">
      <c r="B1935" s="248">
        <v>23103</v>
      </c>
      <c r="C1935" s="243" t="s">
        <v>3405</v>
      </c>
      <c r="D1935" s="253"/>
      <c r="E1935" s="253"/>
      <c r="F1935" s="253"/>
      <c r="G1935" s="253"/>
      <c r="H1935" s="249" t="s">
        <v>3404</v>
      </c>
    </row>
    <row r="1936" spans="1:8" ht="13.8" x14ac:dyDescent="0.25">
      <c r="B1936" s="248">
        <v>23104</v>
      </c>
      <c r="C1936" s="243" t="s">
        <v>3406</v>
      </c>
      <c r="D1936" s="253"/>
      <c r="E1936" s="253"/>
      <c r="F1936" s="253"/>
      <c r="G1936" s="253"/>
      <c r="H1936" s="249" t="s">
        <v>3404</v>
      </c>
    </row>
    <row r="1937" spans="1:8" ht="13.8" x14ac:dyDescent="0.25">
      <c r="B1937" s="248">
        <v>23105</v>
      </c>
      <c r="C1937" s="243" t="s">
        <v>3407</v>
      </c>
      <c r="D1937" s="253"/>
      <c r="E1937" s="253"/>
      <c r="F1937" s="253"/>
      <c r="G1937" s="253"/>
      <c r="H1937" s="249" t="s">
        <v>3404</v>
      </c>
    </row>
    <row r="1938" spans="1:8" ht="13.8" x14ac:dyDescent="0.25">
      <c r="B1938" s="248">
        <v>23106</v>
      </c>
      <c r="C1938" s="243" t="s">
        <v>3408</v>
      </c>
      <c r="D1938" s="253"/>
      <c r="E1938" s="253"/>
      <c r="F1938" s="253"/>
      <c r="G1938" s="253"/>
      <c r="H1938" s="249" t="s">
        <v>3404</v>
      </c>
    </row>
    <row r="1939" spans="1:8" ht="13.8" x14ac:dyDescent="0.25">
      <c r="B1939" s="248">
        <v>23107</v>
      </c>
      <c r="C1939" s="243" t="s">
        <v>3409</v>
      </c>
      <c r="D1939" s="253"/>
      <c r="E1939" s="253"/>
      <c r="F1939" s="253"/>
      <c r="G1939" s="253"/>
      <c r="H1939" s="249" t="s">
        <v>3404</v>
      </c>
    </row>
    <row r="1940" spans="1:8" ht="14.4" thickBot="1" x14ac:dyDescent="0.3">
      <c r="B1940" s="250">
        <v>23108</v>
      </c>
      <c r="C1940" s="251" t="s">
        <v>3410</v>
      </c>
      <c r="D1940" s="265"/>
      <c r="E1940" s="265"/>
      <c r="F1940" s="265"/>
      <c r="G1940" s="265"/>
      <c r="H1940" s="252" t="s">
        <v>3404</v>
      </c>
    </row>
    <row r="1941" spans="1:8" ht="14.4" thickBot="1" x14ac:dyDescent="0.3">
      <c r="B1941" s="1"/>
      <c r="C1941" s="1"/>
      <c r="D1941" s="1"/>
    </row>
    <row r="1942" spans="1:8" x14ac:dyDescent="0.25">
      <c r="B1942" s="384" t="s">
        <v>3418</v>
      </c>
      <c r="C1942" s="385"/>
      <c r="D1942" s="385"/>
      <c r="E1942" s="385"/>
      <c r="F1942" s="385"/>
      <c r="G1942" s="385"/>
      <c r="H1942" s="386"/>
    </row>
    <row r="1943" spans="1:8" x14ac:dyDescent="0.25">
      <c r="B1943" s="387"/>
      <c r="C1943" s="388"/>
      <c r="D1943" s="388"/>
      <c r="E1943" s="388"/>
      <c r="F1943" s="388"/>
      <c r="G1943" s="388"/>
      <c r="H1943" s="389"/>
    </row>
    <row r="1944" spans="1:8" x14ac:dyDescent="0.25">
      <c r="B1944" s="387"/>
      <c r="C1944" s="388"/>
      <c r="D1944" s="388"/>
      <c r="E1944" s="388"/>
      <c r="F1944" s="388"/>
      <c r="G1944" s="388"/>
      <c r="H1944" s="389"/>
    </row>
    <row r="1945" spans="1:8" ht="13.8" thickBot="1" x14ac:dyDescent="0.3">
      <c r="B1945" s="390"/>
      <c r="C1945" s="391"/>
      <c r="D1945" s="391"/>
      <c r="E1945" s="391"/>
      <c r="F1945" s="391"/>
      <c r="G1945" s="391"/>
      <c r="H1945" s="392"/>
    </row>
    <row r="1946" spans="1:8" ht="13.8" thickBot="1" x14ac:dyDescent="0.3"/>
    <row r="1947" spans="1:8" ht="14.4" thickBot="1" x14ac:dyDescent="0.3">
      <c r="B1947" s="375" t="s">
        <v>3419</v>
      </c>
      <c r="C1947" s="376"/>
      <c r="D1947" s="376"/>
      <c r="E1947" s="376"/>
      <c r="F1947" s="376"/>
      <c r="G1947" s="376"/>
      <c r="H1947" s="377"/>
    </row>
    <row r="1948" spans="1:8" ht="13.8" thickBot="1" x14ac:dyDescent="0.3"/>
    <row r="1949" spans="1:8" ht="14.4" thickBot="1" x14ac:dyDescent="0.3">
      <c r="A1949" s="313" t="s">
        <v>3420</v>
      </c>
      <c r="B1949" s="375" t="s">
        <v>3421</v>
      </c>
      <c r="C1949" s="376"/>
      <c r="D1949" s="376"/>
      <c r="E1949" s="376"/>
      <c r="F1949" s="376"/>
      <c r="G1949" s="376"/>
      <c r="H1949" s="377"/>
    </row>
    <row r="1950" spans="1:8" ht="14.4" thickBot="1" x14ac:dyDescent="0.3">
      <c r="B1950" s="314" t="s">
        <v>1605</v>
      </c>
      <c r="C1950" s="192" t="s">
        <v>1625</v>
      </c>
      <c r="D1950" s="192"/>
      <c r="E1950" s="261"/>
      <c r="F1950" s="261"/>
      <c r="G1950" s="261"/>
      <c r="H1950" s="209" t="s">
        <v>1626</v>
      </c>
    </row>
    <row r="1951" spans="1:8" ht="13.8" x14ac:dyDescent="0.25">
      <c r="B1951" s="318">
        <v>24101</v>
      </c>
      <c r="C1951" s="319" t="s">
        <v>3422</v>
      </c>
      <c r="D1951" s="319"/>
      <c r="E1951" s="266"/>
      <c r="F1951" s="266"/>
      <c r="G1951" s="266"/>
      <c r="H1951" s="320">
        <v>8</v>
      </c>
    </row>
    <row r="1952" spans="1:8" ht="13.8" x14ac:dyDescent="0.25">
      <c r="B1952" s="294">
        <v>24102</v>
      </c>
      <c r="C1952" s="289" t="s">
        <v>3423</v>
      </c>
      <c r="D1952" s="289"/>
      <c r="E1952" s="253"/>
      <c r="F1952" s="253"/>
      <c r="G1952" s="253"/>
      <c r="H1952" s="295">
        <v>8</v>
      </c>
    </row>
    <row r="1953" spans="1:8" ht="13.8" x14ac:dyDescent="0.25">
      <c r="B1953" s="294">
        <v>24103</v>
      </c>
      <c r="C1953" s="289" t="s">
        <v>3424</v>
      </c>
      <c r="D1953" s="289"/>
      <c r="E1953" s="253"/>
      <c r="F1953" s="253"/>
      <c r="G1953" s="253"/>
      <c r="H1953" s="295">
        <v>8</v>
      </c>
    </row>
    <row r="1954" spans="1:8" ht="13.8" x14ac:dyDescent="0.25">
      <c r="B1954" s="294">
        <v>24104</v>
      </c>
      <c r="C1954" s="289" t="s">
        <v>3425</v>
      </c>
      <c r="D1954" s="289"/>
      <c r="E1954" s="253"/>
      <c r="F1954" s="253"/>
      <c r="G1954" s="253"/>
      <c r="H1954" s="295">
        <v>8</v>
      </c>
    </row>
    <row r="1955" spans="1:8" ht="13.8" x14ac:dyDescent="0.25">
      <c r="B1955" s="294">
        <v>24105</v>
      </c>
      <c r="C1955" s="289" t="s">
        <v>3426</v>
      </c>
      <c r="D1955" s="289"/>
      <c r="E1955" s="253"/>
      <c r="F1955" s="253"/>
      <c r="G1955" s="253"/>
      <c r="H1955" s="295">
        <v>8</v>
      </c>
    </row>
    <row r="1956" spans="1:8" ht="13.8" x14ac:dyDescent="0.25">
      <c r="B1956" s="294">
        <v>24106</v>
      </c>
      <c r="C1956" s="289" t="s">
        <v>3427</v>
      </c>
      <c r="D1956" s="289"/>
      <c r="E1956" s="253"/>
      <c r="F1956" s="253"/>
      <c r="G1956" s="253"/>
      <c r="H1956" s="295">
        <v>6</v>
      </c>
    </row>
    <row r="1957" spans="1:8" ht="13.8" x14ac:dyDescent="0.25">
      <c r="B1957" s="294">
        <v>24107</v>
      </c>
      <c r="C1957" s="289" t="s">
        <v>3428</v>
      </c>
      <c r="D1957" s="289"/>
      <c r="E1957" s="253"/>
      <c r="F1957" s="253"/>
      <c r="G1957" s="253"/>
      <c r="H1957" s="295">
        <v>10</v>
      </c>
    </row>
    <row r="1958" spans="1:8" ht="13.8" x14ac:dyDescent="0.25">
      <c r="B1958" s="294">
        <v>24108</v>
      </c>
      <c r="C1958" s="289" t="s">
        <v>3429</v>
      </c>
      <c r="D1958" s="289"/>
      <c r="E1958" s="253"/>
      <c r="F1958" s="253"/>
      <c r="G1958" s="253"/>
      <c r="H1958" s="295">
        <v>10</v>
      </c>
    </row>
    <row r="1959" spans="1:8" ht="14.4" thickBot="1" x14ac:dyDescent="0.3">
      <c r="B1959" s="298">
        <v>24109</v>
      </c>
      <c r="C1959" s="299" t="s">
        <v>3430</v>
      </c>
      <c r="D1959" s="299"/>
      <c r="E1959" s="265"/>
      <c r="F1959" s="265"/>
      <c r="G1959" s="265"/>
      <c r="H1959" s="300">
        <v>12</v>
      </c>
    </row>
    <row r="1960" spans="1:8" ht="14.4" thickBot="1" x14ac:dyDescent="0.3">
      <c r="B1960" s="244"/>
      <c r="C1960" s="244"/>
      <c r="D1960" s="244"/>
      <c r="E1960" s="259"/>
      <c r="F1960" s="259"/>
      <c r="G1960" s="259"/>
      <c r="H1960" s="244"/>
    </row>
    <row r="1961" spans="1:8" ht="14.4" thickBot="1" x14ac:dyDescent="0.3">
      <c r="B1961" s="375" t="s">
        <v>3431</v>
      </c>
      <c r="C1961" s="376"/>
      <c r="D1961" s="376"/>
      <c r="E1961" s="376"/>
      <c r="F1961" s="376"/>
      <c r="G1961" s="376"/>
      <c r="H1961" s="377"/>
    </row>
    <row r="1962" spans="1:8" ht="14.4" thickBot="1" x14ac:dyDescent="0.3">
      <c r="B1962" s="243"/>
      <c r="C1962" s="243"/>
      <c r="D1962" s="243"/>
      <c r="E1962" s="253"/>
      <c r="F1962" s="253"/>
      <c r="G1962" s="253"/>
      <c r="H1962" s="243"/>
    </row>
    <row r="1963" spans="1:8" ht="14.4" thickBot="1" x14ac:dyDescent="0.3">
      <c r="A1963" s="313" t="s">
        <v>3473</v>
      </c>
      <c r="B1963" s="375" t="s">
        <v>3472</v>
      </c>
      <c r="C1963" s="376"/>
      <c r="D1963" s="376"/>
      <c r="E1963" s="376"/>
      <c r="F1963" s="376"/>
      <c r="G1963" s="376"/>
      <c r="H1963" s="377"/>
    </row>
    <row r="1964" spans="1:8" ht="14.4" thickBot="1" x14ac:dyDescent="0.3">
      <c r="B1964" s="255"/>
      <c r="C1964" s="255"/>
      <c r="D1964" s="255"/>
      <c r="E1964" s="260"/>
      <c r="F1964" s="260"/>
      <c r="G1964" s="260"/>
      <c r="H1964" s="255"/>
    </row>
    <row r="1965" spans="1:8" ht="13.8" customHeight="1" x14ac:dyDescent="0.25">
      <c r="B1965" s="378" t="s">
        <v>3471</v>
      </c>
      <c r="C1965" s="379"/>
      <c r="D1965" s="379"/>
      <c r="E1965" s="379"/>
      <c r="F1965" s="379"/>
      <c r="G1965" s="379"/>
      <c r="H1965" s="380"/>
    </row>
    <row r="1966" spans="1:8" ht="13.8" customHeight="1" thickBot="1" x14ac:dyDescent="0.3">
      <c r="B1966" s="381"/>
      <c r="C1966" s="382"/>
      <c r="D1966" s="382"/>
      <c r="E1966" s="382"/>
      <c r="F1966" s="382"/>
      <c r="G1966" s="382"/>
      <c r="H1966" s="383"/>
    </row>
    <row r="1967" spans="1:8" ht="14.4" thickBot="1" x14ac:dyDescent="0.3">
      <c r="B1967" s="315" t="s">
        <v>1605</v>
      </c>
      <c r="C1967" s="316" t="s">
        <v>1625</v>
      </c>
      <c r="D1967" s="316"/>
      <c r="E1967" s="307"/>
      <c r="F1967" s="307"/>
      <c r="G1967" s="307"/>
      <c r="H1967" s="317" t="s">
        <v>1626</v>
      </c>
    </row>
    <row r="1968" spans="1:8" ht="13.8" x14ac:dyDescent="0.25">
      <c r="B1968" s="292">
        <v>25101</v>
      </c>
      <c r="C1968" s="290" t="s">
        <v>3432</v>
      </c>
      <c r="D1968" s="290"/>
      <c r="E1968" s="259"/>
      <c r="F1968" s="259"/>
      <c r="G1968" s="259"/>
      <c r="H1968" s="293">
        <v>4</v>
      </c>
    </row>
    <row r="1969" spans="2:8" ht="13.8" x14ac:dyDescent="0.25">
      <c r="B1969" s="294">
        <v>25102</v>
      </c>
      <c r="C1969" s="289" t="s">
        <v>3433</v>
      </c>
      <c r="D1969" s="289"/>
      <c r="E1969" s="253"/>
      <c r="F1969" s="253"/>
      <c r="G1969" s="253"/>
      <c r="H1969" s="295">
        <v>4</v>
      </c>
    </row>
    <row r="1970" spans="2:8" ht="13.8" x14ac:dyDescent="0.25">
      <c r="B1970" s="294">
        <v>25103</v>
      </c>
      <c r="C1970" s="289" t="s">
        <v>3434</v>
      </c>
      <c r="D1970" s="289"/>
      <c r="E1970" s="253"/>
      <c r="F1970" s="253"/>
      <c r="G1970" s="253"/>
      <c r="H1970" s="295">
        <v>4</v>
      </c>
    </row>
    <row r="1971" spans="2:8" ht="13.8" x14ac:dyDescent="0.25">
      <c r="B1971" s="294">
        <v>25104</v>
      </c>
      <c r="C1971" s="289" t="s">
        <v>3435</v>
      </c>
      <c r="D1971" s="289"/>
      <c r="E1971" s="253"/>
      <c r="F1971" s="253"/>
      <c r="G1971" s="253"/>
      <c r="H1971" s="295">
        <v>4</v>
      </c>
    </row>
    <row r="1972" spans="2:8" ht="13.8" x14ac:dyDescent="0.25">
      <c r="B1972" s="294">
        <v>25105</v>
      </c>
      <c r="C1972" s="289" t="s">
        <v>3436</v>
      </c>
      <c r="D1972" s="289"/>
      <c r="E1972" s="253"/>
      <c r="F1972" s="253"/>
      <c r="G1972" s="253"/>
      <c r="H1972" s="295">
        <v>4</v>
      </c>
    </row>
    <row r="1973" spans="2:8" ht="13.8" x14ac:dyDescent="0.25">
      <c r="B1973" s="294">
        <v>25106</v>
      </c>
      <c r="C1973" s="289" t="s">
        <v>3437</v>
      </c>
      <c r="D1973" s="289"/>
      <c r="E1973" s="253"/>
      <c r="F1973" s="253"/>
      <c r="G1973" s="253"/>
      <c r="H1973" s="295">
        <v>4</v>
      </c>
    </row>
    <row r="1974" spans="2:8" ht="13.8" x14ac:dyDescent="0.25">
      <c r="B1974" s="294">
        <v>25107</v>
      </c>
      <c r="C1974" s="289" t="s">
        <v>3438</v>
      </c>
      <c r="D1974" s="289"/>
      <c r="E1974" s="253"/>
      <c r="F1974" s="253"/>
      <c r="G1974" s="253"/>
      <c r="H1974" s="295">
        <v>4</v>
      </c>
    </row>
    <row r="1975" spans="2:8" ht="13.8" x14ac:dyDescent="0.25">
      <c r="B1975" s="294">
        <v>25108</v>
      </c>
      <c r="C1975" s="289" t="s">
        <v>3439</v>
      </c>
      <c r="D1975" s="289"/>
      <c r="E1975" s="253"/>
      <c r="F1975" s="253"/>
      <c r="G1975" s="253"/>
      <c r="H1975" s="295">
        <v>6</v>
      </c>
    </row>
    <row r="1976" spans="2:8" ht="13.8" x14ac:dyDescent="0.25">
      <c r="B1976" s="294">
        <v>25109</v>
      </c>
      <c r="C1976" s="289" t="s">
        <v>3440</v>
      </c>
      <c r="D1976" s="289"/>
      <c r="E1976" s="253"/>
      <c r="F1976" s="253"/>
      <c r="G1976" s="253"/>
      <c r="H1976" s="295">
        <v>6</v>
      </c>
    </row>
    <row r="1977" spans="2:8" ht="27.6" x14ac:dyDescent="0.25">
      <c r="B1977" s="294">
        <v>25110</v>
      </c>
      <c r="C1977" s="289" t="s">
        <v>3441</v>
      </c>
      <c r="D1977" s="289"/>
      <c r="E1977" s="253"/>
      <c r="F1977" s="253"/>
      <c r="G1977" s="253"/>
      <c r="H1977" s="295">
        <v>6</v>
      </c>
    </row>
    <row r="1978" spans="2:8" ht="13.8" x14ac:dyDescent="0.25">
      <c r="B1978" s="294">
        <v>25111</v>
      </c>
      <c r="C1978" s="289" t="s">
        <v>3442</v>
      </c>
      <c r="D1978" s="289"/>
      <c r="E1978" s="253"/>
      <c r="F1978" s="253"/>
      <c r="G1978" s="253"/>
      <c r="H1978" s="295">
        <v>6</v>
      </c>
    </row>
    <row r="1979" spans="2:8" ht="13.8" x14ac:dyDescent="0.25">
      <c r="B1979" s="294">
        <v>25112</v>
      </c>
      <c r="C1979" s="289" t="s">
        <v>3443</v>
      </c>
      <c r="D1979" s="289"/>
      <c r="E1979" s="253"/>
      <c r="F1979" s="253"/>
      <c r="G1979" s="253"/>
      <c r="H1979" s="295">
        <v>4</v>
      </c>
    </row>
    <row r="1980" spans="2:8" ht="13.8" x14ac:dyDescent="0.25">
      <c r="B1980" s="294">
        <v>25113</v>
      </c>
      <c r="C1980" s="289" t="s">
        <v>3444</v>
      </c>
      <c r="D1980" s="289"/>
      <c r="E1980" s="253"/>
      <c r="F1980" s="253"/>
      <c r="G1980" s="253"/>
      <c r="H1980" s="295">
        <v>4</v>
      </c>
    </row>
    <row r="1981" spans="2:8" ht="13.8" x14ac:dyDescent="0.25">
      <c r="B1981" s="294">
        <v>25114</v>
      </c>
      <c r="C1981" s="289" t="s">
        <v>3445</v>
      </c>
      <c r="D1981" s="289"/>
      <c r="E1981" s="253"/>
      <c r="F1981" s="253"/>
      <c r="G1981" s="253"/>
      <c r="H1981" s="295">
        <v>4</v>
      </c>
    </row>
    <row r="1982" spans="2:8" ht="13.8" x14ac:dyDescent="0.25">
      <c r="B1982" s="294">
        <v>25115</v>
      </c>
      <c r="C1982" s="289" t="s">
        <v>3446</v>
      </c>
      <c r="D1982" s="289"/>
      <c r="E1982" s="253"/>
      <c r="F1982" s="253"/>
      <c r="G1982" s="253"/>
      <c r="H1982" s="295">
        <v>6</v>
      </c>
    </row>
    <row r="1983" spans="2:8" ht="27.6" x14ac:dyDescent="0.25">
      <c r="B1983" s="294">
        <v>25116</v>
      </c>
      <c r="C1983" s="289" t="s">
        <v>3447</v>
      </c>
      <c r="D1983" s="289"/>
      <c r="E1983" s="253"/>
      <c r="F1983" s="253"/>
      <c r="G1983" s="253"/>
      <c r="H1983" s="295">
        <v>8</v>
      </c>
    </row>
    <row r="1984" spans="2:8" ht="27.6" x14ac:dyDescent="0.25">
      <c r="B1984" s="294">
        <v>25117</v>
      </c>
      <c r="C1984" s="289" t="s">
        <v>3448</v>
      </c>
      <c r="D1984" s="289"/>
      <c r="E1984" s="253"/>
      <c r="F1984" s="253"/>
      <c r="G1984" s="253"/>
      <c r="H1984" s="295">
        <v>6</v>
      </c>
    </row>
    <row r="1985" spans="1:8" ht="13.8" x14ac:dyDescent="0.25">
      <c r="B1985" s="294">
        <v>25118</v>
      </c>
      <c r="C1985" s="289" t="s">
        <v>3449</v>
      </c>
      <c r="D1985" s="289"/>
      <c r="E1985" s="253"/>
      <c r="F1985" s="253"/>
      <c r="G1985" s="253"/>
      <c r="H1985" s="295">
        <v>6</v>
      </c>
    </row>
    <row r="1986" spans="1:8" ht="13.8" x14ac:dyDescent="0.25">
      <c r="B1986" s="294">
        <v>25119</v>
      </c>
      <c r="C1986" s="289" t="s">
        <v>3450</v>
      </c>
      <c r="D1986" s="289"/>
      <c r="E1986" s="253"/>
      <c r="F1986" s="253"/>
      <c r="G1986" s="253"/>
      <c r="H1986" s="295">
        <v>4</v>
      </c>
    </row>
    <row r="1987" spans="1:8" ht="13.8" x14ac:dyDescent="0.25">
      <c r="B1987" s="294">
        <v>25120</v>
      </c>
      <c r="C1987" s="289" t="s">
        <v>3451</v>
      </c>
      <c r="D1987" s="289"/>
      <c r="E1987" s="253"/>
      <c r="F1987" s="253"/>
      <c r="G1987" s="253"/>
      <c r="H1987" s="295">
        <v>8</v>
      </c>
    </row>
    <row r="1988" spans="1:8" ht="13.8" x14ac:dyDescent="0.25">
      <c r="B1988" s="294">
        <v>25121</v>
      </c>
      <c r="C1988" s="289" t="s">
        <v>3452</v>
      </c>
      <c r="D1988" s="289"/>
      <c r="E1988" s="253"/>
      <c r="F1988" s="253"/>
      <c r="G1988" s="253"/>
      <c r="H1988" s="295">
        <v>8</v>
      </c>
    </row>
    <row r="1989" spans="1:8" ht="13.8" x14ac:dyDescent="0.25">
      <c r="B1989" s="294">
        <v>25122</v>
      </c>
      <c r="C1989" s="289" t="s">
        <v>3453</v>
      </c>
      <c r="D1989" s="289"/>
      <c r="E1989" s="253"/>
      <c r="F1989" s="253"/>
      <c r="G1989" s="253"/>
      <c r="H1989" s="295">
        <v>6</v>
      </c>
    </row>
    <row r="1990" spans="1:8" ht="13.8" x14ac:dyDescent="0.25">
      <c r="B1990" s="294">
        <v>25123</v>
      </c>
      <c r="C1990" s="289" t="s">
        <v>3454</v>
      </c>
      <c r="D1990" s="289"/>
      <c r="E1990" s="253"/>
      <c r="F1990" s="253"/>
      <c r="G1990" s="253"/>
      <c r="H1990" s="295">
        <v>6</v>
      </c>
    </row>
    <row r="1991" spans="1:8" ht="13.8" x14ac:dyDescent="0.25">
      <c r="B1991" s="294">
        <v>25124</v>
      </c>
      <c r="C1991" s="289" t="s">
        <v>3455</v>
      </c>
      <c r="D1991" s="289"/>
      <c r="E1991" s="253"/>
      <c r="F1991" s="253"/>
      <c r="G1991" s="253"/>
      <c r="H1991" s="295">
        <v>8</v>
      </c>
    </row>
    <row r="1992" spans="1:8" ht="27.6" x14ac:dyDescent="0.25">
      <c r="B1992" s="294">
        <v>25125</v>
      </c>
      <c r="C1992" s="289" t="s">
        <v>3456</v>
      </c>
      <c r="D1992" s="289"/>
      <c r="E1992" s="253"/>
      <c r="F1992" s="253"/>
      <c r="G1992" s="253"/>
      <c r="H1992" s="295">
        <v>6</v>
      </c>
    </row>
    <row r="1993" spans="1:8" ht="13.8" x14ac:dyDescent="0.25">
      <c r="B1993" s="294">
        <v>25126</v>
      </c>
      <c r="C1993" s="289" t="s">
        <v>3457</v>
      </c>
      <c r="D1993" s="289"/>
      <c r="E1993" s="253"/>
      <c r="F1993" s="253"/>
      <c r="G1993" s="253"/>
      <c r="H1993" s="295">
        <v>4</v>
      </c>
    </row>
    <row r="1994" spans="1:8" ht="13.8" x14ac:dyDescent="0.25">
      <c r="B1994" s="294">
        <v>25127</v>
      </c>
      <c r="C1994" s="289" t="s">
        <v>3458</v>
      </c>
      <c r="D1994" s="289"/>
      <c r="E1994" s="253"/>
      <c r="F1994" s="253"/>
      <c r="G1994" s="253"/>
      <c r="H1994" s="295">
        <v>8</v>
      </c>
    </row>
    <row r="1995" spans="1:8" ht="13.8" x14ac:dyDescent="0.25">
      <c r="B1995" s="294">
        <v>25128</v>
      </c>
      <c r="C1995" s="289" t="s">
        <v>3459</v>
      </c>
      <c r="D1995" s="289"/>
      <c r="E1995" s="253"/>
      <c r="F1995" s="253"/>
      <c r="G1995" s="253"/>
      <c r="H1995" s="295">
        <v>6</v>
      </c>
    </row>
    <row r="1996" spans="1:8" ht="14.4" thickBot="1" x14ac:dyDescent="0.3">
      <c r="B1996" s="298">
        <v>25129</v>
      </c>
      <c r="C1996" s="299" t="s">
        <v>3460</v>
      </c>
      <c r="D1996" s="299"/>
      <c r="E1996" s="265"/>
      <c r="F1996" s="265"/>
      <c r="G1996" s="265"/>
      <c r="H1996" s="300">
        <v>8</v>
      </c>
    </row>
    <row r="1997" spans="1:8" ht="14.4" thickBot="1" x14ac:dyDescent="0.3">
      <c r="B1997" s="244"/>
      <c r="C1997" s="244"/>
      <c r="D1997" s="244"/>
      <c r="E1997" s="259"/>
      <c r="F1997" s="259"/>
      <c r="G1997" s="259"/>
      <c r="H1997" s="244"/>
    </row>
    <row r="1998" spans="1:8" ht="14.4" thickBot="1" x14ac:dyDescent="0.3">
      <c r="B1998" s="375" t="s">
        <v>3461</v>
      </c>
      <c r="C1998" s="376"/>
      <c r="D1998" s="376"/>
      <c r="E1998" s="376"/>
      <c r="F1998" s="376"/>
      <c r="G1998" s="376"/>
      <c r="H1998" s="377"/>
    </row>
    <row r="1999" spans="1:8" ht="14.4" thickBot="1" x14ac:dyDescent="0.3">
      <c r="B1999" s="243"/>
      <c r="C1999" s="243"/>
      <c r="D1999" s="243"/>
      <c r="E1999" s="253"/>
      <c r="F1999" s="253"/>
      <c r="G1999" s="253"/>
      <c r="H1999" s="243"/>
    </row>
    <row r="2000" spans="1:8" ht="14.4" thickBot="1" x14ac:dyDescent="0.3">
      <c r="A2000" s="313" t="s">
        <v>3475</v>
      </c>
      <c r="B2000" s="375" t="s">
        <v>3474</v>
      </c>
      <c r="C2000" s="376"/>
      <c r="D2000" s="376"/>
      <c r="E2000" s="376"/>
      <c r="F2000" s="376"/>
      <c r="G2000" s="376"/>
      <c r="H2000" s="377"/>
    </row>
    <row r="2001" spans="2:8" ht="14.4" thickBot="1" x14ac:dyDescent="0.3">
      <c r="B2001" s="315" t="s">
        <v>1605</v>
      </c>
      <c r="C2001" s="316" t="s">
        <v>1625</v>
      </c>
      <c r="D2001" s="316"/>
      <c r="E2001" s="307"/>
      <c r="F2001" s="307"/>
      <c r="G2001" s="307"/>
      <c r="H2001" s="317" t="s">
        <v>1626</v>
      </c>
    </row>
    <row r="2002" spans="2:8" ht="27.6" x14ac:dyDescent="0.25">
      <c r="B2002" s="318">
        <v>26101</v>
      </c>
      <c r="C2002" s="319" t="s">
        <v>3462</v>
      </c>
      <c r="D2002" s="319"/>
      <c r="E2002" s="266"/>
      <c r="F2002" s="266"/>
      <c r="G2002" s="266"/>
      <c r="H2002" s="320">
        <v>8</v>
      </c>
    </row>
    <row r="2003" spans="2:8" ht="27.6" x14ac:dyDescent="0.25">
      <c r="B2003" s="294">
        <v>26102</v>
      </c>
      <c r="C2003" s="289" t="s">
        <v>3463</v>
      </c>
      <c r="D2003" s="289"/>
      <c r="E2003" s="253"/>
      <c r="F2003" s="253"/>
      <c r="G2003" s="253"/>
      <c r="H2003" s="295">
        <v>10</v>
      </c>
    </row>
    <row r="2004" spans="2:8" ht="13.8" x14ac:dyDescent="0.25">
      <c r="B2004" s="294">
        <v>26103</v>
      </c>
      <c r="C2004" s="289" t="s">
        <v>3464</v>
      </c>
      <c r="D2004" s="289"/>
      <c r="E2004" s="253"/>
      <c r="F2004" s="253"/>
      <c r="G2004" s="253"/>
      <c r="H2004" s="295" t="s">
        <v>3465</v>
      </c>
    </row>
    <row r="2005" spans="2:8" ht="27.6" x14ac:dyDescent="0.25">
      <c r="B2005" s="294">
        <v>26104</v>
      </c>
      <c r="C2005" s="289" t="s">
        <v>3466</v>
      </c>
      <c r="D2005" s="289"/>
      <c r="E2005" s="253"/>
      <c r="F2005" s="253"/>
      <c r="G2005" s="253"/>
      <c r="H2005" s="295">
        <v>4</v>
      </c>
    </row>
    <row r="2006" spans="2:8" ht="27.6" x14ac:dyDescent="0.25">
      <c r="B2006" s="294">
        <v>26105</v>
      </c>
      <c r="C2006" s="289" t="s">
        <v>3467</v>
      </c>
      <c r="D2006" s="289"/>
      <c r="E2006" s="253"/>
      <c r="F2006" s="253"/>
      <c r="G2006" s="253"/>
      <c r="H2006" s="295" t="s">
        <v>3465</v>
      </c>
    </row>
    <row r="2007" spans="2:8" ht="41.4" x14ac:dyDescent="0.25">
      <c r="B2007" s="294">
        <v>26106</v>
      </c>
      <c r="C2007" s="289" t="s">
        <v>3468</v>
      </c>
      <c r="D2007" s="289"/>
      <c r="E2007" s="253"/>
      <c r="F2007" s="253"/>
      <c r="G2007" s="253"/>
      <c r="H2007" s="295" t="s">
        <v>3469</v>
      </c>
    </row>
    <row r="2008" spans="2:8" ht="14.4" thickBot="1" x14ac:dyDescent="0.3">
      <c r="B2008" s="298">
        <v>26107</v>
      </c>
      <c r="C2008" s="299" t="s">
        <v>3470</v>
      </c>
      <c r="D2008" s="299"/>
      <c r="E2008" s="265"/>
      <c r="F2008" s="265"/>
      <c r="G2008" s="265"/>
      <c r="H2008" s="300">
        <v>6</v>
      </c>
    </row>
  </sheetData>
  <mergeCells count="187">
    <mergeCell ref="B14:I15"/>
    <mergeCell ref="A1:I1"/>
    <mergeCell ref="B2:I5"/>
    <mergeCell ref="B6:I9"/>
    <mergeCell ref="B10:I11"/>
    <mergeCell ref="B12:I13"/>
    <mergeCell ref="B44:I47"/>
    <mergeCell ref="B48:I49"/>
    <mergeCell ref="B50:I51"/>
    <mergeCell ref="B32:I33"/>
    <mergeCell ref="B34:I35"/>
    <mergeCell ref="B36:I37"/>
    <mergeCell ref="B38:I43"/>
    <mergeCell ref="B28:I29"/>
    <mergeCell ref="B16:I19"/>
    <mergeCell ref="B20:I23"/>
    <mergeCell ref="B24:I27"/>
    <mergeCell ref="B30:I31"/>
    <mergeCell ref="B107:H107"/>
    <mergeCell ref="B55:H55"/>
    <mergeCell ref="B99:H99"/>
    <mergeCell ref="B82:H83"/>
    <mergeCell ref="B94:H94"/>
    <mergeCell ref="B56:H57"/>
    <mergeCell ref="B58:H59"/>
    <mergeCell ref="B69:H70"/>
    <mergeCell ref="B53:H53"/>
    <mergeCell ref="B196:H196"/>
    <mergeCell ref="B204:H204"/>
    <mergeCell ref="B216:H216"/>
    <mergeCell ref="B267:H267"/>
    <mergeCell ref="B279:H279"/>
    <mergeCell ref="B304:H304"/>
    <mergeCell ref="B122:H122"/>
    <mergeCell ref="B134:H134"/>
    <mergeCell ref="B146:H146"/>
    <mergeCell ref="B160:H160"/>
    <mergeCell ref="B171:H171"/>
    <mergeCell ref="B190:H190"/>
    <mergeCell ref="B418:H418"/>
    <mergeCell ref="B427:H427"/>
    <mergeCell ref="B454:H454"/>
    <mergeCell ref="B492:H492"/>
    <mergeCell ref="B320:H320"/>
    <mergeCell ref="B336:H336"/>
    <mergeCell ref="B356:H356"/>
    <mergeCell ref="B367:H367"/>
    <mergeCell ref="B379:H379"/>
    <mergeCell ref="B405:H405"/>
    <mergeCell ref="B559:H559"/>
    <mergeCell ref="B573:H573"/>
    <mergeCell ref="B588:H588"/>
    <mergeCell ref="B600:H600"/>
    <mergeCell ref="B609:H609"/>
    <mergeCell ref="B621:H621"/>
    <mergeCell ref="B503:H503"/>
    <mergeCell ref="B533:H533"/>
    <mergeCell ref="B534:H534"/>
    <mergeCell ref="B550:H550"/>
    <mergeCell ref="B718:H718"/>
    <mergeCell ref="B728:H728"/>
    <mergeCell ref="B741:H741"/>
    <mergeCell ref="B742:H742"/>
    <mergeCell ref="B756:H756"/>
    <mergeCell ref="B765:H765"/>
    <mergeCell ref="B626:H626"/>
    <mergeCell ref="B656:H656"/>
    <mergeCell ref="B657:H657"/>
    <mergeCell ref="B668:H668"/>
    <mergeCell ref="B685:H685"/>
    <mergeCell ref="B694:H694"/>
    <mergeCell ref="B871:H871"/>
    <mergeCell ref="B892:H892"/>
    <mergeCell ref="B908:H908"/>
    <mergeCell ref="B922:H922"/>
    <mergeCell ref="B923:H923"/>
    <mergeCell ref="B937:H937"/>
    <mergeCell ref="B774:H774"/>
    <mergeCell ref="B775:H775"/>
    <mergeCell ref="B798:H798"/>
    <mergeCell ref="B826:H826"/>
    <mergeCell ref="B840:H840"/>
    <mergeCell ref="B870:H870"/>
    <mergeCell ref="B1067:H1067"/>
    <mergeCell ref="B1080:H1080"/>
    <mergeCell ref="B1085:H1085"/>
    <mergeCell ref="B1095:H1095"/>
    <mergeCell ref="B1112:H1112"/>
    <mergeCell ref="B1037:H1037"/>
    <mergeCell ref="B1042:H1042"/>
    <mergeCell ref="B954:H954"/>
    <mergeCell ref="B977:H977"/>
    <mergeCell ref="B995:H995"/>
    <mergeCell ref="B1006:H1006"/>
    <mergeCell ref="B1025:H1025"/>
    <mergeCell ref="B1161:H1161"/>
    <mergeCell ref="B1166:H1166"/>
    <mergeCell ref="B1167:H1167"/>
    <mergeCell ref="B1186:H1186"/>
    <mergeCell ref="B1198:H1198"/>
    <mergeCell ref="B1210:H1210"/>
    <mergeCell ref="B1118:H1118"/>
    <mergeCell ref="B1123:H1123"/>
    <mergeCell ref="B1131:H1131"/>
    <mergeCell ref="B1132:H1132"/>
    <mergeCell ref="B1150:H1150"/>
    <mergeCell ref="B1151:H1151"/>
    <mergeCell ref="B1285:H1285"/>
    <mergeCell ref="B1292:H1292"/>
    <mergeCell ref="B1305:H1305"/>
    <mergeCell ref="B1320:H1320"/>
    <mergeCell ref="B1332:H1332"/>
    <mergeCell ref="B1351:H1351"/>
    <mergeCell ref="B1228:H1228"/>
    <mergeCell ref="B1239:H1239"/>
    <mergeCell ref="B1249:H1249"/>
    <mergeCell ref="B1261:H1261"/>
    <mergeCell ref="B1262:H1262"/>
    <mergeCell ref="B1273:H1273"/>
    <mergeCell ref="B1434:H1434"/>
    <mergeCell ref="B1442:H1442"/>
    <mergeCell ref="B1454:H1454"/>
    <mergeCell ref="B1473:H1473"/>
    <mergeCell ref="B1474:H1474"/>
    <mergeCell ref="B1491:H1491"/>
    <mergeCell ref="B1352:H1352"/>
    <mergeCell ref="B1377:H1377"/>
    <mergeCell ref="B1390:H1390"/>
    <mergeCell ref="B1397:H1397"/>
    <mergeCell ref="B1409:H1409"/>
    <mergeCell ref="B1420:H1420"/>
    <mergeCell ref="B1556:H1556"/>
    <mergeCell ref="B1566:H1566"/>
    <mergeCell ref="B1567:H1569"/>
    <mergeCell ref="B1587:H1589"/>
    <mergeCell ref="B1590:H1592"/>
    <mergeCell ref="B1503:H1503"/>
    <mergeCell ref="B1514:H1514"/>
    <mergeCell ref="B1522:H1522"/>
    <mergeCell ref="B1523:H1523"/>
    <mergeCell ref="B1539:H1539"/>
    <mergeCell ref="B1547:H1547"/>
    <mergeCell ref="B1634:H1637"/>
    <mergeCell ref="B1638:H1641"/>
    <mergeCell ref="B1643:H1643"/>
    <mergeCell ref="B1697:H1697"/>
    <mergeCell ref="B1718:H1718"/>
    <mergeCell ref="B1593:H1595"/>
    <mergeCell ref="B1596:H1598"/>
    <mergeCell ref="B1600:H1600"/>
    <mergeCell ref="B1601:H1603"/>
    <mergeCell ref="B1605:H1605"/>
    <mergeCell ref="B1632:H1632"/>
    <mergeCell ref="B1808:H1808"/>
    <mergeCell ref="B1813:H1813"/>
    <mergeCell ref="B1821:H1821"/>
    <mergeCell ref="B1823:H1826"/>
    <mergeCell ref="B1828:H1828"/>
    <mergeCell ref="B1842:H1842"/>
    <mergeCell ref="B1739:H1739"/>
    <mergeCell ref="B1752:H1752"/>
    <mergeCell ref="B1759:H1759"/>
    <mergeCell ref="B1773:H1773"/>
    <mergeCell ref="B1774:H1777"/>
    <mergeCell ref="B1779:H1779"/>
    <mergeCell ref="B1887:H1890"/>
    <mergeCell ref="B1894:H1894"/>
    <mergeCell ref="B1896:H1896"/>
    <mergeCell ref="B1898:H1901"/>
    <mergeCell ref="B1903:H1903"/>
    <mergeCell ref="B1911:H1911"/>
    <mergeCell ref="B1849:H1849"/>
    <mergeCell ref="B1857:H1857"/>
    <mergeCell ref="B1874:H1874"/>
    <mergeCell ref="B1869:H1872"/>
    <mergeCell ref="B1885:H1885"/>
    <mergeCell ref="B1961:H1961"/>
    <mergeCell ref="B1963:H1963"/>
    <mergeCell ref="B1965:H1966"/>
    <mergeCell ref="B1998:H1998"/>
    <mergeCell ref="B2000:H2000"/>
    <mergeCell ref="B1924:H1924"/>
    <mergeCell ref="B1926:H1926"/>
    <mergeCell ref="B1928:H1931"/>
    <mergeCell ref="B1942:H1945"/>
    <mergeCell ref="B1947:H1947"/>
    <mergeCell ref="B1949:H19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SOAT 2023</vt:lpstr>
      <vt:lpstr>GQ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CABALLERO BUSTAMANTE</dc:creator>
  <cp:lastModifiedBy>HUGO HERNAN DURAN YUSTI</cp:lastModifiedBy>
  <dcterms:created xsi:type="dcterms:W3CDTF">2025-07-10T21:06:15Z</dcterms:created>
  <dcterms:modified xsi:type="dcterms:W3CDTF">2026-05-03T17:16:34Z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2023-01-18T00:00:00Z</vt:filetime>
  </property>
  <property fmtid="{D5CDD505-2E9C-101B-9397-08002B2CF9AE}" pid="3" name="Creator">
    <vt:lpwstr>Microsoft® Excel® 2019</vt:lpwstr>
  </property>
  <property fmtid="{D5CDD505-2E9C-101B-9397-08002B2CF9AE}" pid="4" name="LastSaved">
    <vt:filetime>2025-07-10T00:00:00Z</vt:filetime>
  </property>
  <property fmtid="{D5CDD505-2E9C-101B-9397-08002B2CF9AE}" pid="5" name="Producer">
    <vt:lpwstr>Microsoft® Excel® 2019</vt:lpwstr>
  </property>
</Properties>
</file>